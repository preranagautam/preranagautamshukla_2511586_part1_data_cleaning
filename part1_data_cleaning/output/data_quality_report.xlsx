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reranagautam/Documents/CapstoneProject/part1_data_cleaning/output/"/>
    </mc:Choice>
  </mc:AlternateContent>
  <xr:revisionPtr revIDLastSave="0" documentId="13_ncr:1_{6CC1CE15-C40D-D749-9CE5-8F765D80C830}" xr6:coauthVersionLast="47" xr6:coauthVersionMax="47" xr10:uidLastSave="{00000000-0000-0000-0000-000000000000}"/>
  <bookViews>
    <workbookView xWindow="380" yWindow="500" windowWidth="28040" windowHeight="16180" xr2:uid="{F1499131-D336-5042-A800-5CCA4B776BFC}"/>
  </bookViews>
  <sheets>
    <sheet name="Missing Values Summary" sheetId="2" r:id="rId1"/>
    <sheet name="Duplicate Summary" sheetId="1" r:id="rId2"/>
    <sheet name="Invalid Discount Summary" sheetId="3" r:id="rId3"/>
    <sheet name="Date Issue Summary" sheetId="4" r:id="rId4"/>
    <sheet name="Order Status Issues" sheetId="5" r:id="rId5"/>
    <sheet name="Sales Mismatch" sheetId="6" r:id="rId6"/>
    <sheet name="Record Count Summary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" i="3" l="1"/>
</calcChain>
</file>

<file path=xl/sharedStrings.xml><?xml version="1.0" encoding="utf-8"?>
<sst xmlns="http://schemas.openxmlformats.org/spreadsheetml/2006/main" count="127" uniqueCount="109">
  <si>
    <t>Number of exact duplicate rows found</t>
  </si>
  <si>
    <t>Number of duplicate order IDs found</t>
  </si>
  <si>
    <t>Number of records removed</t>
  </si>
  <si>
    <t>Number of records flagged for review</t>
  </si>
  <si>
    <t>Logic used for handling duplicates</t>
  </si>
  <si>
    <t>Duplicate Handling Summary</t>
  </si>
  <si>
    <t>Metric</t>
  </si>
  <si>
    <t>Count</t>
  </si>
  <si>
    <t>Records After Deduplication</t>
  </si>
  <si>
    <t>Detail</t>
  </si>
  <si>
    <t>--</t>
  </si>
  <si>
    <t>Deleted the exact duplicate rows, flagged for review the duplicate Order_Ids with dissimilar order details</t>
  </si>
  <si>
    <t>Number of duplicate Order Ids with conflicting details</t>
  </si>
  <si>
    <t>Removed using excel function "Remove Duplicates" under Data menu option</t>
  </si>
  <si>
    <t>All records with same order ids, but different details</t>
  </si>
  <si>
    <t>Column</t>
  </si>
  <si>
    <t>Action Taken</t>
  </si>
  <si>
    <t>Notes</t>
  </si>
  <si>
    <t>region</t>
  </si>
  <si>
    <t>Filled with "Unknown"</t>
  </si>
  <si>
    <t>Business rule applied</t>
  </si>
  <si>
    <t>ship_mode</t>
  </si>
  <si>
    <t>discount</t>
  </si>
  <si>
    <t>Set to 0 if sales fields valid, else flagged</t>
  </si>
  <si>
    <t>Missing Value Summary</t>
  </si>
  <si>
    <t>Exact duplicate rows detected</t>
  </si>
  <si>
    <t>Missing Count</t>
  </si>
  <si>
    <t>Issue Type</t>
  </si>
  <si>
    <t>No Issue</t>
  </si>
  <si>
    <t>No issue</t>
  </si>
  <si>
    <t>Missing discount -&gt; set to 0</t>
  </si>
  <si>
    <t>Discount &gt;50% (unusually high)</t>
  </si>
  <si>
    <t>Negative discount (invalid)</t>
  </si>
  <si>
    <t>Invalid Discount Summary</t>
  </si>
  <si>
    <t>Set cleaned_discount = 0</t>
  </si>
  <si>
    <t>Flagged as invalid (unusually high)</t>
  </si>
  <si>
    <t>Flagged as Invalid</t>
  </si>
  <si>
    <t>DATE ISSUE SUMMARY</t>
  </si>
  <si>
    <t>Action</t>
  </si>
  <si>
    <t>Ship date before order date</t>
  </si>
  <si>
    <t>Flagged in date_issue column; shipping_delay_days = NaN</t>
  </si>
  <si>
    <t>ORDER STATUS ISSUE SUMMARY</t>
  </si>
  <si>
    <t>Raw Order Status Value</t>
  </si>
  <si>
    <t>Cleaning Action</t>
  </si>
  <si>
    <t>Completed</t>
  </si>
  <si>
    <t>No change</t>
  </si>
  <si>
    <t>Returned</t>
  </si>
  <si>
    <t>Cancelled</t>
  </si>
  <si>
    <t xml:space="preserve">Completed </t>
  </si>
  <si>
    <t>Standardized to title case and stripped whitespace</t>
  </si>
  <si>
    <t xml:space="preserve">  Completed </t>
  </si>
  <si>
    <t>completed</t>
  </si>
  <si>
    <t xml:space="preserve">  Cancelled </t>
  </si>
  <si>
    <t>COMPLETED</t>
  </si>
  <si>
    <t>cancelled</t>
  </si>
  <si>
    <t>CANCELLED</t>
  </si>
  <si>
    <t>Business Rule: Cancelled &amp; Failed orders excluded from completed sales summaries</t>
  </si>
  <si>
    <t>SALES / PROFIT CALCULATION MISMATCH SUMMARY</t>
  </si>
  <si>
    <t>Order ID</t>
  </si>
  <si>
    <t>Reported Sales</t>
  </si>
  <si>
    <t>Calculated Sales</t>
  </si>
  <si>
    <t>Reported Profit</t>
  </si>
  <si>
    <t>Calculated Profit</t>
  </si>
  <si>
    <t>ORD-2024-10033</t>
  </si>
  <si>
    <t>ORD-2025-10105</t>
  </si>
  <si>
    <t>ORD-2024-10107</t>
  </si>
  <si>
    <t>ORD-2024-10163</t>
  </si>
  <si>
    <t>ORD-2025-10189</t>
  </si>
  <si>
    <t>ORD-2025-10190</t>
  </si>
  <si>
    <t>ORD-2025-10278</t>
  </si>
  <si>
    <t>ORD-2024-10313</t>
  </si>
  <si>
    <t>ORD-2024-10366</t>
  </si>
  <si>
    <t>ORD-2024-10372</t>
  </si>
  <si>
    <t>ORD-2024-10480</t>
  </si>
  <si>
    <t>ORD-2024-10500</t>
  </si>
  <si>
    <t>ORD-2025-10514</t>
  </si>
  <si>
    <t>ORD-2025-10527</t>
  </si>
  <si>
    <t>ORD-2024-10543</t>
  </si>
  <si>
    <t>ORD-2024-10616</t>
  </si>
  <si>
    <t>ORD-2025-10683</t>
  </si>
  <si>
    <t>FINAL RECORD COUNT SUMMARY</t>
  </si>
  <si>
    <t>Raw Records (original)</t>
  </si>
  <si>
    <t>Exact Duplicates Removed</t>
  </si>
  <si>
    <t>Clean Records</t>
  </si>
  <si>
    <t>Warning Records</t>
  </si>
  <si>
    <t>Invalid Records</t>
  </si>
  <si>
    <t>Completed Orders</t>
  </si>
  <si>
    <t>Cancelled Orders</t>
  </si>
  <si>
    <t>Returned Orders</t>
  </si>
  <si>
    <t>Failed Payment Orders</t>
  </si>
  <si>
    <t>Refunded Orders</t>
  </si>
  <si>
    <t>ORD-2024-10124</t>
  </si>
  <si>
    <t>ORD-2024-10143</t>
  </si>
  <si>
    <t>ORD-2024-10273</t>
  </si>
  <si>
    <t>ORD-2024-10332</t>
  </si>
  <si>
    <t>ORD-2024-10424</t>
  </si>
  <si>
    <t>ORD-2024-10699</t>
  </si>
  <si>
    <t>ORD-2024-10771</t>
  </si>
  <si>
    <t>ORD-2024-10772</t>
  </si>
  <si>
    <t>ORD-2025-10091</t>
  </si>
  <si>
    <t>ORD-2025-10171</t>
  </si>
  <si>
    <t>ORD-2025-10225</t>
  </si>
  <si>
    <t>ORD-2025-10315</t>
  </si>
  <si>
    <t>ORD-2025-10336</t>
  </si>
  <si>
    <t>ORD-2025-10374</t>
  </si>
  <si>
    <t>ORD-2025-10572</t>
  </si>
  <si>
    <t>ORD-2025-10698</t>
  </si>
  <si>
    <t>ORD-2025-10742</t>
  </si>
  <si>
    <t>Total Mismatches: 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</si>
</sst>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6"/>
      <color theme="1"/>
      <name val="Aptos Narrow"/>
      <scheme val="minor"/>
    </font>
    <font>
      <sz val="14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b/>
      <sz val="12"/>
      <color rgb="FFA2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FFFC9C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43">
    <xf numFmtId="0" fontId="0" fillId="0" borderId="0" xfId="0"/>
    <xf numFmtId="0" fontId="1" fillId="2" borderId="5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1" fillId="2" borderId="13" xfId="0" applyFont="1" applyFill="1" applyBorder="1" applyAlignment="1">
      <alignment horizontal="left"/>
    </xf>
    <xf numFmtId="0" fontId="1" fillId="2" borderId="14" xfId="0" applyFont="1" applyFill="1" applyBorder="1" applyAlignment="1">
      <alignment horizontal="left"/>
    </xf>
    <xf numFmtId="0" fontId="1" fillId="2" borderId="15" xfId="0" applyFont="1" applyFill="1" applyBorder="1" applyAlignment="1">
      <alignment horizontal="left"/>
    </xf>
    <xf numFmtId="0" fontId="0" fillId="0" borderId="19" xfId="0" applyBorder="1"/>
    <xf numFmtId="0" fontId="3" fillId="0" borderId="10" xfId="0" applyFont="1" applyBorder="1" applyAlignment="1">
      <alignment horizontal="left"/>
    </xf>
    <xf numFmtId="0" fontId="3" fillId="0" borderId="11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3" fillId="0" borderId="9" xfId="0" applyFont="1" applyBorder="1" applyAlignment="1">
      <alignment horizontal="left"/>
    </xf>
    <xf numFmtId="0" fontId="4" fillId="0" borderId="0" xfId="0" applyFont="1"/>
    <xf numFmtId="0" fontId="2" fillId="3" borderId="16" xfId="0" applyFont="1" applyFill="1" applyBorder="1" applyAlignment="1">
      <alignment horizontal="center" vertical="center"/>
    </xf>
    <xf numFmtId="0" fontId="2" fillId="3" borderId="17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left"/>
    </xf>
    <xf numFmtId="0" fontId="0" fillId="0" borderId="0" xfId="0" applyBorder="1"/>
    <xf numFmtId="0" fontId="3" fillId="0" borderId="23" xfId="0" applyFont="1" applyBorder="1" applyAlignment="1">
      <alignment horizontal="left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27" xfId="0" applyFont="1" applyBorder="1" applyAlignment="1">
      <alignment horizontal="left"/>
    </xf>
    <xf numFmtId="0" fontId="0" fillId="0" borderId="1" xfId="0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3" borderId="28" xfId="0" applyFont="1" applyFill="1" applyBorder="1" applyAlignment="1">
      <alignment horizontal="center" vertical="center"/>
    </xf>
    <xf numFmtId="0" fontId="2" fillId="3" borderId="29" xfId="0" applyFont="1" applyFill="1" applyBorder="1" applyAlignment="1">
      <alignment horizontal="center" vertical="center"/>
    </xf>
    <xf numFmtId="0" fontId="6" fillId="0" borderId="0" xfId="0" applyFont="1"/>
  </cellXfs>
  <cellStyles count="2">
    <cellStyle name="Normal" xfId="0" builtinId="0"/>
    <cellStyle name="Normal 2" xfId="1" xr:uid="{45F2A19E-6B2C-9249-BE10-E3D55B805BDA}"/>
  </cellStyles>
  <dxfs count="0"/>
  <tableStyles count="0" defaultTableStyle="TableStyleMedium2" defaultPivotStyle="PivotStyleLight16"/>
  <colors>
    <mruColors>
      <color rgb="FFFFFC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5B764-FA0A-0741-8649-A371582E3CCB}">
  <dimension ref="A1:D6"/>
  <sheetViews>
    <sheetView tabSelected="1" workbookViewId="0">
      <selection activeCell="C15" sqref="C15"/>
    </sheetView>
  </sheetViews>
  <sheetFormatPr baseColWidth="10" defaultRowHeight="16" x14ac:dyDescent="0.2"/>
  <cols>
    <col min="1" max="1" width="14.6640625" customWidth="1"/>
    <col min="2" max="2" width="20.83203125" customWidth="1"/>
    <col min="3" max="3" width="55.83203125" customWidth="1"/>
    <col min="4" max="4" width="23.1640625" customWidth="1"/>
  </cols>
  <sheetData>
    <row r="1" spans="1:4" ht="22" x14ac:dyDescent="0.2">
      <c r="A1" s="21" t="s">
        <v>24</v>
      </c>
      <c r="B1" s="22"/>
      <c r="C1" s="22"/>
      <c r="D1" s="23"/>
    </row>
    <row r="2" spans="1:4" ht="17" thickBot="1" x14ac:dyDescent="0.25">
      <c r="A2" s="4" t="s">
        <v>15</v>
      </c>
      <c r="B2" s="4" t="s">
        <v>26</v>
      </c>
      <c r="C2" s="4" t="s">
        <v>16</v>
      </c>
      <c r="D2" s="4" t="s">
        <v>17</v>
      </c>
    </row>
    <row r="3" spans="1:4" ht="20" thickTop="1" x14ac:dyDescent="0.25">
      <c r="A3" s="8" t="s">
        <v>18</v>
      </c>
      <c r="B3" s="8">
        <v>25</v>
      </c>
      <c r="C3" s="8" t="s">
        <v>19</v>
      </c>
      <c r="D3" s="8" t="s">
        <v>20</v>
      </c>
    </row>
    <row r="4" spans="1:4" ht="19" x14ac:dyDescent="0.25">
      <c r="A4" s="8" t="s">
        <v>21</v>
      </c>
      <c r="B4" s="8">
        <v>21</v>
      </c>
      <c r="C4" s="8" t="s">
        <v>19</v>
      </c>
      <c r="D4" s="8" t="s">
        <v>20</v>
      </c>
    </row>
    <row r="5" spans="1:4" ht="19" x14ac:dyDescent="0.25">
      <c r="A5" s="8" t="s">
        <v>22</v>
      </c>
      <c r="B5" s="8">
        <v>18</v>
      </c>
      <c r="C5" s="8" t="s">
        <v>23</v>
      </c>
      <c r="D5" s="8" t="s">
        <v>20</v>
      </c>
    </row>
    <row r="6" spans="1:4" x14ac:dyDescent="0.2">
      <c r="A6" s="17"/>
      <c r="B6" s="17"/>
      <c r="C6" s="17"/>
      <c r="D6" s="17"/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23C2F-FD4A-D14F-B3F3-43B91FC386FD}">
  <dimension ref="A1:C7"/>
  <sheetViews>
    <sheetView workbookViewId="0">
      <selection activeCell="C18" sqref="C18"/>
    </sheetView>
  </sheetViews>
  <sheetFormatPr baseColWidth="10" defaultRowHeight="16" x14ac:dyDescent="0.2"/>
  <cols>
    <col min="1" max="1" width="38.33203125" bestFit="1" customWidth="1"/>
    <col min="3" max="3" width="103.1640625" customWidth="1"/>
  </cols>
  <sheetData>
    <row r="1" spans="1:3" ht="22" x14ac:dyDescent="0.2">
      <c r="A1" s="18" t="s">
        <v>5</v>
      </c>
      <c r="B1" s="19"/>
      <c r="C1" s="20"/>
    </row>
    <row r="2" spans="1:3" s="7" customFormat="1" ht="17" thickBot="1" x14ac:dyDescent="0.25">
      <c r="A2" s="4" t="s">
        <v>6</v>
      </c>
      <c r="B2" s="5" t="s">
        <v>7</v>
      </c>
      <c r="C2" s="6" t="s">
        <v>9</v>
      </c>
    </row>
    <row r="3" spans="1:3" ht="20" thickTop="1" x14ac:dyDescent="0.25">
      <c r="A3" s="8" t="s">
        <v>0</v>
      </c>
      <c r="B3" s="9">
        <v>40</v>
      </c>
      <c r="C3" s="10" t="s">
        <v>25</v>
      </c>
    </row>
    <row r="4" spans="1:3" ht="19" x14ac:dyDescent="0.25">
      <c r="A4" s="11" t="s">
        <v>1</v>
      </c>
      <c r="B4" s="12">
        <v>12</v>
      </c>
      <c r="C4" s="13" t="s">
        <v>12</v>
      </c>
    </row>
    <row r="5" spans="1:3" ht="19" x14ac:dyDescent="0.25">
      <c r="A5" s="11" t="s">
        <v>2</v>
      </c>
      <c r="B5" s="12">
        <v>20</v>
      </c>
      <c r="C5" s="13" t="s">
        <v>13</v>
      </c>
    </row>
    <row r="6" spans="1:3" ht="19" x14ac:dyDescent="0.25">
      <c r="A6" s="11" t="s">
        <v>3</v>
      </c>
      <c r="B6" s="12">
        <v>24</v>
      </c>
      <c r="C6" s="13" t="s">
        <v>14</v>
      </c>
    </row>
    <row r="7" spans="1:3" ht="20" thickBot="1" x14ac:dyDescent="0.3">
      <c r="A7" s="14" t="s">
        <v>4</v>
      </c>
      <c r="B7" s="15" t="s">
        <v>10</v>
      </c>
      <c r="C7" s="16" t="s">
        <v>11</v>
      </c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99B33-A25F-D44D-BAA6-FD9DB78A73A8}">
  <dimension ref="A1:C7"/>
  <sheetViews>
    <sheetView workbookViewId="0">
      <selection activeCell="C14" sqref="C14"/>
    </sheetView>
  </sheetViews>
  <sheetFormatPr baseColWidth="10" defaultRowHeight="16" x14ac:dyDescent="0.2"/>
  <cols>
    <col min="1" max="1" width="38.33203125" bestFit="1" customWidth="1"/>
    <col min="3" max="3" width="103.1640625" customWidth="1"/>
  </cols>
  <sheetData>
    <row r="1" spans="1:3" s="25" customFormat="1" ht="22" x14ac:dyDescent="0.2">
      <c r="A1" s="18" t="s">
        <v>33</v>
      </c>
      <c r="B1" s="19"/>
      <c r="C1" s="20"/>
    </row>
    <row r="2" spans="1:3" s="25" customFormat="1" ht="17" thickBot="1" x14ac:dyDescent="0.25">
      <c r="A2" s="4" t="s">
        <v>27</v>
      </c>
      <c r="B2" s="5" t="s">
        <v>7</v>
      </c>
      <c r="C2" s="6" t="s">
        <v>16</v>
      </c>
    </row>
    <row r="3" spans="1:3" ht="20" thickTop="1" x14ac:dyDescent="0.25">
      <c r="A3" s="8" t="s">
        <v>28</v>
      </c>
      <c r="B3" s="9">
        <v>864</v>
      </c>
      <c r="C3" s="10" t="s">
        <v>29</v>
      </c>
    </row>
    <row r="4" spans="1:3" ht="19" x14ac:dyDescent="0.25">
      <c r="A4" s="11" t="s">
        <v>30</v>
      </c>
      <c r="B4" s="12">
        <v>18</v>
      </c>
      <c r="C4" s="13" t="s">
        <v>34</v>
      </c>
    </row>
    <row r="5" spans="1:3" ht="19" x14ac:dyDescent="0.25">
      <c r="A5" s="11" t="s">
        <v>31</v>
      </c>
      <c r="B5" s="12">
        <v>15</v>
      </c>
      <c r="C5" s="13" t="s">
        <v>35</v>
      </c>
    </row>
    <row r="6" spans="1:3" ht="20" thickBot="1" x14ac:dyDescent="0.3">
      <c r="A6" s="14" t="s">
        <v>32</v>
      </c>
      <c r="B6" s="15">
        <v>15</v>
      </c>
      <c r="C6" s="16" t="s">
        <v>36</v>
      </c>
    </row>
    <row r="7" spans="1:3" x14ac:dyDescent="0.2">
      <c r="B7">
        <f>SUM(B3:B6)</f>
        <v>912</v>
      </c>
    </row>
  </sheetData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8074D-DABD-BA47-BDB8-26218EFE2143}">
  <dimension ref="A1:D6"/>
  <sheetViews>
    <sheetView workbookViewId="0">
      <selection activeCell="C16" sqref="C16"/>
    </sheetView>
  </sheetViews>
  <sheetFormatPr baseColWidth="10" defaultRowHeight="16" x14ac:dyDescent="0.2"/>
  <cols>
    <col min="1" max="1" width="38.33203125" bestFit="1" customWidth="1"/>
    <col min="3" max="3" width="103.1640625" customWidth="1"/>
  </cols>
  <sheetData>
    <row r="1" spans="1:4" ht="22" x14ac:dyDescent="0.2">
      <c r="A1" s="18" t="s">
        <v>37</v>
      </c>
      <c r="B1" s="19"/>
      <c r="C1" s="20"/>
    </row>
    <row r="2" spans="1:4" s="7" customFormat="1" ht="17" thickBot="1" x14ac:dyDescent="0.25">
      <c r="A2" s="4" t="s">
        <v>27</v>
      </c>
      <c r="B2" s="5" t="s">
        <v>7</v>
      </c>
      <c r="C2" s="6" t="s">
        <v>38</v>
      </c>
    </row>
    <row r="3" spans="1:4" ht="21" thickTop="1" thickBot="1" x14ac:dyDescent="0.3">
      <c r="A3" s="28" t="s">
        <v>39</v>
      </c>
      <c r="B3" s="29">
        <v>21</v>
      </c>
      <c r="C3" s="30" t="s">
        <v>40</v>
      </c>
    </row>
    <row r="4" spans="1:4" ht="19" x14ac:dyDescent="0.25">
      <c r="A4" s="26"/>
      <c r="B4" s="27"/>
      <c r="C4" s="24"/>
    </row>
    <row r="5" spans="1:4" ht="19" x14ac:dyDescent="0.25">
      <c r="A5" s="24"/>
      <c r="B5" s="24"/>
      <c r="C5" s="24"/>
      <c r="D5" s="25"/>
    </row>
    <row r="6" spans="1:4" ht="19" x14ac:dyDescent="0.25">
      <c r="A6" s="24"/>
      <c r="B6" s="24"/>
      <c r="C6" s="24"/>
      <c r="D6" s="25"/>
    </row>
  </sheetData>
  <mergeCells count="1">
    <mergeCell ref="A1:C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4C6F6-4098-734F-8E6A-9E50B169F04E}">
  <dimension ref="A1:D33"/>
  <sheetViews>
    <sheetView workbookViewId="0">
      <selection activeCell="A14" sqref="A14"/>
    </sheetView>
  </sheetViews>
  <sheetFormatPr baseColWidth="10" defaultRowHeight="16" x14ac:dyDescent="0.2"/>
  <cols>
    <col min="1" max="1" width="38.33203125" bestFit="1" customWidth="1"/>
    <col min="3" max="3" width="103.1640625" customWidth="1"/>
  </cols>
  <sheetData>
    <row r="1" spans="1:4" ht="22" x14ac:dyDescent="0.2">
      <c r="A1" s="32" t="s">
        <v>41</v>
      </c>
      <c r="B1" s="33"/>
      <c r="C1" s="34"/>
    </row>
    <row r="2" spans="1:4" s="7" customFormat="1" ht="17" thickBot="1" x14ac:dyDescent="0.25">
      <c r="A2" s="1" t="s">
        <v>42</v>
      </c>
      <c r="B2" s="2" t="s">
        <v>7</v>
      </c>
      <c r="C2" s="3" t="s">
        <v>43</v>
      </c>
    </row>
    <row r="3" spans="1:4" ht="20" thickTop="1" x14ac:dyDescent="0.25">
      <c r="A3" s="11" t="s">
        <v>44</v>
      </c>
      <c r="B3" s="12">
        <v>612</v>
      </c>
      <c r="C3" s="13" t="s">
        <v>45</v>
      </c>
    </row>
    <row r="4" spans="1:4" ht="19" x14ac:dyDescent="0.25">
      <c r="A4" s="11" t="s">
        <v>46</v>
      </c>
      <c r="B4" s="12">
        <v>164</v>
      </c>
      <c r="C4" s="13" t="s">
        <v>45</v>
      </c>
    </row>
    <row r="5" spans="1:4" ht="19" x14ac:dyDescent="0.25">
      <c r="A5" s="11" t="s">
        <v>47</v>
      </c>
      <c r="B5" s="12">
        <v>143</v>
      </c>
      <c r="C5" s="13" t="s">
        <v>45</v>
      </c>
      <c r="D5" s="25"/>
    </row>
    <row r="6" spans="1:4" ht="19" x14ac:dyDescent="0.25">
      <c r="A6" s="11" t="s">
        <v>48</v>
      </c>
      <c r="B6" s="12">
        <v>4</v>
      </c>
      <c r="C6" s="13" t="s">
        <v>49</v>
      </c>
      <c r="D6" s="25"/>
    </row>
    <row r="7" spans="1:4" x14ac:dyDescent="0.2">
      <c r="A7" s="35" t="s">
        <v>50</v>
      </c>
      <c r="B7" s="31">
        <v>3</v>
      </c>
      <c r="C7" s="36" t="s">
        <v>49</v>
      </c>
    </row>
    <row r="8" spans="1:4" x14ac:dyDescent="0.2">
      <c r="A8" s="35" t="s">
        <v>51</v>
      </c>
      <c r="B8" s="31">
        <v>2</v>
      </c>
      <c r="C8" s="36" t="s">
        <v>49</v>
      </c>
    </row>
    <row r="9" spans="1:4" x14ac:dyDescent="0.2">
      <c r="A9" s="35" t="s">
        <v>52</v>
      </c>
      <c r="B9" s="31">
        <v>1</v>
      </c>
      <c r="C9" s="36" t="s">
        <v>49</v>
      </c>
    </row>
    <row r="10" spans="1:4" x14ac:dyDescent="0.2">
      <c r="A10" s="35" t="s">
        <v>53</v>
      </c>
      <c r="B10" s="31">
        <v>1</v>
      </c>
      <c r="C10" s="36" t="s">
        <v>49</v>
      </c>
    </row>
    <row r="11" spans="1:4" x14ac:dyDescent="0.2">
      <c r="A11" s="35" t="s">
        <v>54</v>
      </c>
      <c r="B11" s="31">
        <v>1</v>
      </c>
      <c r="C11" s="36" t="s">
        <v>49</v>
      </c>
    </row>
    <row r="12" spans="1:4" ht="17" thickBot="1" x14ac:dyDescent="0.25">
      <c r="A12" s="37" t="s">
        <v>55</v>
      </c>
      <c r="B12" s="38">
        <v>1</v>
      </c>
      <c r="C12" s="39" t="s">
        <v>49</v>
      </c>
    </row>
    <row r="14" spans="1:4" x14ac:dyDescent="0.2">
      <c r="A14" s="42" t="s">
        <v>56</v>
      </c>
    </row>
    <row r="17" customFormat="1" x14ac:dyDescent="0.2"/>
    <row r="18" customFormat="1" x14ac:dyDescent="0.2"/>
    <row r="19" customFormat="1" x14ac:dyDescent="0.2"/>
    <row r="20" customFormat="1" x14ac:dyDescent="0.2"/>
    <row r="21" customFormat="1" x14ac:dyDescent="0.2"/>
    <row r="22" customFormat="1" x14ac:dyDescent="0.2"/>
    <row r="23" customFormat="1" x14ac:dyDescent="0.2"/>
    <row r="24" customFormat="1" x14ac:dyDescent="0.2"/>
    <row r="25" customFormat="1" x14ac:dyDescent="0.2"/>
    <row r="26" customFormat="1" x14ac:dyDescent="0.2"/>
    <row r="27" customFormat="1" x14ac:dyDescent="0.2"/>
    <row r="28" customFormat="1" x14ac:dyDescent="0.2"/>
    <row r="29" customFormat="1" x14ac:dyDescent="0.2"/>
    <row r="30" customFormat="1" x14ac:dyDescent="0.2"/>
    <row r="31" customFormat="1" x14ac:dyDescent="0.2"/>
    <row r="32" customFormat="1" x14ac:dyDescent="0.2"/>
    <row r="33" customFormat="1" x14ac:dyDescent="0.2"/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ECD54-6A23-7340-9CFC-1AD8EB439C90}">
  <dimension ref="A1:E37"/>
  <sheetViews>
    <sheetView topLeftCell="A24" workbookViewId="0">
      <selection activeCell="A4" sqref="A4"/>
    </sheetView>
  </sheetViews>
  <sheetFormatPr baseColWidth="10" defaultRowHeight="16" x14ac:dyDescent="0.2"/>
  <cols>
    <col min="1" max="1" width="38.33203125" bestFit="1" customWidth="1"/>
    <col min="2" max="2" width="18" customWidth="1"/>
    <col min="3" max="3" width="103.1640625" customWidth="1"/>
    <col min="4" max="4" width="17" customWidth="1"/>
    <col min="5" max="5" width="21.33203125" customWidth="1"/>
  </cols>
  <sheetData>
    <row r="1" spans="1:5" s="25" customFormat="1" ht="22" x14ac:dyDescent="0.2">
      <c r="A1" s="32" t="s">
        <v>57</v>
      </c>
      <c r="B1" s="33"/>
      <c r="C1" s="33"/>
      <c r="D1" s="33"/>
      <c r="E1" s="34"/>
    </row>
    <row r="2" spans="1:5" s="25" customFormat="1" x14ac:dyDescent="0.2">
      <c r="A2" s="1" t="s">
        <v>58</v>
      </c>
      <c r="B2" s="2" t="s">
        <v>59</v>
      </c>
      <c r="C2" s="2" t="s">
        <v>60</v>
      </c>
      <c r="D2" s="2" t="s">
        <v>61</v>
      </c>
      <c r="E2" s="3" t="s">
        <v>62</v>
      </c>
    </row>
    <row r="3" spans="1:5" s="25" customFormat="1" ht="19" x14ac:dyDescent="0.25">
      <c r="A3" s="11" t="s">
        <v>108</v>
      </c>
      <c r="B3" s="12"/>
      <c r="C3" s="12"/>
      <c r="D3" s="31"/>
      <c r="E3" s="36"/>
    </row>
    <row r="4" spans="1:5" ht="19" x14ac:dyDescent="0.25">
      <c r="A4" s="11" t="s">
        <v>63</v>
      </c>
      <c r="B4" s="11">
        <v>9002.81</v>
      </c>
      <c r="C4" s="11">
        <v>12003.75</v>
      </c>
      <c r="D4" s="11">
        <v>1472.89</v>
      </c>
      <c r="E4" s="11">
        <v>4473.83</v>
      </c>
    </row>
    <row r="5" spans="1:5" ht="19" x14ac:dyDescent="0.25">
      <c r="A5" s="11" t="s">
        <v>65</v>
      </c>
      <c r="B5" s="11">
        <v>7207.27</v>
      </c>
      <c r="C5" s="11">
        <v>8008.08</v>
      </c>
      <c r="D5" s="11">
        <v>1497.88</v>
      </c>
      <c r="E5" s="11">
        <v>2298.6899999999996</v>
      </c>
    </row>
    <row r="6" spans="1:5" ht="19" x14ac:dyDescent="0.25">
      <c r="A6" s="11" t="s">
        <v>91</v>
      </c>
      <c r="B6" s="11">
        <v>808.67</v>
      </c>
      <c r="C6" s="11">
        <v>634.13</v>
      </c>
      <c r="D6" s="11">
        <v>180.78</v>
      </c>
      <c r="E6" s="11">
        <v>180.77999999999997</v>
      </c>
    </row>
    <row r="7" spans="1:5" ht="19" x14ac:dyDescent="0.25">
      <c r="A7" s="11" t="s">
        <v>92</v>
      </c>
      <c r="B7" s="11">
        <v>4099.6899999999996</v>
      </c>
      <c r="C7" s="11">
        <v>3857.0449999999996</v>
      </c>
      <c r="D7" s="11">
        <v>1087.78</v>
      </c>
      <c r="E7" s="11">
        <v>1087.7849999999994</v>
      </c>
    </row>
    <row r="8" spans="1:5" ht="19" x14ac:dyDescent="0.25">
      <c r="A8" s="11" t="s">
        <v>66</v>
      </c>
      <c r="B8" s="11">
        <v>35997.620000000003</v>
      </c>
      <c r="C8" s="11">
        <v>35782.720000000001</v>
      </c>
      <c r="D8" s="11">
        <v>9358.31</v>
      </c>
      <c r="E8" s="11">
        <v>9358.3100000000013</v>
      </c>
    </row>
    <row r="9" spans="1:5" ht="19" x14ac:dyDescent="0.25">
      <c r="A9" s="11" t="s">
        <v>93</v>
      </c>
      <c r="B9" s="11">
        <v>3797.79</v>
      </c>
      <c r="C9" s="11">
        <v>3510.4230000000002</v>
      </c>
      <c r="D9" s="11">
        <v>1213.48</v>
      </c>
      <c r="E9" s="11">
        <v>1318.9230000000002</v>
      </c>
    </row>
    <row r="10" spans="1:5" ht="19" x14ac:dyDescent="0.25">
      <c r="A10" s="11" t="s">
        <v>70</v>
      </c>
      <c r="B10" s="11">
        <v>15688.44</v>
      </c>
      <c r="C10" s="11">
        <v>20917.919999999998</v>
      </c>
      <c r="D10" s="11">
        <v>5641.11</v>
      </c>
      <c r="E10" s="11">
        <v>10870.589999999998</v>
      </c>
    </row>
    <row r="11" spans="1:5" ht="19" x14ac:dyDescent="0.25">
      <c r="A11" s="11" t="s">
        <v>94</v>
      </c>
      <c r="B11" s="11">
        <v>10989.89</v>
      </c>
      <c r="C11" s="11">
        <v>10742.64</v>
      </c>
      <c r="D11" s="11">
        <v>4265.2700000000004</v>
      </c>
      <c r="E11" s="11">
        <v>4265.2699999999995</v>
      </c>
    </row>
    <row r="12" spans="1:5" ht="19" x14ac:dyDescent="0.25">
      <c r="A12" s="11" t="s">
        <v>71</v>
      </c>
      <c r="B12" s="11">
        <v>12968.64</v>
      </c>
      <c r="C12" s="11">
        <v>13651.2</v>
      </c>
      <c r="D12" s="11">
        <v>2849.03</v>
      </c>
      <c r="E12" s="11">
        <v>3531.59</v>
      </c>
    </row>
    <row r="13" spans="1:5" ht="19" x14ac:dyDescent="0.25">
      <c r="A13" s="11" t="s">
        <v>72</v>
      </c>
      <c r="B13" s="11">
        <v>4617.2700000000004</v>
      </c>
      <c r="C13" s="11">
        <v>6156.36</v>
      </c>
      <c r="D13" s="11">
        <v>1635.33</v>
      </c>
      <c r="E13" s="11">
        <v>3174.4199999999996</v>
      </c>
    </row>
    <row r="14" spans="1:5" ht="19" x14ac:dyDescent="0.25">
      <c r="A14" s="11" t="s">
        <v>95</v>
      </c>
      <c r="B14" s="11">
        <v>27322.9</v>
      </c>
      <c r="C14" s="11">
        <v>27211.032000000003</v>
      </c>
      <c r="D14" s="11">
        <v>9270.6</v>
      </c>
      <c r="E14" s="11">
        <v>9270.6020000000026</v>
      </c>
    </row>
    <row r="15" spans="1:5" ht="19" x14ac:dyDescent="0.25">
      <c r="A15" s="11" t="s">
        <v>73</v>
      </c>
      <c r="B15" s="11">
        <v>1651.91</v>
      </c>
      <c r="C15" s="11">
        <v>2202.5500000000002</v>
      </c>
      <c r="D15" s="11">
        <v>617.34</v>
      </c>
      <c r="E15" s="11">
        <v>1167.9800000000002</v>
      </c>
    </row>
    <row r="16" spans="1:5" ht="19" x14ac:dyDescent="0.25">
      <c r="A16" s="11" t="s">
        <v>74</v>
      </c>
      <c r="B16" s="11">
        <v>7498.37</v>
      </c>
      <c r="C16" s="11">
        <v>9997.8299999999981</v>
      </c>
      <c r="D16" s="11">
        <v>1439.3</v>
      </c>
      <c r="E16" s="11">
        <v>3938.7599999999984</v>
      </c>
    </row>
    <row r="17" spans="1:5" ht="19" x14ac:dyDescent="0.25">
      <c r="A17" s="11" t="s">
        <v>77</v>
      </c>
      <c r="B17" s="11">
        <v>9988.5300000000007</v>
      </c>
      <c r="C17" s="11">
        <v>9762.2880000000005</v>
      </c>
      <c r="D17" s="11">
        <v>1394.05</v>
      </c>
      <c r="E17" s="11">
        <v>1394.0480000000007</v>
      </c>
    </row>
    <row r="18" spans="1:5" ht="19" x14ac:dyDescent="0.25">
      <c r="A18" s="11" t="s">
        <v>78</v>
      </c>
      <c r="B18" s="11">
        <v>5904.57</v>
      </c>
      <c r="C18" s="11">
        <v>5659.884</v>
      </c>
      <c r="D18" s="11">
        <v>1322.09</v>
      </c>
      <c r="E18" s="11">
        <v>1322.0940000000001</v>
      </c>
    </row>
    <row r="19" spans="1:5" ht="19" x14ac:dyDescent="0.25">
      <c r="A19" s="11" t="s">
        <v>96</v>
      </c>
      <c r="B19" s="11">
        <v>28208.1</v>
      </c>
      <c r="C19" s="11">
        <v>27755.287999999997</v>
      </c>
      <c r="D19" s="11">
        <v>4003.38</v>
      </c>
      <c r="E19" s="11">
        <v>4003.377999999997</v>
      </c>
    </row>
    <row r="20" spans="1:5" ht="19" x14ac:dyDescent="0.25">
      <c r="A20" s="11" t="s">
        <v>97</v>
      </c>
      <c r="B20" s="11">
        <v>3106.8</v>
      </c>
      <c r="C20" s="11">
        <v>3452</v>
      </c>
      <c r="D20" s="11">
        <v>730.18</v>
      </c>
      <c r="E20" s="11">
        <v>1075.3800000000001</v>
      </c>
    </row>
    <row r="21" spans="1:5" ht="19" x14ac:dyDescent="0.25">
      <c r="A21" s="11" t="s">
        <v>98</v>
      </c>
      <c r="B21" s="11">
        <v>6394.23</v>
      </c>
      <c r="C21" s="11">
        <v>8525.64</v>
      </c>
      <c r="D21" s="11">
        <v>2873.54</v>
      </c>
      <c r="E21" s="11">
        <v>5004.9499999999989</v>
      </c>
    </row>
    <row r="22" spans="1:5" ht="19" x14ac:dyDescent="0.25">
      <c r="A22" s="11" t="s">
        <v>99</v>
      </c>
      <c r="B22" s="11">
        <v>9549.44</v>
      </c>
      <c r="C22" s="11">
        <v>9445.098</v>
      </c>
      <c r="D22" s="11">
        <v>3858.82</v>
      </c>
      <c r="E22" s="11">
        <v>3858.8180000000002</v>
      </c>
    </row>
    <row r="23" spans="1:5" ht="19" x14ac:dyDescent="0.25">
      <c r="A23" s="11" t="s">
        <v>64</v>
      </c>
      <c r="B23" s="11">
        <v>8260.4599999999991</v>
      </c>
      <c r="C23" s="11">
        <v>7922.0250000000005</v>
      </c>
      <c r="D23" s="11">
        <v>2302.08</v>
      </c>
      <c r="E23" s="11">
        <v>2302.0750000000007</v>
      </c>
    </row>
    <row r="24" spans="1:5" ht="19" x14ac:dyDescent="0.25">
      <c r="A24" s="11" t="s">
        <v>100</v>
      </c>
      <c r="B24" s="11">
        <v>5206.53</v>
      </c>
      <c r="C24" s="11">
        <v>5133.96</v>
      </c>
      <c r="D24" s="11">
        <v>1203.96</v>
      </c>
      <c r="E24" s="11">
        <v>1203.96</v>
      </c>
    </row>
    <row r="25" spans="1:5" ht="19" x14ac:dyDescent="0.25">
      <c r="A25" s="11" t="s">
        <v>67</v>
      </c>
      <c r="B25" s="11">
        <v>6553.95</v>
      </c>
      <c r="C25" s="11">
        <v>6407.2260000000006</v>
      </c>
      <c r="D25" s="11">
        <v>1484.14</v>
      </c>
      <c r="E25" s="11">
        <v>1484.1360000000004</v>
      </c>
    </row>
    <row r="26" spans="1:5" ht="19" x14ac:dyDescent="0.25">
      <c r="A26" s="11" t="s">
        <v>68</v>
      </c>
      <c r="B26" s="11">
        <v>25384.54</v>
      </c>
      <c r="C26" s="11">
        <v>29864.159999999996</v>
      </c>
      <c r="D26" s="11">
        <v>8512.15</v>
      </c>
      <c r="E26" s="11">
        <v>12991.769999999997</v>
      </c>
    </row>
    <row r="27" spans="1:5" ht="19" x14ac:dyDescent="0.25">
      <c r="A27" s="11" t="s">
        <v>101</v>
      </c>
      <c r="B27" s="11">
        <v>12116.89</v>
      </c>
      <c r="C27" s="11">
        <v>11833.92</v>
      </c>
      <c r="D27" s="11">
        <v>5151</v>
      </c>
      <c r="E27" s="11">
        <v>5151</v>
      </c>
    </row>
    <row r="28" spans="1:5" ht="19" x14ac:dyDescent="0.25">
      <c r="A28" s="11" t="s">
        <v>69</v>
      </c>
      <c r="B28" s="11">
        <v>2008.39</v>
      </c>
      <c r="C28" s="11">
        <v>1813.6704999999999</v>
      </c>
      <c r="D28" s="11">
        <v>811.1</v>
      </c>
      <c r="E28" s="11">
        <v>811.1004999999999</v>
      </c>
    </row>
    <row r="29" spans="1:5" ht="19" x14ac:dyDescent="0.25">
      <c r="A29" s="11" t="s">
        <v>102</v>
      </c>
      <c r="B29" s="11">
        <v>6589.37</v>
      </c>
      <c r="C29" s="11">
        <v>6485.3639999999996</v>
      </c>
      <c r="D29" s="11">
        <v>1109.19</v>
      </c>
      <c r="E29" s="11">
        <v>1109.1939999999995</v>
      </c>
    </row>
    <row r="30" spans="1:5" ht="19" x14ac:dyDescent="0.25">
      <c r="A30" s="11" t="s">
        <v>103</v>
      </c>
      <c r="B30" s="11">
        <v>11778.71</v>
      </c>
      <c r="C30" s="11">
        <v>11581.299000000001</v>
      </c>
      <c r="D30" s="11">
        <v>4751.87</v>
      </c>
      <c r="E30" s="11">
        <v>4751.8690000000006</v>
      </c>
    </row>
    <row r="31" spans="1:5" ht="19" x14ac:dyDescent="0.25">
      <c r="A31" s="11" t="s">
        <v>104</v>
      </c>
      <c r="B31" s="11">
        <v>10348.43</v>
      </c>
      <c r="C31" s="11">
        <v>10068.120000000001</v>
      </c>
      <c r="D31" s="11">
        <v>1472.75</v>
      </c>
      <c r="E31" s="11">
        <v>1472.75</v>
      </c>
    </row>
    <row r="32" spans="1:5" ht="19" x14ac:dyDescent="0.25">
      <c r="A32" s="11" t="s">
        <v>75</v>
      </c>
      <c r="B32" s="11">
        <v>6212.38</v>
      </c>
      <c r="C32" s="11">
        <v>5937.246000000001</v>
      </c>
      <c r="D32" s="11">
        <v>1848.79</v>
      </c>
      <c r="E32" s="11">
        <v>1848.786000000001</v>
      </c>
    </row>
    <row r="33" spans="1:5" ht="19" x14ac:dyDescent="0.25">
      <c r="A33" s="11" t="s">
        <v>76</v>
      </c>
      <c r="B33" s="11">
        <v>908.93</v>
      </c>
      <c r="C33" s="11">
        <v>1136.1600000000001</v>
      </c>
      <c r="D33" s="11">
        <v>336.85</v>
      </c>
      <c r="E33" s="11">
        <v>564.08000000000004</v>
      </c>
    </row>
    <row r="34" spans="1:5" ht="19" x14ac:dyDescent="0.25">
      <c r="A34" s="11" t="s">
        <v>105</v>
      </c>
      <c r="B34" s="11">
        <v>21443.63</v>
      </c>
      <c r="C34" s="11">
        <v>21381.45</v>
      </c>
      <c r="D34" s="11">
        <v>8141.24</v>
      </c>
      <c r="E34" s="11">
        <v>8141.2400000000016</v>
      </c>
    </row>
    <row r="35" spans="1:5" ht="19" x14ac:dyDescent="0.25">
      <c r="A35" s="11" t="s">
        <v>79</v>
      </c>
      <c r="B35" s="11">
        <v>7383.72</v>
      </c>
      <c r="C35" s="11">
        <v>7772.34</v>
      </c>
      <c r="D35" s="11">
        <v>3270.06</v>
      </c>
      <c r="E35" s="11">
        <v>3658.6800000000003</v>
      </c>
    </row>
    <row r="36" spans="1:5" ht="19" x14ac:dyDescent="0.25">
      <c r="A36" s="11" t="s">
        <v>106</v>
      </c>
      <c r="B36" s="11">
        <v>2977.54</v>
      </c>
      <c r="C36" s="11">
        <v>3970.0499999999997</v>
      </c>
      <c r="D36" s="11">
        <v>1128.24</v>
      </c>
      <c r="E36" s="11">
        <v>2120.75</v>
      </c>
    </row>
    <row r="37" spans="1:5" ht="19" x14ac:dyDescent="0.25">
      <c r="A37" s="11" t="s">
        <v>107</v>
      </c>
      <c r="B37" s="11">
        <v>7082.69</v>
      </c>
      <c r="C37" s="11">
        <v>8853.36</v>
      </c>
      <c r="D37" s="11">
        <v>1486.35</v>
      </c>
      <c r="E37" s="11">
        <v>3257.0200000000004</v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36554-1FDD-C647-9DB3-4B458AA809F0}">
  <dimension ref="A1:C13"/>
  <sheetViews>
    <sheetView workbookViewId="0">
      <selection activeCell="A14" sqref="A14"/>
    </sheetView>
  </sheetViews>
  <sheetFormatPr baseColWidth="10" defaultRowHeight="16" x14ac:dyDescent="0.2"/>
  <cols>
    <col min="1" max="1" width="38.33203125" bestFit="1" customWidth="1"/>
    <col min="3" max="3" width="103.1640625" customWidth="1"/>
  </cols>
  <sheetData>
    <row r="1" spans="1:3" s="25" customFormat="1" ht="22" x14ac:dyDescent="0.2">
      <c r="A1" s="40" t="s">
        <v>80</v>
      </c>
      <c r="B1" s="41"/>
    </row>
    <row r="2" spans="1:3" s="25" customFormat="1" ht="17" thickBot="1" x14ac:dyDescent="0.25">
      <c r="A2" s="4" t="s">
        <v>6</v>
      </c>
      <c r="B2" s="6" t="s">
        <v>7</v>
      </c>
    </row>
    <row r="3" spans="1:3" ht="21" thickTop="1" thickBot="1" x14ac:dyDescent="0.3">
      <c r="A3" s="28" t="s">
        <v>81</v>
      </c>
      <c r="B3" s="30">
        <v>932</v>
      </c>
    </row>
    <row r="4" spans="1:3" ht="20" thickBot="1" x14ac:dyDescent="0.3">
      <c r="A4" s="28" t="s">
        <v>82</v>
      </c>
      <c r="B4" s="30">
        <v>20</v>
      </c>
    </row>
    <row r="5" spans="1:3" ht="20" thickBot="1" x14ac:dyDescent="0.3">
      <c r="A5" s="28" t="s">
        <v>8</v>
      </c>
      <c r="B5" s="30">
        <v>912</v>
      </c>
      <c r="C5" s="25"/>
    </row>
    <row r="6" spans="1:3" ht="20" thickBot="1" x14ac:dyDescent="0.3">
      <c r="A6" s="28" t="s">
        <v>83</v>
      </c>
      <c r="B6" s="30">
        <v>772</v>
      </c>
      <c r="C6" s="25"/>
    </row>
    <row r="7" spans="1:3" ht="20" thickBot="1" x14ac:dyDescent="0.3">
      <c r="A7" s="28" t="s">
        <v>84</v>
      </c>
      <c r="B7" s="30">
        <v>89</v>
      </c>
    </row>
    <row r="8" spans="1:3" ht="20" thickBot="1" x14ac:dyDescent="0.3">
      <c r="A8" s="28" t="s">
        <v>85</v>
      </c>
      <c r="B8" s="30">
        <v>51</v>
      </c>
    </row>
    <row r="9" spans="1:3" ht="20" thickBot="1" x14ac:dyDescent="0.3">
      <c r="A9" s="28" t="s">
        <v>86</v>
      </c>
      <c r="B9" s="30">
        <v>604</v>
      </c>
    </row>
    <row r="10" spans="1:3" ht="20" thickBot="1" x14ac:dyDescent="0.3">
      <c r="A10" s="28" t="s">
        <v>87</v>
      </c>
      <c r="B10" s="30">
        <v>145</v>
      </c>
    </row>
    <row r="11" spans="1:3" ht="20" thickBot="1" x14ac:dyDescent="0.3">
      <c r="A11" s="28" t="s">
        <v>88</v>
      </c>
      <c r="B11" s="30">
        <v>163</v>
      </c>
    </row>
    <row r="12" spans="1:3" ht="20" thickBot="1" x14ac:dyDescent="0.3">
      <c r="A12" s="28" t="s">
        <v>89</v>
      </c>
      <c r="B12" s="30">
        <v>69</v>
      </c>
    </row>
    <row r="13" spans="1:3" ht="20" thickBot="1" x14ac:dyDescent="0.3">
      <c r="A13" s="28" t="s">
        <v>90</v>
      </c>
      <c r="B13" s="30">
        <v>71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Missing Values Summary</vt:lpstr>
      <vt:lpstr>Duplicate Summary</vt:lpstr>
      <vt:lpstr>Invalid Discount Summary</vt:lpstr>
      <vt:lpstr>Date Issue Summary</vt:lpstr>
      <vt:lpstr>Order Status Issues</vt:lpstr>
      <vt:lpstr>Sales Mismatch</vt:lpstr>
      <vt:lpstr>Record Count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Ved Shukla 803092</dc:creator>
  <cp:lastModifiedBy>Ved Shukla 803092</cp:lastModifiedBy>
  <dcterms:created xsi:type="dcterms:W3CDTF">2026-06-26T16:17:18Z</dcterms:created>
  <dcterms:modified xsi:type="dcterms:W3CDTF">2026-06-28T16:36:11Z</dcterms:modified>
</cp:coreProperties>
</file>