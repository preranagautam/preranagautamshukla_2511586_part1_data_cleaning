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preranagautam/Documents/CapstoneProject/part1_data_cleaning/data/"/>
    </mc:Choice>
  </mc:AlternateContent>
  <xr:revisionPtr revIDLastSave="0" documentId="13_ncr:1_{54FC9BE2-FEEE-284A-914E-F02E58DBDD36}" xr6:coauthVersionLast="47" xr6:coauthVersionMax="47" xr10:uidLastSave="{00000000-0000-0000-0000-000000000000}"/>
  <bookViews>
    <workbookView xWindow="0" yWindow="500" windowWidth="28800" windowHeight="16180" xr2:uid="{00000000-000D-0000-FFFF-FFFF00000000}"/>
  </bookViews>
  <sheets>
    <sheet name="raw_orders" sheetId="1" r:id="rId1"/>
    <sheet name="business_rules" sheetId="2" r:id="rId2"/>
    <sheet name="Repeat Order Id with diff dets" sheetId="3" r:id="rId3"/>
  </sheets>
  <definedNames>
    <definedName name="_xlnm._FilterDatabase" localSheetId="0" hidden="1">raw_orders!$A$1:$AG$913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4" i="1" l="1"/>
  <c r="AE14" i="1"/>
  <c r="AE58" i="1"/>
  <c r="AE72" i="1"/>
  <c r="AE79" i="1"/>
  <c r="AE112" i="1"/>
  <c r="AE126" i="1"/>
  <c r="AE138" i="1"/>
  <c r="AE159" i="1"/>
  <c r="AE168" i="1"/>
  <c r="AE174" i="1"/>
  <c r="AE183" i="1"/>
  <c r="AE201" i="1"/>
  <c r="AE276" i="1"/>
  <c r="AE280" i="1"/>
  <c r="AE365" i="1"/>
  <c r="AE368" i="1"/>
  <c r="AE453" i="1"/>
  <c r="AE471" i="1"/>
  <c r="AE501" i="1"/>
  <c r="AE582" i="1"/>
  <c r="AE682" i="1"/>
  <c r="AE717" i="1"/>
  <c r="AE731" i="1"/>
  <c r="AE748" i="1"/>
  <c r="AE774" i="1"/>
  <c r="AE808" i="1"/>
  <c r="AE812" i="1"/>
  <c r="AE821" i="1"/>
  <c r="AE886" i="1"/>
  <c r="AD738" i="1"/>
  <c r="AD97" i="1"/>
  <c r="AD308" i="1"/>
  <c r="AD536" i="1"/>
  <c r="AD355" i="1"/>
  <c r="AD905" i="1"/>
  <c r="AD595" i="1"/>
  <c r="AD607" i="1"/>
  <c r="AD596" i="1"/>
  <c r="AD910" i="1"/>
  <c r="AD297" i="1"/>
  <c r="AD651" i="1"/>
  <c r="AD134" i="1"/>
  <c r="AD245" i="1"/>
  <c r="AD110" i="1"/>
  <c r="AD328" i="1"/>
  <c r="AD537" i="1"/>
  <c r="AD604" i="1"/>
  <c r="AD799" i="1"/>
  <c r="AD856" i="1"/>
  <c r="AD783" i="1"/>
  <c r="AD833" i="1"/>
  <c r="AD529" i="1"/>
  <c r="AD661" i="1"/>
  <c r="AD217" i="1"/>
  <c r="AD740" i="1"/>
  <c r="AD340" i="1"/>
  <c r="AD199" i="1"/>
  <c r="AD264" i="1"/>
  <c r="AD590" i="1"/>
  <c r="AD832" i="1"/>
  <c r="AD163" i="1"/>
  <c r="AD244" i="1"/>
  <c r="AD145" i="1"/>
  <c r="AD673" i="1"/>
  <c r="AD259" i="1"/>
  <c r="AD734" i="1"/>
  <c r="AD825" i="1"/>
  <c r="AD165" i="1"/>
  <c r="AD806" i="1"/>
  <c r="AD820" i="1"/>
  <c r="AD841" i="1"/>
  <c r="AD266" i="1"/>
  <c r="AD451" i="1"/>
  <c r="AD379" i="1"/>
  <c r="AD473" i="1"/>
  <c r="AD690" i="1"/>
  <c r="AD745" i="1"/>
  <c r="AD368" i="1"/>
  <c r="AD59" i="1"/>
  <c r="AD295" i="1"/>
  <c r="AD342" i="1"/>
  <c r="AD781" i="1"/>
  <c r="AD795" i="1"/>
  <c r="AD724" i="1"/>
  <c r="AD479" i="1"/>
  <c r="AD432" i="1"/>
  <c r="AD492" i="1"/>
  <c r="AD697" i="1"/>
  <c r="AD284" i="1"/>
  <c r="AD725" i="1"/>
  <c r="AD819" i="1"/>
  <c r="AD99" i="1"/>
  <c r="AD616" i="1"/>
  <c r="AD183" i="1"/>
  <c r="AD894" i="1"/>
  <c r="AD292" i="1"/>
  <c r="AD717" i="1"/>
  <c r="AD754" i="1"/>
  <c r="AD225" i="1"/>
  <c r="AD448" i="1"/>
  <c r="AD531" i="1"/>
  <c r="AD883" i="1"/>
  <c r="AD798" i="1"/>
  <c r="AD424" i="1"/>
  <c r="AD550" i="1"/>
  <c r="AD603" i="1"/>
  <c r="AD220" i="1"/>
  <c r="AD255" i="1"/>
  <c r="AD773" i="1"/>
  <c r="AD857" i="1"/>
  <c r="AD221" i="1"/>
  <c r="AD763" i="1"/>
  <c r="AD879" i="1"/>
  <c r="AD25" i="1"/>
  <c r="AD135" i="1"/>
  <c r="AD600" i="1"/>
  <c r="AD871" i="1"/>
  <c r="AD16" i="1"/>
  <c r="AD36" i="1"/>
  <c r="AD48" i="1"/>
  <c r="AD64" i="1"/>
  <c r="AD66" i="1"/>
  <c r="AD75" i="1"/>
  <c r="AD91" i="1"/>
  <c r="AD94" i="1"/>
  <c r="AD555" i="1"/>
  <c r="AD566" i="1"/>
  <c r="AD569" i="1"/>
  <c r="AD571" i="1"/>
  <c r="AD581" i="1"/>
  <c r="AD128" i="1"/>
  <c r="AD150" i="1"/>
  <c r="AD152" i="1"/>
  <c r="AD623" i="1"/>
  <c r="AD169" i="1"/>
  <c r="AD171" i="1"/>
  <c r="AD631" i="1"/>
  <c r="AD188" i="1"/>
  <c r="AD195" i="1"/>
  <c r="AD650" i="1"/>
  <c r="AD197" i="1"/>
  <c r="AD658" i="1"/>
  <c r="AD679" i="1"/>
  <c r="AD229" i="1"/>
  <c r="AD232" i="1"/>
  <c r="AD707" i="1"/>
  <c r="AD258" i="1"/>
  <c r="AD276" i="1"/>
  <c r="AD282" i="1"/>
  <c r="AD736" i="1"/>
  <c r="AD741" i="1"/>
  <c r="AD300" i="1"/>
  <c r="AD746" i="1"/>
  <c r="AD766" i="1"/>
  <c r="AD772" i="1"/>
  <c r="AD348" i="1"/>
  <c r="AD780" i="1"/>
  <c r="AD782" i="1"/>
  <c r="AD791" i="1"/>
  <c r="AD792" i="1"/>
  <c r="AD364" i="1"/>
  <c r="AD372" i="1"/>
  <c r="AD816" i="1"/>
  <c r="AD817" i="1"/>
  <c r="AD394" i="1"/>
  <c r="AD834" i="1"/>
  <c r="AD403" i="1"/>
  <c r="AD406" i="1"/>
  <c r="AD419" i="1"/>
  <c r="AD428" i="1"/>
  <c r="AD433" i="1"/>
  <c r="AD855" i="1"/>
  <c r="AD864" i="1"/>
  <c r="AD881" i="1"/>
  <c r="AD465" i="1"/>
  <c r="AD470" i="1"/>
  <c r="AD896" i="1"/>
  <c r="AD897" i="1"/>
  <c r="AD903" i="1"/>
  <c r="AD567" i="1"/>
  <c r="AD4" i="1"/>
  <c r="AD12" i="1"/>
  <c r="AD18" i="1"/>
  <c r="AD33" i="1"/>
  <c r="AD42" i="1"/>
  <c r="AD519" i="1"/>
  <c r="AD74" i="1"/>
  <c r="AD92" i="1"/>
  <c r="AD101" i="1"/>
  <c r="AD103" i="1"/>
  <c r="AD575" i="1"/>
  <c r="AD113" i="1"/>
  <c r="AD580" i="1"/>
  <c r="AD594" i="1"/>
  <c r="AD129" i="1"/>
  <c r="AD136" i="1"/>
  <c r="AD144" i="1"/>
  <c r="AD613" i="1"/>
  <c r="AD614" i="1"/>
  <c r="AD157" i="1"/>
  <c r="AD158" i="1"/>
  <c r="AD619" i="1"/>
  <c r="AD621" i="1"/>
  <c r="AD633" i="1"/>
  <c r="AD184" i="1"/>
  <c r="AD200" i="1"/>
  <c r="AD665" i="1"/>
  <c r="AD674" i="1"/>
  <c r="AD222" i="1"/>
  <c r="AD233" i="1"/>
  <c r="AD696" i="1"/>
  <c r="AD249" i="1"/>
  <c r="AD706" i="1"/>
  <c r="AD256" i="1"/>
  <c r="AD714" i="1"/>
  <c r="AD267" i="1"/>
  <c r="AD283" i="1"/>
  <c r="AD727" i="1"/>
  <c r="AD286" i="1"/>
  <c r="AD291" i="1"/>
  <c r="AD735" i="1"/>
  <c r="AD298" i="1"/>
  <c r="AD306" i="1"/>
  <c r="AD752" i="1"/>
  <c r="AD320" i="1"/>
  <c r="AD334" i="1"/>
  <c r="AD337" i="1"/>
  <c r="AD345" i="1"/>
  <c r="AD365" i="1"/>
  <c r="AD803" i="1"/>
  <c r="AD808" i="1"/>
  <c r="AD378" i="1"/>
  <c r="AD390" i="1"/>
  <c r="AD404" i="1"/>
  <c r="AD411" i="1"/>
  <c r="AD420" i="1"/>
  <c r="AD423" i="1"/>
  <c r="AD442" i="1"/>
  <c r="AD444" i="1"/>
  <c r="AD862" i="1"/>
  <c r="AD449" i="1"/>
  <c r="AD457" i="1"/>
  <c r="AD886" i="1"/>
  <c r="AD469" i="1"/>
  <c r="AD471" i="1"/>
  <c r="AD901" i="1"/>
  <c r="AD482" i="1"/>
  <c r="AD907" i="1"/>
  <c r="AD908" i="1"/>
  <c r="AD489" i="1"/>
  <c r="AD913" i="1"/>
  <c r="AD234" i="1"/>
  <c r="AD2" i="1"/>
  <c r="AD494" i="1"/>
  <c r="AD501" i="1"/>
  <c r="AD504" i="1"/>
  <c r="AD26" i="1"/>
  <c r="AD28" i="1"/>
  <c r="AD30" i="1"/>
  <c r="AD510" i="1"/>
  <c r="AD37" i="1"/>
  <c r="AD39" i="1"/>
  <c r="AD43" i="1"/>
  <c r="AD525" i="1"/>
  <c r="AD534" i="1"/>
  <c r="AD65" i="1"/>
  <c r="AD67" i="1"/>
  <c r="AD81" i="1"/>
  <c r="AD82" i="1"/>
  <c r="AD548" i="1"/>
  <c r="AD85" i="1"/>
  <c r="AD87" i="1"/>
  <c r="AD559" i="1"/>
  <c r="AD562" i="1"/>
  <c r="AD102" i="1"/>
  <c r="AD570" i="1"/>
  <c r="AD119" i="1"/>
  <c r="AD587" i="1"/>
  <c r="AD123" i="1"/>
  <c r="AD124" i="1"/>
  <c r="AD131" i="1"/>
  <c r="AD599" i="1"/>
  <c r="AD140" i="1"/>
  <c r="AD142" i="1"/>
  <c r="AD146" i="1"/>
  <c r="AD610" i="1"/>
  <c r="AD611" i="1"/>
  <c r="AD155" i="1"/>
  <c r="AD626" i="1"/>
  <c r="AD170" i="1"/>
  <c r="AD634" i="1"/>
  <c r="AD179" i="1"/>
  <c r="AD638" i="1"/>
  <c r="AD640" i="1"/>
  <c r="AD642" i="1"/>
  <c r="AD643" i="1"/>
  <c r="AD193" i="1"/>
  <c r="AD652" i="1"/>
  <c r="AD656" i="1"/>
  <c r="AD206" i="1"/>
  <c r="AD663" i="1"/>
  <c r="AD208" i="1"/>
  <c r="AD670" i="1"/>
  <c r="AD675" i="1"/>
  <c r="AD219" i="1"/>
  <c r="AD709" i="1"/>
  <c r="AD261" i="1"/>
  <c r="AD273" i="1"/>
  <c r="AD277" i="1"/>
  <c r="AD290" i="1"/>
  <c r="AD301" i="1"/>
  <c r="AD303" i="1"/>
  <c r="AD304" i="1"/>
  <c r="AD748" i="1"/>
  <c r="AD311" i="1"/>
  <c r="AD313" i="1"/>
  <c r="AD315" i="1"/>
  <c r="AD322" i="1"/>
  <c r="AD761" i="1"/>
  <c r="AD327" i="1"/>
  <c r="AD775" i="1"/>
  <c r="AD776" i="1"/>
  <c r="AD349" i="1"/>
  <c r="AD351" i="1"/>
  <c r="AD362" i="1"/>
  <c r="AD391" i="1"/>
  <c r="AD822" i="1"/>
  <c r="AD399" i="1"/>
  <c r="AD840" i="1"/>
  <c r="AD413" i="1"/>
  <c r="AD435" i="1"/>
  <c r="AD436" i="1"/>
  <c r="AD440" i="1"/>
  <c r="AD445" i="1"/>
  <c r="AD447" i="1"/>
  <c r="AD453" i="1"/>
  <c r="AD873" i="1"/>
  <c r="AD885" i="1"/>
  <c r="AD466" i="1"/>
  <c r="AD468" i="1"/>
  <c r="AD890" i="1"/>
  <c r="AD485" i="1"/>
  <c r="AD486" i="1"/>
  <c r="AD911" i="1"/>
  <c r="AD156" i="1"/>
  <c r="AD3" i="1"/>
  <c r="AD7" i="1"/>
  <c r="AD496" i="1"/>
  <c r="AD21" i="1"/>
  <c r="AD507" i="1"/>
  <c r="AD24" i="1"/>
  <c r="AD27" i="1"/>
  <c r="AD509" i="1"/>
  <c r="AD34" i="1"/>
  <c r="AD38" i="1"/>
  <c r="AD44" i="1"/>
  <c r="AD46" i="1"/>
  <c r="AD518" i="1"/>
  <c r="AD522" i="1"/>
  <c r="AD524" i="1"/>
  <c r="AD527" i="1"/>
  <c r="AD63" i="1"/>
  <c r="AD70" i="1"/>
  <c r="AD71" i="1"/>
  <c r="AD545" i="1"/>
  <c r="AD84" i="1"/>
  <c r="AD557" i="1"/>
  <c r="AD100" i="1"/>
  <c r="AD560" i="1"/>
  <c r="AD561" i="1"/>
  <c r="AD112" i="1"/>
  <c r="AD114" i="1"/>
  <c r="AD585" i="1"/>
  <c r="AD597" i="1"/>
  <c r="AD143" i="1"/>
  <c r="AD149" i="1"/>
  <c r="AD151" i="1"/>
  <c r="AD622" i="1"/>
  <c r="AD172" i="1"/>
  <c r="AD177" i="1"/>
  <c r="AD181" i="1"/>
  <c r="AD645" i="1"/>
  <c r="AD191" i="1"/>
  <c r="AD214" i="1"/>
  <c r="AD215" i="1"/>
  <c r="AD681" i="1"/>
  <c r="AD682" i="1"/>
  <c r="AD687" i="1"/>
  <c r="AD693" i="1"/>
  <c r="AD242" i="1"/>
  <c r="AD708" i="1"/>
  <c r="AD715" i="1"/>
  <c r="AD280" i="1"/>
  <c r="AD321" i="1"/>
  <c r="AD324" i="1"/>
  <c r="AD325" i="1"/>
  <c r="AD769" i="1"/>
  <c r="AD336" i="1"/>
  <c r="AD346" i="1"/>
  <c r="AD354" i="1"/>
  <c r="AD357" i="1"/>
  <c r="AD366" i="1"/>
  <c r="AD370" i="1"/>
  <c r="AD373" i="1"/>
  <c r="AD376" i="1"/>
  <c r="AD813" i="1"/>
  <c r="AD815" i="1"/>
  <c r="AD827" i="1"/>
  <c r="AD828" i="1"/>
  <c r="AD835" i="1"/>
  <c r="AD421" i="1"/>
  <c r="AD854" i="1"/>
  <c r="AD431" i="1"/>
  <c r="AD450" i="1"/>
  <c r="AD870" i="1"/>
  <c r="AD887" i="1"/>
  <c r="AD474" i="1"/>
  <c r="AD893" i="1"/>
  <c r="AD528" i="1"/>
  <c r="AD6" i="1"/>
  <c r="AD498" i="1"/>
  <c r="AD14" i="1"/>
  <c r="AD506" i="1"/>
  <c r="AD20" i="1"/>
  <c r="AD516" i="1"/>
  <c r="AD517" i="1"/>
  <c r="AD49" i="1"/>
  <c r="AD62" i="1"/>
  <c r="AD535" i="1"/>
  <c r="AD538" i="1"/>
  <c r="AD68" i="1"/>
  <c r="AD540" i="1"/>
  <c r="AD541" i="1"/>
  <c r="AD76" i="1"/>
  <c r="AD553" i="1"/>
  <c r="AD106" i="1"/>
  <c r="AD109" i="1"/>
  <c r="AD130" i="1"/>
  <c r="AD602" i="1"/>
  <c r="AD609" i="1"/>
  <c r="AD612" i="1"/>
  <c r="AD154" i="1"/>
  <c r="AD624" i="1"/>
  <c r="AD630" i="1"/>
  <c r="AD176" i="1"/>
  <c r="AD178" i="1"/>
  <c r="AD182" i="1"/>
  <c r="AD186" i="1"/>
  <c r="AD192" i="1"/>
  <c r="AD654" i="1"/>
  <c r="AD201" i="1"/>
  <c r="AD210" i="1"/>
  <c r="AD212" i="1"/>
  <c r="AD672" i="1"/>
  <c r="AD224" i="1"/>
  <c r="AD688" i="1"/>
  <c r="AD691" i="1"/>
  <c r="AD240" i="1"/>
  <c r="AD698" i="1"/>
  <c r="AD252" i="1"/>
  <c r="AD268" i="1"/>
  <c r="AD719" i="1"/>
  <c r="AD279" i="1"/>
  <c r="AD289" i="1"/>
  <c r="AD753" i="1"/>
  <c r="AD316" i="1"/>
  <c r="AD756" i="1"/>
  <c r="AD759" i="1"/>
  <c r="AD784" i="1"/>
  <c r="AD358" i="1"/>
  <c r="AD794" i="1"/>
  <c r="AD367" i="1"/>
  <c r="AD804" i="1"/>
  <c r="AD810" i="1"/>
  <c r="AD388" i="1"/>
  <c r="AD392" i="1"/>
  <c r="AD823" i="1"/>
  <c r="AD831" i="1"/>
  <c r="AD412" i="1"/>
  <c r="AD415" i="1"/>
  <c r="AD844" i="1"/>
  <c r="AD846" i="1"/>
  <c r="AD422" i="1"/>
  <c r="AD849" i="1"/>
  <c r="AD851" i="1"/>
  <c r="AD439" i="1"/>
  <c r="AD859" i="1"/>
  <c r="AD443" i="1"/>
  <c r="AD446" i="1"/>
  <c r="AD872" i="1"/>
  <c r="AD876" i="1"/>
  <c r="AD460" i="1"/>
  <c r="AD464" i="1"/>
  <c r="AD898" i="1"/>
  <c r="AD483" i="1"/>
  <c r="AD912" i="1"/>
  <c r="AD757" i="1"/>
  <c r="AD493" i="1"/>
  <c r="AD495" i="1"/>
  <c r="AD19" i="1"/>
  <c r="AD23" i="1"/>
  <c r="AD29" i="1"/>
  <c r="AD513" i="1"/>
  <c r="AD41" i="1"/>
  <c r="AD45" i="1"/>
  <c r="AD51" i="1"/>
  <c r="AD56" i="1"/>
  <c r="AD530" i="1"/>
  <c r="AD532" i="1"/>
  <c r="AD539" i="1"/>
  <c r="AD79" i="1"/>
  <c r="AD80" i="1"/>
  <c r="AD96" i="1"/>
  <c r="AD564" i="1"/>
  <c r="AD573" i="1"/>
  <c r="AD578" i="1"/>
  <c r="AD115" i="1"/>
  <c r="AD584" i="1"/>
  <c r="AD120" i="1"/>
  <c r="AD125" i="1"/>
  <c r="AD592" i="1"/>
  <c r="AD593" i="1"/>
  <c r="AD605" i="1"/>
  <c r="AD608" i="1"/>
  <c r="AD161" i="1"/>
  <c r="AD625" i="1"/>
  <c r="AD627" i="1"/>
  <c r="AD629" i="1"/>
  <c r="AD632" i="1"/>
  <c r="AD187" i="1"/>
  <c r="AD204" i="1"/>
  <c r="AD662" i="1"/>
  <c r="AD218" i="1"/>
  <c r="AD694" i="1"/>
  <c r="AD235" i="1"/>
  <c r="AD238" i="1"/>
  <c r="AD243" i="1"/>
  <c r="AD701" i="1"/>
  <c r="AD246" i="1"/>
  <c r="AD248" i="1"/>
  <c r="AD262" i="1"/>
  <c r="AD272" i="1"/>
  <c r="AD275" i="1"/>
  <c r="AD287" i="1"/>
  <c r="AD288" i="1"/>
  <c r="AD737" i="1"/>
  <c r="AD305" i="1"/>
  <c r="AD749" i="1"/>
  <c r="AD319" i="1"/>
  <c r="AD764" i="1"/>
  <c r="AD343" i="1"/>
  <c r="AD347" i="1"/>
  <c r="AD788" i="1"/>
  <c r="AD363" i="1"/>
  <c r="AD793" i="1"/>
  <c r="AD369" i="1"/>
  <c r="AD805" i="1"/>
  <c r="AD375" i="1"/>
  <c r="AD818" i="1"/>
  <c r="AD387" i="1"/>
  <c r="AD829" i="1"/>
  <c r="AD395" i="1"/>
  <c r="AD397" i="1"/>
  <c r="AD401" i="1"/>
  <c r="AD407" i="1"/>
  <c r="AD839" i="1"/>
  <c r="AD416" i="1"/>
  <c r="AD452" i="1"/>
  <c r="AD455" i="1"/>
  <c r="AD878" i="1"/>
  <c r="AD461" i="1"/>
  <c r="AD467" i="1"/>
  <c r="AD895" i="1"/>
  <c r="AD499" i="1"/>
  <c r="AD500" i="1"/>
  <c r="AD502" i="1"/>
  <c r="AD503" i="1"/>
  <c r="AD35" i="1"/>
  <c r="AD514" i="1"/>
  <c r="AD521" i="1"/>
  <c r="AD52" i="1"/>
  <c r="AD60" i="1"/>
  <c r="AD72" i="1"/>
  <c r="AD543" i="1"/>
  <c r="AD90" i="1"/>
  <c r="AD551" i="1"/>
  <c r="AD554" i="1"/>
  <c r="AD98" i="1"/>
  <c r="AD568" i="1"/>
  <c r="AD579" i="1"/>
  <c r="AD118" i="1"/>
  <c r="AD586" i="1"/>
  <c r="AD606" i="1"/>
  <c r="AD620" i="1"/>
  <c r="AD628" i="1"/>
  <c r="AD175" i="1"/>
  <c r="AD636" i="1"/>
  <c r="AD180" i="1"/>
  <c r="AD639" i="1"/>
  <c r="AD189" i="1"/>
  <c r="AD646" i="1"/>
  <c r="AD648" i="1"/>
  <c r="AD653" i="1"/>
  <c r="AD655" i="1"/>
  <c r="AD657" i="1"/>
  <c r="AD205" i="1"/>
  <c r="AD209" i="1"/>
  <c r="AD666" i="1"/>
  <c r="AD211" i="1"/>
  <c r="AD676" i="1"/>
  <c r="AD686" i="1"/>
  <c r="AD231" i="1"/>
  <c r="AD695" i="1"/>
  <c r="AD250" i="1"/>
  <c r="AD257" i="1"/>
  <c r="AD732" i="1"/>
  <c r="AD739" i="1"/>
  <c r="AD299" i="1"/>
  <c r="AD747" i="1"/>
  <c r="AD755" i="1"/>
  <c r="AD323" i="1"/>
  <c r="AD330" i="1"/>
  <c r="AD768" i="1"/>
  <c r="AD332" i="1"/>
  <c r="AD335" i="1"/>
  <c r="AD338" i="1"/>
  <c r="AD350" i="1"/>
  <c r="AD786" i="1"/>
  <c r="AD359" i="1"/>
  <c r="AD371" i="1"/>
  <c r="AD812" i="1"/>
  <c r="AD821" i="1"/>
  <c r="AD402" i="1"/>
  <c r="AD836" i="1"/>
  <c r="AD837" i="1"/>
  <c r="AD845" i="1"/>
  <c r="AD847" i="1"/>
  <c r="AD850" i="1"/>
  <c r="AD426" i="1"/>
  <c r="AD427" i="1"/>
  <c r="AD429" i="1"/>
  <c r="AD438" i="1"/>
  <c r="AD860" i="1"/>
  <c r="AD458" i="1"/>
  <c r="AD880" i="1"/>
  <c r="AD462" i="1"/>
  <c r="AD888" i="1"/>
  <c r="AD889" i="1"/>
  <c r="AD475" i="1"/>
  <c r="AD477" i="1"/>
  <c r="AD480" i="1"/>
  <c r="AD488" i="1"/>
  <c r="AD190" i="1"/>
  <c r="AD637" i="1"/>
  <c r="AD647" i="1"/>
  <c r="AD5" i="1"/>
  <c r="AD8" i="1"/>
  <c r="AD9" i="1"/>
  <c r="AD10" i="1"/>
  <c r="AD13" i="1"/>
  <c r="AD515" i="1"/>
  <c r="AD526" i="1"/>
  <c r="AD50" i="1"/>
  <c r="AD55" i="1"/>
  <c r="AD77" i="1"/>
  <c r="AD542" i="1"/>
  <c r="AD86" i="1"/>
  <c r="AD572" i="1"/>
  <c r="AD111" i="1"/>
  <c r="AD574" i="1"/>
  <c r="AD576" i="1"/>
  <c r="AD577" i="1"/>
  <c r="AD116" i="1"/>
  <c r="AD588" i="1"/>
  <c r="AD121" i="1"/>
  <c r="AD591" i="1"/>
  <c r="AD126" i="1"/>
  <c r="AD141" i="1"/>
  <c r="AD147" i="1"/>
  <c r="AD159" i="1"/>
  <c r="AD635" i="1"/>
  <c r="AD644" i="1"/>
  <c r="AD649" i="1"/>
  <c r="AD203" i="1"/>
  <c r="AD660" i="1"/>
  <c r="AD207" i="1"/>
  <c r="AD669" i="1"/>
  <c r="AD226" i="1"/>
  <c r="AD230" i="1"/>
  <c r="AD692" i="1"/>
  <c r="AD236" i="1"/>
  <c r="AD237" i="1"/>
  <c r="AD241" i="1"/>
  <c r="AD704" i="1"/>
  <c r="AD710" i="1"/>
  <c r="AD260" i="1"/>
  <c r="AD718" i="1"/>
  <c r="AD721" i="1"/>
  <c r="AD729" i="1"/>
  <c r="AD293" i="1"/>
  <c r="AD344" i="1"/>
  <c r="AD785" i="1"/>
  <c r="AD787" i="1"/>
  <c r="AD800" i="1"/>
  <c r="AD374" i="1"/>
  <c r="AD814" i="1"/>
  <c r="AD381" i="1"/>
  <c r="AD383" i="1"/>
  <c r="AD389" i="1"/>
  <c r="AD826" i="1"/>
  <c r="AD830" i="1"/>
  <c r="AD842" i="1"/>
  <c r="AD437" i="1"/>
  <c r="AD858" i="1"/>
  <c r="AD865" i="1"/>
  <c r="AD866" i="1"/>
  <c r="AD874" i="1"/>
  <c r="AD875" i="1"/>
  <c r="AD877" i="1"/>
  <c r="AD882" i="1"/>
  <c r="AD892" i="1"/>
  <c r="AD476" i="1"/>
  <c r="AD900" i="1"/>
  <c r="AD902" i="1"/>
  <c r="AD904" i="1"/>
  <c r="AD909" i="1"/>
  <c r="AD487" i="1"/>
  <c r="AD491" i="1"/>
  <c r="AD78" i="1"/>
  <c r="AD497" i="1"/>
  <c r="AD11" i="1"/>
  <c r="AD17" i="1"/>
  <c r="AD505" i="1"/>
  <c r="AD22" i="1"/>
  <c r="AD508" i="1"/>
  <c r="AD31" i="1"/>
  <c r="AD32" i="1"/>
  <c r="AD512" i="1"/>
  <c r="AD40" i="1"/>
  <c r="AD54" i="1"/>
  <c r="AD57" i="1"/>
  <c r="AD533" i="1"/>
  <c r="AD69" i="1"/>
  <c r="AD83" i="1"/>
  <c r="AD546" i="1"/>
  <c r="AD547" i="1"/>
  <c r="AD93" i="1"/>
  <c r="AD95" i="1"/>
  <c r="AD556" i="1"/>
  <c r="AD563" i="1"/>
  <c r="AD565" i="1"/>
  <c r="AD105" i="1"/>
  <c r="AD107" i="1"/>
  <c r="AD108" i="1"/>
  <c r="AD583" i="1"/>
  <c r="AD122" i="1"/>
  <c r="AD127" i="1"/>
  <c r="AD133" i="1"/>
  <c r="AD137" i="1"/>
  <c r="AD139" i="1"/>
  <c r="AD601" i="1"/>
  <c r="AD615" i="1"/>
  <c r="AD617" i="1"/>
  <c r="AD618" i="1"/>
  <c r="AD166" i="1"/>
  <c r="AD185" i="1"/>
  <c r="AD641" i="1"/>
  <c r="AD196" i="1"/>
  <c r="AD664" i="1"/>
  <c r="AD667" i="1"/>
  <c r="AD671" i="1"/>
  <c r="AD678" i="1"/>
  <c r="AD223" i="1"/>
  <c r="AD684" i="1"/>
  <c r="AD253" i="1"/>
  <c r="AD254" i="1"/>
  <c r="AD265" i="1"/>
  <c r="AD270" i="1"/>
  <c r="AD271" i="1"/>
  <c r="AD723" i="1"/>
  <c r="AD278" i="1"/>
  <c r="AD285" i="1"/>
  <c r="AD731" i="1"/>
  <c r="AD294" i="1"/>
  <c r="AD743" i="1"/>
  <c r="AD307" i="1"/>
  <c r="AD309" i="1"/>
  <c r="AD751" i="1"/>
  <c r="AD326" i="1"/>
  <c r="AD329" i="1"/>
  <c r="AD770" i="1"/>
  <c r="AD339" i="1"/>
  <c r="AD356" i="1"/>
  <c r="AD797" i="1"/>
  <c r="AD801" i="1"/>
  <c r="AD802" i="1"/>
  <c r="AD809" i="1"/>
  <c r="AD811" i="1"/>
  <c r="AD384" i="1"/>
  <c r="AD385" i="1"/>
  <c r="AD386" i="1"/>
  <c r="AD824" i="1"/>
  <c r="AD396" i="1"/>
  <c r="AD400" i="1"/>
  <c r="AD405" i="1"/>
  <c r="AD408" i="1"/>
  <c r="AD414" i="1"/>
  <c r="AD843" i="1"/>
  <c r="AD848" i="1"/>
  <c r="AD852" i="1"/>
  <c r="AD853" i="1"/>
  <c r="AD430" i="1"/>
  <c r="AD434" i="1"/>
  <c r="AD441" i="1"/>
  <c r="AD863" i="1"/>
  <c r="AD868" i="1"/>
  <c r="AD454" i="1"/>
  <c r="AD884" i="1"/>
  <c r="AD472" i="1"/>
  <c r="AD481" i="1"/>
  <c r="AD484" i="1"/>
  <c r="AD668" i="1"/>
  <c r="AD417" i="1"/>
  <c r="AD463" i="1"/>
  <c r="AD148" i="1"/>
  <c r="AD861" i="1"/>
  <c r="AD202" i="1"/>
  <c r="AD269" i="1"/>
  <c r="AD302" i="1"/>
  <c r="AD867" i="1"/>
  <c r="AD47" i="1"/>
  <c r="AD544" i="1"/>
  <c r="AD88" i="1"/>
  <c r="AD247" i="1"/>
  <c r="AD733" i="1"/>
  <c r="AD89" i="1"/>
  <c r="AD216" i="1"/>
  <c r="AD778" i="1"/>
  <c r="AD61" i="1"/>
  <c r="AD167" i="1"/>
  <c r="AD520" i="1"/>
  <c r="AD164" i="1"/>
  <c r="AD331" i="1"/>
  <c r="AD490" i="1"/>
  <c r="AD523" i="1"/>
  <c r="AD744" i="1"/>
  <c r="AD659" i="1"/>
  <c r="AD891" i="1"/>
  <c r="AD380" i="1"/>
  <c r="AD750" i="1"/>
  <c r="AD771" i="1"/>
  <c r="AD779" i="1"/>
  <c r="AD807" i="1"/>
  <c r="AD409" i="1"/>
  <c r="AD310" i="1"/>
  <c r="AD796" i="1"/>
  <c r="AD382" i="1"/>
  <c r="AD869" i="1"/>
  <c r="AD677" i="1"/>
  <c r="AD774" i="1"/>
  <c r="AD410" i="1"/>
  <c r="AD705" i="1"/>
  <c r="AD459" i="1"/>
  <c r="AD15" i="1"/>
  <c r="AD700" i="1"/>
  <c r="AD456" i="1"/>
  <c r="AD360" i="1"/>
  <c r="AD213" i="1"/>
  <c r="AD317" i="1"/>
  <c r="AD598" i="1"/>
  <c r="AD173" i="1"/>
  <c r="AD762" i="1"/>
  <c r="AD53" i="1"/>
  <c r="AD281" i="1"/>
  <c r="AD312" i="1"/>
  <c r="AD361" i="1"/>
  <c r="AD174" i="1"/>
  <c r="AD104" i="1"/>
  <c r="AD132" i="1"/>
  <c r="AD680" i="1"/>
  <c r="AD899" i="1"/>
  <c r="AD73" i="1"/>
  <c r="AD198" i="1"/>
  <c r="AD720" i="1"/>
  <c r="AD716" i="1"/>
  <c r="AD318" i="1"/>
  <c r="AD906" i="1"/>
  <c r="AD168" i="1"/>
  <c r="AD703" i="1"/>
  <c r="AD296" i="1"/>
  <c r="AD194" i="1"/>
  <c r="AD558" i="1"/>
  <c r="AD582" i="1"/>
  <c r="AD730" i="1"/>
  <c r="AD274" i="1"/>
  <c r="AD722" i="1"/>
  <c r="AD393" i="1"/>
  <c r="AD251" i="1"/>
  <c r="AD314" i="1"/>
  <c r="AD789" i="1"/>
  <c r="AD711" i="1"/>
  <c r="AD685" i="1"/>
  <c r="AD160" i="1"/>
  <c r="AD352" i="1"/>
  <c r="AD511" i="1"/>
  <c r="AD58" i="1"/>
  <c r="AD742" i="1"/>
  <c r="AD790" i="1"/>
  <c r="AD683" i="1"/>
  <c r="AD333" i="1"/>
  <c r="AD589" i="1"/>
  <c r="AD353" i="1"/>
  <c r="AD425" i="1"/>
  <c r="AD689" i="1"/>
  <c r="AD777" i="1"/>
  <c r="AD552" i="1"/>
  <c r="AD728" i="1"/>
  <c r="AD227" i="1"/>
  <c r="AD228" i="1"/>
  <c r="AD699" i="1"/>
  <c r="AD398" i="1"/>
  <c r="AD758" i="1"/>
  <c r="AD239" i="1"/>
  <c r="AD712" i="1"/>
  <c r="AD767" i="1"/>
  <c r="AD162" i="1"/>
  <c r="AD760" i="1"/>
  <c r="AD549" i="1"/>
  <c r="AD765" i="1"/>
  <c r="AD713" i="1"/>
  <c r="AD341" i="1"/>
  <c r="AD263" i="1"/>
  <c r="AD117" i="1"/>
  <c r="AD726" i="1"/>
  <c r="AD418" i="1"/>
  <c r="AD838" i="1"/>
  <c r="AD702" i="1"/>
  <c r="AD377" i="1"/>
  <c r="AD138" i="1"/>
  <c r="AD153" i="1"/>
  <c r="AC738" i="1"/>
  <c r="AC97" i="1"/>
  <c r="AC308" i="1"/>
  <c r="AC536" i="1"/>
  <c r="AC355" i="1"/>
  <c r="AC905" i="1"/>
  <c r="AC595" i="1"/>
  <c r="AC607" i="1"/>
  <c r="AC596" i="1"/>
  <c r="AC910" i="1"/>
  <c r="AC297" i="1"/>
  <c r="AC651" i="1"/>
  <c r="AC134" i="1"/>
  <c r="AC245" i="1"/>
  <c r="AC110" i="1"/>
  <c r="AC328" i="1"/>
  <c r="AC537" i="1"/>
  <c r="AC604" i="1"/>
  <c r="AC799" i="1"/>
  <c r="AC856" i="1"/>
  <c r="AC783" i="1"/>
  <c r="AC833" i="1"/>
  <c r="AC529" i="1"/>
  <c r="AC661" i="1"/>
  <c r="AC217" i="1"/>
  <c r="AC740" i="1"/>
  <c r="AC340" i="1"/>
  <c r="AC199" i="1"/>
  <c r="AC264" i="1"/>
  <c r="AC590" i="1"/>
  <c r="AC832" i="1"/>
  <c r="AC163" i="1"/>
  <c r="AC244" i="1"/>
  <c r="AC145" i="1"/>
  <c r="AC673" i="1"/>
  <c r="AC259" i="1"/>
  <c r="AC734" i="1"/>
  <c r="AC825" i="1"/>
  <c r="AC165" i="1"/>
  <c r="AC806" i="1"/>
  <c r="AC820" i="1"/>
  <c r="AC841" i="1"/>
  <c r="AC266" i="1"/>
  <c r="AC451" i="1"/>
  <c r="AC379" i="1"/>
  <c r="AC473" i="1"/>
  <c r="AC690" i="1"/>
  <c r="AC745" i="1"/>
  <c r="AC368" i="1"/>
  <c r="AC59" i="1"/>
  <c r="AC295" i="1"/>
  <c r="AC342" i="1"/>
  <c r="AC781" i="1"/>
  <c r="AC795" i="1"/>
  <c r="AC724" i="1"/>
  <c r="AC479" i="1"/>
  <c r="AC432" i="1"/>
  <c r="AC492" i="1"/>
  <c r="AC697" i="1"/>
  <c r="AC284" i="1"/>
  <c r="AC725" i="1"/>
  <c r="AC819" i="1"/>
  <c r="AC99" i="1"/>
  <c r="AC616" i="1"/>
  <c r="AC183" i="1"/>
  <c r="AC894" i="1"/>
  <c r="AC292" i="1"/>
  <c r="AC717" i="1"/>
  <c r="AC754" i="1"/>
  <c r="AC225" i="1"/>
  <c r="AC448" i="1"/>
  <c r="AC531" i="1"/>
  <c r="AC883" i="1"/>
  <c r="AC798" i="1"/>
  <c r="AC424" i="1"/>
  <c r="AC550" i="1"/>
  <c r="AC603" i="1"/>
  <c r="AC220" i="1"/>
  <c r="AC255" i="1"/>
  <c r="AC773" i="1"/>
  <c r="AC857" i="1"/>
  <c r="AC221" i="1"/>
  <c r="AC763" i="1"/>
  <c r="AC879" i="1"/>
  <c r="AC25" i="1"/>
  <c r="AC135" i="1"/>
  <c r="AC600" i="1"/>
  <c r="AC871" i="1"/>
  <c r="AC16" i="1"/>
  <c r="AC36" i="1"/>
  <c r="AC48" i="1"/>
  <c r="AC64" i="1"/>
  <c r="AC66" i="1"/>
  <c r="AC75" i="1"/>
  <c r="AC91" i="1"/>
  <c r="AC94" i="1"/>
  <c r="AC555" i="1"/>
  <c r="AC566" i="1"/>
  <c r="AC569" i="1"/>
  <c r="AC571" i="1"/>
  <c r="AC581" i="1"/>
  <c r="AC128" i="1"/>
  <c r="AC150" i="1"/>
  <c r="AC152" i="1"/>
  <c r="AC623" i="1"/>
  <c r="AC169" i="1"/>
  <c r="AC171" i="1"/>
  <c r="AC631" i="1"/>
  <c r="AC188" i="1"/>
  <c r="AC195" i="1"/>
  <c r="AC650" i="1"/>
  <c r="AC197" i="1"/>
  <c r="AC658" i="1"/>
  <c r="AC679" i="1"/>
  <c r="AC229" i="1"/>
  <c r="AC232" i="1"/>
  <c r="AC707" i="1"/>
  <c r="AC258" i="1"/>
  <c r="AC276" i="1"/>
  <c r="AC282" i="1"/>
  <c r="AC736" i="1"/>
  <c r="AC741" i="1"/>
  <c r="AC300" i="1"/>
  <c r="AC746" i="1"/>
  <c r="AC766" i="1"/>
  <c r="AC772" i="1"/>
  <c r="AC348" i="1"/>
  <c r="AC780" i="1"/>
  <c r="AC782" i="1"/>
  <c r="AC791" i="1"/>
  <c r="AC792" i="1"/>
  <c r="AC364" i="1"/>
  <c r="AC372" i="1"/>
  <c r="AC816" i="1"/>
  <c r="AC817" i="1"/>
  <c r="AC394" i="1"/>
  <c r="AC834" i="1"/>
  <c r="AC403" i="1"/>
  <c r="AC406" i="1"/>
  <c r="AC419" i="1"/>
  <c r="AC428" i="1"/>
  <c r="AC433" i="1"/>
  <c r="AC855" i="1"/>
  <c r="AC864" i="1"/>
  <c r="AC881" i="1"/>
  <c r="AC465" i="1"/>
  <c r="AC470" i="1"/>
  <c r="AC896" i="1"/>
  <c r="AC897" i="1"/>
  <c r="AC903" i="1"/>
  <c r="AC567" i="1"/>
  <c r="AC4" i="1"/>
  <c r="AC12" i="1"/>
  <c r="AC18" i="1"/>
  <c r="AC33" i="1"/>
  <c r="AC42" i="1"/>
  <c r="AC519" i="1"/>
  <c r="AC74" i="1"/>
  <c r="AC92" i="1"/>
  <c r="AC101" i="1"/>
  <c r="AC103" i="1"/>
  <c r="AC575" i="1"/>
  <c r="AC113" i="1"/>
  <c r="AC580" i="1"/>
  <c r="AC594" i="1"/>
  <c r="AC129" i="1"/>
  <c r="AC136" i="1"/>
  <c r="AC144" i="1"/>
  <c r="AC613" i="1"/>
  <c r="AC614" i="1"/>
  <c r="AC157" i="1"/>
  <c r="AC158" i="1"/>
  <c r="AC619" i="1"/>
  <c r="AC621" i="1"/>
  <c r="AC633" i="1"/>
  <c r="AC184" i="1"/>
  <c r="AC200" i="1"/>
  <c r="AC665" i="1"/>
  <c r="AC674" i="1"/>
  <c r="AC222" i="1"/>
  <c r="AC233" i="1"/>
  <c r="AC696" i="1"/>
  <c r="AC249" i="1"/>
  <c r="AC706" i="1"/>
  <c r="AC256" i="1"/>
  <c r="AC714" i="1"/>
  <c r="AC267" i="1"/>
  <c r="AC283" i="1"/>
  <c r="AC727" i="1"/>
  <c r="AC286" i="1"/>
  <c r="AC291" i="1"/>
  <c r="AC735" i="1"/>
  <c r="AC298" i="1"/>
  <c r="AC306" i="1"/>
  <c r="AC752" i="1"/>
  <c r="AC320" i="1"/>
  <c r="AC334" i="1"/>
  <c r="AC337" i="1"/>
  <c r="AC345" i="1"/>
  <c r="AC365" i="1"/>
  <c r="AC803" i="1"/>
  <c r="AC808" i="1"/>
  <c r="AC378" i="1"/>
  <c r="AC390" i="1"/>
  <c r="AC404" i="1"/>
  <c r="AC411" i="1"/>
  <c r="AC420" i="1"/>
  <c r="AC423" i="1"/>
  <c r="AC442" i="1"/>
  <c r="AC444" i="1"/>
  <c r="AC862" i="1"/>
  <c r="AC449" i="1"/>
  <c r="AC457" i="1"/>
  <c r="AC886" i="1"/>
  <c r="AC469" i="1"/>
  <c r="AC471" i="1"/>
  <c r="AC901" i="1"/>
  <c r="AC482" i="1"/>
  <c r="AC907" i="1"/>
  <c r="AC908" i="1"/>
  <c r="AC489" i="1"/>
  <c r="AC913" i="1"/>
  <c r="AC234" i="1"/>
  <c r="AC2" i="1"/>
  <c r="AC494" i="1"/>
  <c r="AC501" i="1"/>
  <c r="AC504" i="1"/>
  <c r="AC26" i="1"/>
  <c r="AC28" i="1"/>
  <c r="AC30" i="1"/>
  <c r="AC510" i="1"/>
  <c r="AC37" i="1"/>
  <c r="AC39" i="1"/>
  <c r="AC43" i="1"/>
  <c r="AC525" i="1"/>
  <c r="AC534" i="1"/>
  <c r="AC65" i="1"/>
  <c r="AC67" i="1"/>
  <c r="AC81" i="1"/>
  <c r="AC82" i="1"/>
  <c r="AC548" i="1"/>
  <c r="AC85" i="1"/>
  <c r="AC87" i="1"/>
  <c r="AC559" i="1"/>
  <c r="AC562" i="1"/>
  <c r="AC102" i="1"/>
  <c r="AC570" i="1"/>
  <c r="AC119" i="1"/>
  <c r="AC587" i="1"/>
  <c r="AC123" i="1"/>
  <c r="AC124" i="1"/>
  <c r="AC131" i="1"/>
  <c r="AC599" i="1"/>
  <c r="AC140" i="1"/>
  <c r="AC142" i="1"/>
  <c r="AC146" i="1"/>
  <c r="AC610" i="1"/>
  <c r="AC611" i="1"/>
  <c r="AC155" i="1"/>
  <c r="AC626" i="1"/>
  <c r="AC170" i="1"/>
  <c r="AC634" i="1"/>
  <c r="AC179" i="1"/>
  <c r="AC638" i="1"/>
  <c r="AC640" i="1"/>
  <c r="AC642" i="1"/>
  <c r="AC643" i="1"/>
  <c r="AC193" i="1"/>
  <c r="AC652" i="1"/>
  <c r="AC656" i="1"/>
  <c r="AC206" i="1"/>
  <c r="AC663" i="1"/>
  <c r="AC208" i="1"/>
  <c r="AC670" i="1"/>
  <c r="AC675" i="1"/>
  <c r="AC219" i="1"/>
  <c r="AC709" i="1"/>
  <c r="AC261" i="1"/>
  <c r="AC273" i="1"/>
  <c r="AC277" i="1"/>
  <c r="AC290" i="1"/>
  <c r="AC301" i="1"/>
  <c r="AC303" i="1"/>
  <c r="AC304" i="1"/>
  <c r="AC748" i="1"/>
  <c r="AC311" i="1"/>
  <c r="AC313" i="1"/>
  <c r="AC315" i="1"/>
  <c r="AC322" i="1"/>
  <c r="AC761" i="1"/>
  <c r="AC327" i="1"/>
  <c r="AC775" i="1"/>
  <c r="AC776" i="1"/>
  <c r="AC349" i="1"/>
  <c r="AC351" i="1"/>
  <c r="AC362" i="1"/>
  <c r="AC391" i="1"/>
  <c r="AC822" i="1"/>
  <c r="AC399" i="1"/>
  <c r="AC840" i="1"/>
  <c r="AC413" i="1"/>
  <c r="AC435" i="1"/>
  <c r="AC436" i="1"/>
  <c r="AC440" i="1"/>
  <c r="AC445" i="1"/>
  <c r="AC447" i="1"/>
  <c r="AC453" i="1"/>
  <c r="AC873" i="1"/>
  <c r="AC885" i="1"/>
  <c r="AC466" i="1"/>
  <c r="AC468" i="1"/>
  <c r="AC890" i="1"/>
  <c r="AC485" i="1"/>
  <c r="AC486" i="1"/>
  <c r="AC911" i="1"/>
  <c r="AC156" i="1"/>
  <c r="AC3" i="1"/>
  <c r="AC7" i="1"/>
  <c r="AC496" i="1"/>
  <c r="AC21" i="1"/>
  <c r="AC507" i="1"/>
  <c r="AC24" i="1"/>
  <c r="AC27" i="1"/>
  <c r="AC509" i="1"/>
  <c r="AC34" i="1"/>
  <c r="AC38" i="1"/>
  <c r="AC44" i="1"/>
  <c r="AC46" i="1"/>
  <c r="AC518" i="1"/>
  <c r="AC522" i="1"/>
  <c r="AC524" i="1"/>
  <c r="AC527" i="1"/>
  <c r="AC63" i="1"/>
  <c r="AC70" i="1"/>
  <c r="AC71" i="1"/>
  <c r="AC545" i="1"/>
  <c r="AC84" i="1"/>
  <c r="AC557" i="1"/>
  <c r="AC100" i="1"/>
  <c r="AC560" i="1"/>
  <c r="AC561" i="1"/>
  <c r="AC112" i="1"/>
  <c r="AC114" i="1"/>
  <c r="AC585" i="1"/>
  <c r="AC597" i="1"/>
  <c r="AC143" i="1"/>
  <c r="AC149" i="1"/>
  <c r="AC151" i="1"/>
  <c r="AC622" i="1"/>
  <c r="AC172" i="1"/>
  <c r="AC177" i="1"/>
  <c r="AC181" i="1"/>
  <c r="AC645" i="1"/>
  <c r="AC191" i="1"/>
  <c r="AC214" i="1"/>
  <c r="AC215" i="1"/>
  <c r="AC681" i="1"/>
  <c r="AC682" i="1"/>
  <c r="AC687" i="1"/>
  <c r="AC693" i="1"/>
  <c r="AC242" i="1"/>
  <c r="AC708" i="1"/>
  <c r="AC715" i="1"/>
  <c r="AC280" i="1"/>
  <c r="AC321" i="1"/>
  <c r="AC324" i="1"/>
  <c r="AC325" i="1"/>
  <c r="AC769" i="1"/>
  <c r="AC336" i="1"/>
  <c r="AC346" i="1"/>
  <c r="AC354" i="1"/>
  <c r="AC357" i="1"/>
  <c r="AC366" i="1"/>
  <c r="AC370" i="1"/>
  <c r="AC373" i="1"/>
  <c r="AC376" i="1"/>
  <c r="AC813" i="1"/>
  <c r="AC815" i="1"/>
  <c r="AC827" i="1"/>
  <c r="AC828" i="1"/>
  <c r="AC835" i="1"/>
  <c r="AC421" i="1"/>
  <c r="AC854" i="1"/>
  <c r="AC431" i="1"/>
  <c r="AC450" i="1"/>
  <c r="AC870" i="1"/>
  <c r="AC887" i="1"/>
  <c r="AC474" i="1"/>
  <c r="AC893" i="1"/>
  <c r="AC528" i="1"/>
  <c r="AC6" i="1"/>
  <c r="AC498" i="1"/>
  <c r="AC14" i="1"/>
  <c r="AC506" i="1"/>
  <c r="AC20" i="1"/>
  <c r="AC516" i="1"/>
  <c r="AC517" i="1"/>
  <c r="AC49" i="1"/>
  <c r="AC62" i="1"/>
  <c r="AC535" i="1"/>
  <c r="AC538" i="1"/>
  <c r="AC68" i="1"/>
  <c r="AC540" i="1"/>
  <c r="AC541" i="1"/>
  <c r="AC76" i="1"/>
  <c r="AC553" i="1"/>
  <c r="AC106" i="1"/>
  <c r="AC109" i="1"/>
  <c r="AC130" i="1"/>
  <c r="AC602" i="1"/>
  <c r="AC609" i="1"/>
  <c r="AC612" i="1"/>
  <c r="AC154" i="1"/>
  <c r="AC624" i="1"/>
  <c r="AC630" i="1"/>
  <c r="AC176" i="1"/>
  <c r="AC178" i="1"/>
  <c r="AC182" i="1"/>
  <c r="AC186" i="1"/>
  <c r="AC192" i="1"/>
  <c r="AC654" i="1"/>
  <c r="AC201" i="1"/>
  <c r="AC210" i="1"/>
  <c r="AC212" i="1"/>
  <c r="AC672" i="1"/>
  <c r="AC224" i="1"/>
  <c r="AC688" i="1"/>
  <c r="AC691" i="1"/>
  <c r="AC240" i="1"/>
  <c r="AC698" i="1"/>
  <c r="AC252" i="1"/>
  <c r="AC268" i="1"/>
  <c r="AC719" i="1"/>
  <c r="AC279" i="1"/>
  <c r="AC289" i="1"/>
  <c r="AC753" i="1"/>
  <c r="AC316" i="1"/>
  <c r="AC756" i="1"/>
  <c r="AC759" i="1"/>
  <c r="AC784" i="1"/>
  <c r="AC358" i="1"/>
  <c r="AC794" i="1"/>
  <c r="AC367" i="1"/>
  <c r="AC804" i="1"/>
  <c r="AC810" i="1"/>
  <c r="AC388" i="1"/>
  <c r="AC392" i="1"/>
  <c r="AC823" i="1"/>
  <c r="AC831" i="1"/>
  <c r="AC412" i="1"/>
  <c r="AC415" i="1"/>
  <c r="AC844" i="1"/>
  <c r="AC846" i="1"/>
  <c r="AC422" i="1"/>
  <c r="AC849" i="1"/>
  <c r="AC851" i="1"/>
  <c r="AC439" i="1"/>
  <c r="AC859" i="1"/>
  <c r="AC443" i="1"/>
  <c r="AC446" i="1"/>
  <c r="AC872" i="1"/>
  <c r="AC876" i="1"/>
  <c r="AC460" i="1"/>
  <c r="AC464" i="1"/>
  <c r="AC898" i="1"/>
  <c r="AC483" i="1"/>
  <c r="AC912" i="1"/>
  <c r="AC757" i="1"/>
  <c r="AC493" i="1"/>
  <c r="AC495" i="1"/>
  <c r="AC19" i="1"/>
  <c r="AC23" i="1"/>
  <c r="AC29" i="1"/>
  <c r="AC513" i="1"/>
  <c r="AC41" i="1"/>
  <c r="AC45" i="1"/>
  <c r="AC51" i="1"/>
  <c r="AC56" i="1"/>
  <c r="AC530" i="1"/>
  <c r="AC532" i="1"/>
  <c r="AC539" i="1"/>
  <c r="AC79" i="1"/>
  <c r="AC80" i="1"/>
  <c r="AC96" i="1"/>
  <c r="AC564" i="1"/>
  <c r="AC573" i="1"/>
  <c r="AC578" i="1"/>
  <c r="AC115" i="1"/>
  <c r="AC584" i="1"/>
  <c r="AC120" i="1"/>
  <c r="AC125" i="1"/>
  <c r="AC592" i="1"/>
  <c r="AC593" i="1"/>
  <c r="AC605" i="1"/>
  <c r="AC608" i="1"/>
  <c r="AC161" i="1"/>
  <c r="AC625" i="1"/>
  <c r="AC627" i="1"/>
  <c r="AC629" i="1"/>
  <c r="AC632" i="1"/>
  <c r="AC187" i="1"/>
  <c r="AC204" i="1"/>
  <c r="AC662" i="1"/>
  <c r="AC218" i="1"/>
  <c r="AC694" i="1"/>
  <c r="AC235" i="1"/>
  <c r="AC238" i="1"/>
  <c r="AC243" i="1"/>
  <c r="AC701" i="1"/>
  <c r="AC246" i="1"/>
  <c r="AC248" i="1"/>
  <c r="AC262" i="1"/>
  <c r="AC272" i="1"/>
  <c r="AC275" i="1"/>
  <c r="AC287" i="1"/>
  <c r="AC288" i="1"/>
  <c r="AC737" i="1"/>
  <c r="AC305" i="1"/>
  <c r="AC749" i="1"/>
  <c r="AC319" i="1"/>
  <c r="AC764" i="1"/>
  <c r="AC343" i="1"/>
  <c r="AC347" i="1"/>
  <c r="AC788" i="1"/>
  <c r="AC363" i="1"/>
  <c r="AC793" i="1"/>
  <c r="AC369" i="1"/>
  <c r="AC805" i="1"/>
  <c r="AC375" i="1"/>
  <c r="AC818" i="1"/>
  <c r="AC387" i="1"/>
  <c r="AC829" i="1"/>
  <c r="AC395" i="1"/>
  <c r="AC397" i="1"/>
  <c r="AC401" i="1"/>
  <c r="AC407" i="1"/>
  <c r="AC839" i="1"/>
  <c r="AC416" i="1"/>
  <c r="AC452" i="1"/>
  <c r="AC455" i="1"/>
  <c r="AC878" i="1"/>
  <c r="AC461" i="1"/>
  <c r="AC467" i="1"/>
  <c r="AC895" i="1"/>
  <c r="AC499" i="1"/>
  <c r="AC500" i="1"/>
  <c r="AC502" i="1"/>
  <c r="AC503" i="1"/>
  <c r="AC35" i="1"/>
  <c r="AC514" i="1"/>
  <c r="AC521" i="1"/>
  <c r="AC52" i="1"/>
  <c r="AC60" i="1"/>
  <c r="AC72" i="1"/>
  <c r="AC543" i="1"/>
  <c r="AC90" i="1"/>
  <c r="AC551" i="1"/>
  <c r="AC554" i="1"/>
  <c r="AC98" i="1"/>
  <c r="AC568" i="1"/>
  <c r="AC579" i="1"/>
  <c r="AC118" i="1"/>
  <c r="AC586" i="1"/>
  <c r="AC606" i="1"/>
  <c r="AC620" i="1"/>
  <c r="AC628" i="1"/>
  <c r="AC175" i="1"/>
  <c r="AC636" i="1"/>
  <c r="AC180" i="1"/>
  <c r="AC639" i="1"/>
  <c r="AC189" i="1"/>
  <c r="AC646" i="1"/>
  <c r="AC648" i="1"/>
  <c r="AC653" i="1"/>
  <c r="AC655" i="1"/>
  <c r="AC657" i="1"/>
  <c r="AC205" i="1"/>
  <c r="AC209" i="1"/>
  <c r="AC666" i="1"/>
  <c r="AC211" i="1"/>
  <c r="AC676" i="1"/>
  <c r="AC686" i="1"/>
  <c r="AC231" i="1"/>
  <c r="AC695" i="1"/>
  <c r="AC250" i="1"/>
  <c r="AC257" i="1"/>
  <c r="AC732" i="1"/>
  <c r="AC739" i="1"/>
  <c r="AC299" i="1"/>
  <c r="AC747" i="1"/>
  <c r="AC755" i="1"/>
  <c r="AC323" i="1"/>
  <c r="AC330" i="1"/>
  <c r="AC768" i="1"/>
  <c r="AC332" i="1"/>
  <c r="AC335" i="1"/>
  <c r="AC338" i="1"/>
  <c r="AC350" i="1"/>
  <c r="AC786" i="1"/>
  <c r="AC359" i="1"/>
  <c r="AC371" i="1"/>
  <c r="AC812" i="1"/>
  <c r="AC821" i="1"/>
  <c r="AC402" i="1"/>
  <c r="AC836" i="1"/>
  <c r="AC837" i="1"/>
  <c r="AC845" i="1"/>
  <c r="AC847" i="1"/>
  <c r="AC850" i="1"/>
  <c r="AC426" i="1"/>
  <c r="AC427" i="1"/>
  <c r="AC429" i="1"/>
  <c r="AC438" i="1"/>
  <c r="AC860" i="1"/>
  <c r="AC458" i="1"/>
  <c r="AC880" i="1"/>
  <c r="AC462" i="1"/>
  <c r="AC888" i="1"/>
  <c r="AC889" i="1"/>
  <c r="AC475" i="1"/>
  <c r="AC477" i="1"/>
  <c r="AC480" i="1"/>
  <c r="AC488" i="1"/>
  <c r="AC190" i="1"/>
  <c r="AC637" i="1"/>
  <c r="AC647" i="1"/>
  <c r="AC5" i="1"/>
  <c r="AC8" i="1"/>
  <c r="AC9" i="1"/>
  <c r="AC10" i="1"/>
  <c r="AC13" i="1"/>
  <c r="AC515" i="1"/>
  <c r="AC526" i="1"/>
  <c r="AC50" i="1"/>
  <c r="AC55" i="1"/>
  <c r="AC77" i="1"/>
  <c r="AC542" i="1"/>
  <c r="AC86" i="1"/>
  <c r="AC572" i="1"/>
  <c r="AC111" i="1"/>
  <c r="AC574" i="1"/>
  <c r="AC576" i="1"/>
  <c r="AC577" i="1"/>
  <c r="AC116" i="1"/>
  <c r="AC588" i="1"/>
  <c r="AC121" i="1"/>
  <c r="AC591" i="1"/>
  <c r="AC126" i="1"/>
  <c r="AC141" i="1"/>
  <c r="AC147" i="1"/>
  <c r="AC159" i="1"/>
  <c r="AC635" i="1"/>
  <c r="AC644" i="1"/>
  <c r="AC649" i="1"/>
  <c r="AC203" i="1"/>
  <c r="AC660" i="1"/>
  <c r="AC207" i="1"/>
  <c r="AC669" i="1"/>
  <c r="AC226" i="1"/>
  <c r="AC230" i="1"/>
  <c r="AC692" i="1"/>
  <c r="AC236" i="1"/>
  <c r="AC237" i="1"/>
  <c r="AC241" i="1"/>
  <c r="AC704" i="1"/>
  <c r="AC710" i="1"/>
  <c r="AC260" i="1"/>
  <c r="AC718" i="1"/>
  <c r="AC721" i="1"/>
  <c r="AC729" i="1"/>
  <c r="AC293" i="1"/>
  <c r="AC344" i="1"/>
  <c r="AC785" i="1"/>
  <c r="AC787" i="1"/>
  <c r="AC800" i="1"/>
  <c r="AC374" i="1"/>
  <c r="AC814" i="1"/>
  <c r="AC381" i="1"/>
  <c r="AC383" i="1"/>
  <c r="AC389" i="1"/>
  <c r="AC826" i="1"/>
  <c r="AC830" i="1"/>
  <c r="AC842" i="1"/>
  <c r="AC437" i="1"/>
  <c r="AC858" i="1"/>
  <c r="AC865" i="1"/>
  <c r="AC866" i="1"/>
  <c r="AC874" i="1"/>
  <c r="AC875" i="1"/>
  <c r="AC877" i="1"/>
  <c r="AC882" i="1"/>
  <c r="AC892" i="1"/>
  <c r="AC476" i="1"/>
  <c r="AC900" i="1"/>
  <c r="AC902" i="1"/>
  <c r="AC904" i="1"/>
  <c r="AC909" i="1"/>
  <c r="AC487" i="1"/>
  <c r="AC491" i="1"/>
  <c r="AC78" i="1"/>
  <c r="AC497" i="1"/>
  <c r="AC11" i="1"/>
  <c r="AC17" i="1"/>
  <c r="AC505" i="1"/>
  <c r="AC22" i="1"/>
  <c r="AC508" i="1"/>
  <c r="AC31" i="1"/>
  <c r="AC32" i="1"/>
  <c r="AC512" i="1"/>
  <c r="AC40" i="1"/>
  <c r="AC54" i="1"/>
  <c r="AC57" i="1"/>
  <c r="AC533" i="1"/>
  <c r="AC69" i="1"/>
  <c r="AC83" i="1"/>
  <c r="AC546" i="1"/>
  <c r="AC547" i="1"/>
  <c r="AC93" i="1"/>
  <c r="AC95" i="1"/>
  <c r="AC556" i="1"/>
  <c r="AC563" i="1"/>
  <c r="AC565" i="1"/>
  <c r="AC105" i="1"/>
  <c r="AC107" i="1"/>
  <c r="AC108" i="1"/>
  <c r="AC583" i="1"/>
  <c r="AC122" i="1"/>
  <c r="AC127" i="1"/>
  <c r="AC133" i="1"/>
  <c r="AC137" i="1"/>
  <c r="AC139" i="1"/>
  <c r="AC601" i="1"/>
  <c r="AC615" i="1"/>
  <c r="AC617" i="1"/>
  <c r="AC618" i="1"/>
  <c r="AC166" i="1"/>
  <c r="AC185" i="1"/>
  <c r="AC641" i="1"/>
  <c r="AC196" i="1"/>
  <c r="AC664" i="1"/>
  <c r="AC667" i="1"/>
  <c r="AC671" i="1"/>
  <c r="AC678" i="1"/>
  <c r="AC223" i="1"/>
  <c r="AC684" i="1"/>
  <c r="AC253" i="1"/>
  <c r="AC254" i="1"/>
  <c r="AC265" i="1"/>
  <c r="AC270" i="1"/>
  <c r="AC271" i="1"/>
  <c r="AC723" i="1"/>
  <c r="AC278" i="1"/>
  <c r="AC285" i="1"/>
  <c r="AC731" i="1"/>
  <c r="AC294" i="1"/>
  <c r="AC743" i="1"/>
  <c r="AC307" i="1"/>
  <c r="AC309" i="1"/>
  <c r="AC751" i="1"/>
  <c r="AC326" i="1"/>
  <c r="AC329" i="1"/>
  <c r="AC770" i="1"/>
  <c r="AC339" i="1"/>
  <c r="AC356" i="1"/>
  <c r="AC797" i="1"/>
  <c r="AC801" i="1"/>
  <c r="AC802" i="1"/>
  <c r="AC809" i="1"/>
  <c r="AC811" i="1"/>
  <c r="AC384" i="1"/>
  <c r="AC385" i="1"/>
  <c r="AC386" i="1"/>
  <c r="AC824" i="1"/>
  <c r="AC396" i="1"/>
  <c r="AC400" i="1"/>
  <c r="AC405" i="1"/>
  <c r="AC408" i="1"/>
  <c r="AC414" i="1"/>
  <c r="AC843" i="1"/>
  <c r="AC848" i="1"/>
  <c r="AC852" i="1"/>
  <c r="AC853" i="1"/>
  <c r="AC430" i="1"/>
  <c r="AC434" i="1"/>
  <c r="AC441" i="1"/>
  <c r="AC863" i="1"/>
  <c r="AC868" i="1"/>
  <c r="AC454" i="1"/>
  <c r="AC884" i="1"/>
  <c r="AC472" i="1"/>
  <c r="AC481" i="1"/>
  <c r="AC484" i="1"/>
  <c r="AC668" i="1"/>
  <c r="AC417" i="1"/>
  <c r="AC463" i="1"/>
  <c r="AC148" i="1"/>
  <c r="AC861" i="1"/>
  <c r="AC202" i="1"/>
  <c r="AC269" i="1"/>
  <c r="AC302" i="1"/>
  <c r="AC867" i="1"/>
  <c r="AC47" i="1"/>
  <c r="AC544" i="1"/>
  <c r="AC88" i="1"/>
  <c r="AC247" i="1"/>
  <c r="AC733" i="1"/>
  <c r="AC89" i="1"/>
  <c r="AC216" i="1"/>
  <c r="AC778" i="1"/>
  <c r="AC61" i="1"/>
  <c r="AC167" i="1"/>
  <c r="AC520" i="1"/>
  <c r="AC164" i="1"/>
  <c r="AC331" i="1"/>
  <c r="AC490" i="1"/>
  <c r="AC523" i="1"/>
  <c r="AC744" i="1"/>
  <c r="AC659" i="1"/>
  <c r="AC891" i="1"/>
  <c r="AC380" i="1"/>
  <c r="AC750" i="1"/>
  <c r="AC771" i="1"/>
  <c r="AC779" i="1"/>
  <c r="AC807" i="1"/>
  <c r="AC409" i="1"/>
  <c r="AC310" i="1"/>
  <c r="AC796" i="1"/>
  <c r="AC382" i="1"/>
  <c r="AC869" i="1"/>
  <c r="AC677" i="1"/>
  <c r="AC774" i="1"/>
  <c r="AC410" i="1"/>
  <c r="AC705" i="1"/>
  <c r="AC459" i="1"/>
  <c r="AC15" i="1"/>
  <c r="AC700" i="1"/>
  <c r="AC456" i="1"/>
  <c r="AC360" i="1"/>
  <c r="AC213" i="1"/>
  <c r="AC317" i="1"/>
  <c r="AC598" i="1"/>
  <c r="AC173" i="1"/>
  <c r="AC762" i="1"/>
  <c r="AC53" i="1"/>
  <c r="AC281" i="1"/>
  <c r="AC312" i="1"/>
  <c r="AC361" i="1"/>
  <c r="AC174" i="1"/>
  <c r="AC104" i="1"/>
  <c r="AC132" i="1"/>
  <c r="AC680" i="1"/>
  <c r="AC899" i="1"/>
  <c r="AC73" i="1"/>
  <c r="AC198" i="1"/>
  <c r="AC720" i="1"/>
  <c r="AC716" i="1"/>
  <c r="AC318" i="1"/>
  <c r="AC906" i="1"/>
  <c r="AC168" i="1"/>
  <c r="AC703" i="1"/>
  <c r="AC296" i="1"/>
  <c r="AC194" i="1"/>
  <c r="AC558" i="1"/>
  <c r="AC582" i="1"/>
  <c r="AC730" i="1"/>
  <c r="AC274" i="1"/>
  <c r="AC722" i="1"/>
  <c r="AC393" i="1"/>
  <c r="AC251" i="1"/>
  <c r="AC314" i="1"/>
  <c r="AC789" i="1"/>
  <c r="AC711" i="1"/>
  <c r="AC685" i="1"/>
  <c r="AC160" i="1"/>
  <c r="AC352" i="1"/>
  <c r="AC511" i="1"/>
  <c r="AC58" i="1"/>
  <c r="AC742" i="1"/>
  <c r="AC790" i="1"/>
  <c r="AC683" i="1"/>
  <c r="AC333" i="1"/>
  <c r="AC589" i="1"/>
  <c r="AC353" i="1"/>
  <c r="AC425" i="1"/>
  <c r="AC689" i="1"/>
  <c r="AC777" i="1"/>
  <c r="AC552" i="1"/>
  <c r="AC728" i="1"/>
  <c r="AC227" i="1"/>
  <c r="AC228" i="1"/>
  <c r="AC699" i="1"/>
  <c r="AC398" i="1"/>
  <c r="AC758" i="1"/>
  <c r="AC239" i="1"/>
  <c r="AC712" i="1"/>
  <c r="AC767" i="1"/>
  <c r="AC162" i="1"/>
  <c r="AC760" i="1"/>
  <c r="AC549" i="1"/>
  <c r="AC765" i="1"/>
  <c r="AC713" i="1"/>
  <c r="AC341" i="1"/>
  <c r="AC263" i="1"/>
  <c r="AC117" i="1"/>
  <c r="AC726" i="1"/>
  <c r="AC418" i="1"/>
  <c r="AC838" i="1"/>
  <c r="AC702" i="1"/>
  <c r="AC377" i="1"/>
  <c r="AC138" i="1"/>
  <c r="AC153" i="1"/>
  <c r="AD478" i="1"/>
  <c r="AC478" i="1"/>
  <c r="AB368" i="1"/>
  <c r="AB183" i="1"/>
  <c r="AB717" i="1"/>
  <c r="AB276" i="1"/>
  <c r="AB4" i="1"/>
  <c r="AB365" i="1"/>
  <c r="AB808" i="1"/>
  <c r="AB886" i="1"/>
  <c r="AB471" i="1"/>
  <c r="AB501" i="1"/>
  <c r="AB748" i="1"/>
  <c r="AB453" i="1"/>
  <c r="AB112" i="1"/>
  <c r="AB682" i="1"/>
  <c r="AB280" i="1"/>
  <c r="AB14" i="1"/>
  <c r="AB201" i="1"/>
  <c r="AB79" i="1"/>
  <c r="AB72" i="1"/>
  <c r="AB812" i="1"/>
  <c r="AB821" i="1"/>
  <c r="AB126" i="1"/>
  <c r="AB159" i="1"/>
  <c r="AB731" i="1"/>
  <c r="AB774" i="1"/>
  <c r="AB174" i="1"/>
  <c r="AB168" i="1"/>
  <c r="AB582" i="1"/>
  <c r="AB58" i="1"/>
  <c r="AB138" i="1"/>
  <c r="AA368" i="1"/>
  <c r="AA183" i="1"/>
  <c r="AA717" i="1"/>
  <c r="AA276" i="1"/>
  <c r="AA4" i="1"/>
  <c r="AA365" i="1"/>
  <c r="AA808" i="1"/>
  <c r="AA886" i="1"/>
  <c r="AA471" i="1"/>
  <c r="AA501" i="1"/>
  <c r="AA748" i="1"/>
  <c r="AA453" i="1"/>
  <c r="AA112" i="1"/>
  <c r="AA682" i="1"/>
  <c r="AA280" i="1"/>
  <c r="AA14" i="1"/>
  <c r="AA201" i="1"/>
  <c r="AA79" i="1"/>
  <c r="AA72" i="1"/>
  <c r="AA812" i="1"/>
  <c r="AA821" i="1"/>
  <c r="AA126" i="1"/>
  <c r="AA159" i="1"/>
  <c r="AA731" i="1"/>
  <c r="AA774" i="1"/>
  <c r="AA174" i="1"/>
  <c r="AA168" i="1"/>
  <c r="AA582" i="1"/>
  <c r="AA58" i="1"/>
  <c r="AA138" i="1"/>
  <c r="S738" i="1"/>
  <c r="T738" i="1" s="1"/>
  <c r="Z738" i="1" s="1"/>
  <c r="AE738" i="1" s="1"/>
  <c r="S97" i="1"/>
  <c r="T97" i="1" s="1"/>
  <c r="Z97" i="1" s="1"/>
  <c r="AE97" i="1" s="1"/>
  <c r="S308" i="1"/>
  <c r="T308" i="1" s="1"/>
  <c r="Z308" i="1" s="1"/>
  <c r="AE308" i="1" s="1"/>
  <c r="S536" i="1"/>
  <c r="T536" i="1" s="1"/>
  <c r="Z536" i="1" s="1"/>
  <c r="AE536" i="1" s="1"/>
  <c r="S355" i="1"/>
  <c r="T355" i="1" s="1"/>
  <c r="Z355" i="1" s="1"/>
  <c r="AE355" i="1" s="1"/>
  <c r="S905" i="1"/>
  <c r="T905" i="1" s="1"/>
  <c r="Z905" i="1" s="1"/>
  <c r="AE905" i="1" s="1"/>
  <c r="S595" i="1"/>
  <c r="T595" i="1" s="1"/>
  <c r="Z595" i="1" s="1"/>
  <c r="AE595" i="1" s="1"/>
  <c r="S607" i="1"/>
  <c r="T607" i="1" s="1"/>
  <c r="Z607" i="1" s="1"/>
  <c r="AE607" i="1" s="1"/>
  <c r="S596" i="1"/>
  <c r="T596" i="1" s="1"/>
  <c r="Z596" i="1" s="1"/>
  <c r="AE596" i="1" s="1"/>
  <c r="S910" i="1"/>
  <c r="T910" i="1" s="1"/>
  <c r="Z910" i="1" s="1"/>
  <c r="AE910" i="1" s="1"/>
  <c r="S297" i="1"/>
  <c r="T297" i="1" s="1"/>
  <c r="Z297" i="1" s="1"/>
  <c r="AE297" i="1" s="1"/>
  <c r="S651" i="1"/>
  <c r="T651" i="1" s="1"/>
  <c r="Z651" i="1" s="1"/>
  <c r="AE651" i="1" s="1"/>
  <c r="S134" i="1"/>
  <c r="T134" i="1" s="1"/>
  <c r="Z134" i="1" s="1"/>
  <c r="AE134" i="1" s="1"/>
  <c r="S245" i="1"/>
  <c r="T245" i="1" s="1"/>
  <c r="Z245" i="1" s="1"/>
  <c r="AE245" i="1" s="1"/>
  <c r="S110" i="1"/>
  <c r="T110" i="1" s="1"/>
  <c r="Z110" i="1" s="1"/>
  <c r="AE110" i="1" s="1"/>
  <c r="S328" i="1"/>
  <c r="T328" i="1" s="1"/>
  <c r="Z328" i="1" s="1"/>
  <c r="AE328" i="1" s="1"/>
  <c r="S537" i="1"/>
  <c r="T537" i="1" s="1"/>
  <c r="Z537" i="1" s="1"/>
  <c r="AE537" i="1" s="1"/>
  <c r="S604" i="1"/>
  <c r="T604" i="1" s="1"/>
  <c r="Z604" i="1" s="1"/>
  <c r="AE604" i="1" s="1"/>
  <c r="S799" i="1"/>
  <c r="T799" i="1" s="1"/>
  <c r="Z799" i="1" s="1"/>
  <c r="AE799" i="1" s="1"/>
  <c r="S856" i="1"/>
  <c r="T856" i="1" s="1"/>
  <c r="Z856" i="1" s="1"/>
  <c r="AE856" i="1" s="1"/>
  <c r="S783" i="1"/>
  <c r="T783" i="1" s="1"/>
  <c r="Z783" i="1" s="1"/>
  <c r="AE783" i="1" s="1"/>
  <c r="S833" i="1"/>
  <c r="T833" i="1" s="1"/>
  <c r="Z833" i="1" s="1"/>
  <c r="AE833" i="1" s="1"/>
  <c r="S529" i="1"/>
  <c r="T529" i="1" s="1"/>
  <c r="Z529" i="1" s="1"/>
  <c r="AE529" i="1" s="1"/>
  <c r="S661" i="1"/>
  <c r="T661" i="1" s="1"/>
  <c r="Z661" i="1" s="1"/>
  <c r="AE661" i="1" s="1"/>
  <c r="S217" i="1"/>
  <c r="T217" i="1" s="1"/>
  <c r="Z217" i="1" s="1"/>
  <c r="AE217" i="1" s="1"/>
  <c r="S740" i="1"/>
  <c r="T740" i="1" s="1"/>
  <c r="Z740" i="1" s="1"/>
  <c r="AE740" i="1" s="1"/>
  <c r="S340" i="1"/>
  <c r="T340" i="1" s="1"/>
  <c r="Z340" i="1" s="1"/>
  <c r="AE340" i="1" s="1"/>
  <c r="S199" i="1"/>
  <c r="T199" i="1" s="1"/>
  <c r="Z199" i="1" s="1"/>
  <c r="AE199" i="1" s="1"/>
  <c r="S264" i="1"/>
  <c r="T264" i="1" s="1"/>
  <c r="Z264" i="1" s="1"/>
  <c r="AE264" i="1" s="1"/>
  <c r="S590" i="1"/>
  <c r="T590" i="1" s="1"/>
  <c r="Z590" i="1" s="1"/>
  <c r="AE590" i="1" s="1"/>
  <c r="S832" i="1"/>
  <c r="T832" i="1" s="1"/>
  <c r="Z832" i="1" s="1"/>
  <c r="AE832" i="1" s="1"/>
  <c r="S163" i="1"/>
  <c r="T163" i="1" s="1"/>
  <c r="Z163" i="1" s="1"/>
  <c r="AE163" i="1" s="1"/>
  <c r="S244" i="1"/>
  <c r="T244" i="1" s="1"/>
  <c r="Z244" i="1" s="1"/>
  <c r="AE244" i="1" s="1"/>
  <c r="S145" i="1"/>
  <c r="T145" i="1" s="1"/>
  <c r="Z145" i="1" s="1"/>
  <c r="AE145" i="1" s="1"/>
  <c r="S673" i="1"/>
  <c r="T673" i="1" s="1"/>
  <c r="Z673" i="1" s="1"/>
  <c r="AE673" i="1" s="1"/>
  <c r="S259" i="1"/>
  <c r="T259" i="1" s="1"/>
  <c r="Z259" i="1" s="1"/>
  <c r="AE259" i="1" s="1"/>
  <c r="S734" i="1"/>
  <c r="T734" i="1" s="1"/>
  <c r="Z734" i="1" s="1"/>
  <c r="AE734" i="1" s="1"/>
  <c r="S825" i="1"/>
  <c r="T825" i="1" s="1"/>
  <c r="Z825" i="1" s="1"/>
  <c r="AE825" i="1" s="1"/>
  <c r="S165" i="1"/>
  <c r="T165" i="1" s="1"/>
  <c r="Z165" i="1" s="1"/>
  <c r="AE165" i="1" s="1"/>
  <c r="S806" i="1"/>
  <c r="T806" i="1" s="1"/>
  <c r="Z806" i="1" s="1"/>
  <c r="AE806" i="1" s="1"/>
  <c r="S820" i="1"/>
  <c r="T820" i="1" s="1"/>
  <c r="Z820" i="1" s="1"/>
  <c r="AE820" i="1" s="1"/>
  <c r="S841" i="1"/>
  <c r="T841" i="1" s="1"/>
  <c r="Z841" i="1" s="1"/>
  <c r="AE841" i="1" s="1"/>
  <c r="S266" i="1"/>
  <c r="T266" i="1" s="1"/>
  <c r="Z266" i="1" s="1"/>
  <c r="AE266" i="1" s="1"/>
  <c r="S451" i="1"/>
  <c r="T451" i="1" s="1"/>
  <c r="Z451" i="1" s="1"/>
  <c r="AE451" i="1" s="1"/>
  <c r="S379" i="1"/>
  <c r="T379" i="1" s="1"/>
  <c r="Z379" i="1" s="1"/>
  <c r="AE379" i="1" s="1"/>
  <c r="S473" i="1"/>
  <c r="T473" i="1" s="1"/>
  <c r="Z473" i="1" s="1"/>
  <c r="AE473" i="1" s="1"/>
  <c r="S690" i="1"/>
  <c r="T690" i="1" s="1"/>
  <c r="Z690" i="1" s="1"/>
  <c r="AE690" i="1" s="1"/>
  <c r="S745" i="1"/>
  <c r="T745" i="1" s="1"/>
  <c r="Z745" i="1" s="1"/>
  <c r="AE745" i="1" s="1"/>
  <c r="S368" i="1"/>
  <c r="T368" i="1" s="1"/>
  <c r="S59" i="1"/>
  <c r="T59" i="1" s="1"/>
  <c r="Z59" i="1" s="1"/>
  <c r="AE59" i="1" s="1"/>
  <c r="S295" i="1"/>
  <c r="T295" i="1" s="1"/>
  <c r="Z295" i="1" s="1"/>
  <c r="AE295" i="1" s="1"/>
  <c r="S342" i="1"/>
  <c r="T342" i="1" s="1"/>
  <c r="Z342" i="1" s="1"/>
  <c r="AE342" i="1" s="1"/>
  <c r="S781" i="1"/>
  <c r="T781" i="1" s="1"/>
  <c r="Z781" i="1" s="1"/>
  <c r="AE781" i="1" s="1"/>
  <c r="S795" i="1"/>
  <c r="T795" i="1" s="1"/>
  <c r="Z795" i="1" s="1"/>
  <c r="AE795" i="1" s="1"/>
  <c r="S724" i="1"/>
  <c r="T724" i="1" s="1"/>
  <c r="Z724" i="1" s="1"/>
  <c r="AE724" i="1" s="1"/>
  <c r="S479" i="1"/>
  <c r="T479" i="1" s="1"/>
  <c r="Z479" i="1" s="1"/>
  <c r="AE479" i="1" s="1"/>
  <c r="S432" i="1"/>
  <c r="T432" i="1" s="1"/>
  <c r="Z432" i="1" s="1"/>
  <c r="AE432" i="1" s="1"/>
  <c r="S492" i="1"/>
  <c r="T492" i="1" s="1"/>
  <c r="Z492" i="1" s="1"/>
  <c r="AE492" i="1" s="1"/>
  <c r="S697" i="1"/>
  <c r="T697" i="1" s="1"/>
  <c r="Z697" i="1" s="1"/>
  <c r="AE697" i="1" s="1"/>
  <c r="S284" i="1"/>
  <c r="T284" i="1" s="1"/>
  <c r="Z284" i="1" s="1"/>
  <c r="AE284" i="1" s="1"/>
  <c r="S725" i="1"/>
  <c r="T725" i="1" s="1"/>
  <c r="Z725" i="1" s="1"/>
  <c r="AE725" i="1" s="1"/>
  <c r="S819" i="1"/>
  <c r="T819" i="1" s="1"/>
  <c r="Z819" i="1" s="1"/>
  <c r="AE819" i="1" s="1"/>
  <c r="S99" i="1"/>
  <c r="T99" i="1" s="1"/>
  <c r="Z99" i="1" s="1"/>
  <c r="AE99" i="1" s="1"/>
  <c r="S616" i="1"/>
  <c r="T616" i="1" s="1"/>
  <c r="Z616" i="1" s="1"/>
  <c r="AE616" i="1" s="1"/>
  <c r="S183" i="1"/>
  <c r="T183" i="1" s="1"/>
  <c r="S894" i="1"/>
  <c r="T894" i="1" s="1"/>
  <c r="Z894" i="1" s="1"/>
  <c r="AE894" i="1" s="1"/>
  <c r="S292" i="1"/>
  <c r="T292" i="1" s="1"/>
  <c r="Z292" i="1" s="1"/>
  <c r="AE292" i="1" s="1"/>
  <c r="S717" i="1"/>
  <c r="T717" i="1" s="1"/>
  <c r="S754" i="1"/>
  <c r="T754" i="1" s="1"/>
  <c r="Z754" i="1" s="1"/>
  <c r="AE754" i="1" s="1"/>
  <c r="S225" i="1"/>
  <c r="T225" i="1" s="1"/>
  <c r="Z225" i="1" s="1"/>
  <c r="AE225" i="1" s="1"/>
  <c r="S448" i="1"/>
  <c r="T448" i="1" s="1"/>
  <c r="Z448" i="1" s="1"/>
  <c r="AE448" i="1" s="1"/>
  <c r="S531" i="1"/>
  <c r="T531" i="1" s="1"/>
  <c r="Z531" i="1" s="1"/>
  <c r="AE531" i="1" s="1"/>
  <c r="S883" i="1"/>
  <c r="T883" i="1" s="1"/>
  <c r="Z883" i="1" s="1"/>
  <c r="AE883" i="1" s="1"/>
  <c r="S798" i="1"/>
  <c r="T798" i="1" s="1"/>
  <c r="Z798" i="1" s="1"/>
  <c r="AE798" i="1" s="1"/>
  <c r="S424" i="1"/>
  <c r="T424" i="1" s="1"/>
  <c r="Z424" i="1" s="1"/>
  <c r="AE424" i="1" s="1"/>
  <c r="S550" i="1"/>
  <c r="T550" i="1" s="1"/>
  <c r="Z550" i="1" s="1"/>
  <c r="AE550" i="1" s="1"/>
  <c r="S603" i="1"/>
  <c r="T603" i="1" s="1"/>
  <c r="Z603" i="1" s="1"/>
  <c r="AE603" i="1" s="1"/>
  <c r="S220" i="1"/>
  <c r="T220" i="1" s="1"/>
  <c r="Z220" i="1" s="1"/>
  <c r="AE220" i="1" s="1"/>
  <c r="S255" i="1"/>
  <c r="T255" i="1" s="1"/>
  <c r="Z255" i="1" s="1"/>
  <c r="AE255" i="1" s="1"/>
  <c r="S773" i="1"/>
  <c r="T773" i="1" s="1"/>
  <c r="Z773" i="1" s="1"/>
  <c r="AE773" i="1" s="1"/>
  <c r="S857" i="1"/>
  <c r="T857" i="1" s="1"/>
  <c r="Z857" i="1" s="1"/>
  <c r="AE857" i="1" s="1"/>
  <c r="S221" i="1"/>
  <c r="T221" i="1" s="1"/>
  <c r="Z221" i="1" s="1"/>
  <c r="AE221" i="1" s="1"/>
  <c r="S763" i="1"/>
  <c r="T763" i="1" s="1"/>
  <c r="Z763" i="1" s="1"/>
  <c r="AE763" i="1" s="1"/>
  <c r="S879" i="1"/>
  <c r="T879" i="1" s="1"/>
  <c r="Z879" i="1" s="1"/>
  <c r="AE879" i="1" s="1"/>
  <c r="S25" i="1"/>
  <c r="T25" i="1" s="1"/>
  <c r="Z25" i="1" s="1"/>
  <c r="AE25" i="1" s="1"/>
  <c r="S135" i="1"/>
  <c r="T135" i="1" s="1"/>
  <c r="Z135" i="1" s="1"/>
  <c r="AE135" i="1" s="1"/>
  <c r="S600" i="1"/>
  <c r="T600" i="1" s="1"/>
  <c r="Z600" i="1" s="1"/>
  <c r="AE600" i="1" s="1"/>
  <c r="S871" i="1"/>
  <c r="T871" i="1" s="1"/>
  <c r="Z871" i="1" s="1"/>
  <c r="AE871" i="1" s="1"/>
  <c r="S16" i="1"/>
  <c r="T16" i="1" s="1"/>
  <c r="Z16" i="1" s="1"/>
  <c r="AE16" i="1" s="1"/>
  <c r="S36" i="1"/>
  <c r="T36" i="1" s="1"/>
  <c r="Z36" i="1" s="1"/>
  <c r="AE36" i="1" s="1"/>
  <c r="S48" i="1"/>
  <c r="T48" i="1" s="1"/>
  <c r="Z48" i="1" s="1"/>
  <c r="AE48" i="1" s="1"/>
  <c r="S64" i="1"/>
  <c r="T64" i="1" s="1"/>
  <c r="Z64" i="1" s="1"/>
  <c r="AE64" i="1" s="1"/>
  <c r="S66" i="1"/>
  <c r="T66" i="1" s="1"/>
  <c r="Z66" i="1" s="1"/>
  <c r="AE66" i="1" s="1"/>
  <c r="S75" i="1"/>
  <c r="T75" i="1" s="1"/>
  <c r="Z75" i="1" s="1"/>
  <c r="AE75" i="1" s="1"/>
  <c r="S91" i="1"/>
  <c r="T91" i="1" s="1"/>
  <c r="Z91" i="1" s="1"/>
  <c r="AE91" i="1" s="1"/>
  <c r="S94" i="1"/>
  <c r="T94" i="1" s="1"/>
  <c r="Z94" i="1" s="1"/>
  <c r="AE94" i="1" s="1"/>
  <c r="S555" i="1"/>
  <c r="T555" i="1" s="1"/>
  <c r="Z555" i="1" s="1"/>
  <c r="AE555" i="1" s="1"/>
  <c r="S566" i="1"/>
  <c r="T566" i="1" s="1"/>
  <c r="Z566" i="1" s="1"/>
  <c r="AE566" i="1" s="1"/>
  <c r="S569" i="1"/>
  <c r="T569" i="1" s="1"/>
  <c r="Z569" i="1" s="1"/>
  <c r="AE569" i="1" s="1"/>
  <c r="S571" i="1"/>
  <c r="T571" i="1" s="1"/>
  <c r="Z571" i="1" s="1"/>
  <c r="AE571" i="1" s="1"/>
  <c r="S581" i="1"/>
  <c r="T581" i="1" s="1"/>
  <c r="Z581" i="1" s="1"/>
  <c r="AE581" i="1" s="1"/>
  <c r="S128" i="1"/>
  <c r="T128" i="1" s="1"/>
  <c r="Z128" i="1" s="1"/>
  <c r="AE128" i="1" s="1"/>
  <c r="S150" i="1"/>
  <c r="T150" i="1" s="1"/>
  <c r="Z150" i="1" s="1"/>
  <c r="AE150" i="1" s="1"/>
  <c r="S152" i="1"/>
  <c r="T152" i="1" s="1"/>
  <c r="Z152" i="1" s="1"/>
  <c r="AE152" i="1" s="1"/>
  <c r="S623" i="1"/>
  <c r="T623" i="1" s="1"/>
  <c r="Z623" i="1" s="1"/>
  <c r="AE623" i="1" s="1"/>
  <c r="S169" i="1"/>
  <c r="T169" i="1" s="1"/>
  <c r="Z169" i="1" s="1"/>
  <c r="AE169" i="1" s="1"/>
  <c r="S171" i="1"/>
  <c r="T171" i="1" s="1"/>
  <c r="Z171" i="1" s="1"/>
  <c r="AE171" i="1" s="1"/>
  <c r="S631" i="1"/>
  <c r="T631" i="1" s="1"/>
  <c r="Z631" i="1" s="1"/>
  <c r="AE631" i="1" s="1"/>
  <c r="S188" i="1"/>
  <c r="T188" i="1" s="1"/>
  <c r="Z188" i="1" s="1"/>
  <c r="AE188" i="1" s="1"/>
  <c r="S195" i="1"/>
  <c r="T195" i="1" s="1"/>
  <c r="Z195" i="1" s="1"/>
  <c r="AE195" i="1" s="1"/>
  <c r="S650" i="1"/>
  <c r="T650" i="1" s="1"/>
  <c r="Z650" i="1" s="1"/>
  <c r="AE650" i="1" s="1"/>
  <c r="S197" i="1"/>
  <c r="T197" i="1" s="1"/>
  <c r="Z197" i="1" s="1"/>
  <c r="AE197" i="1" s="1"/>
  <c r="S658" i="1"/>
  <c r="T658" i="1" s="1"/>
  <c r="Z658" i="1" s="1"/>
  <c r="AE658" i="1" s="1"/>
  <c r="S679" i="1"/>
  <c r="T679" i="1" s="1"/>
  <c r="Z679" i="1" s="1"/>
  <c r="AE679" i="1" s="1"/>
  <c r="S229" i="1"/>
  <c r="T229" i="1" s="1"/>
  <c r="Z229" i="1" s="1"/>
  <c r="AE229" i="1" s="1"/>
  <c r="S232" i="1"/>
  <c r="T232" i="1" s="1"/>
  <c r="Z232" i="1" s="1"/>
  <c r="AE232" i="1" s="1"/>
  <c r="S707" i="1"/>
  <c r="T707" i="1" s="1"/>
  <c r="Z707" i="1" s="1"/>
  <c r="AE707" i="1" s="1"/>
  <c r="S258" i="1"/>
  <c r="T258" i="1" s="1"/>
  <c r="Z258" i="1" s="1"/>
  <c r="AE258" i="1" s="1"/>
  <c r="S276" i="1"/>
  <c r="T276" i="1" s="1"/>
  <c r="S282" i="1"/>
  <c r="T282" i="1" s="1"/>
  <c r="Z282" i="1" s="1"/>
  <c r="AE282" i="1" s="1"/>
  <c r="S736" i="1"/>
  <c r="T736" i="1" s="1"/>
  <c r="Z736" i="1" s="1"/>
  <c r="AE736" i="1" s="1"/>
  <c r="S741" i="1"/>
  <c r="T741" i="1" s="1"/>
  <c r="Z741" i="1" s="1"/>
  <c r="AE741" i="1" s="1"/>
  <c r="S300" i="1"/>
  <c r="T300" i="1" s="1"/>
  <c r="Z300" i="1" s="1"/>
  <c r="AE300" i="1" s="1"/>
  <c r="S746" i="1"/>
  <c r="T746" i="1" s="1"/>
  <c r="Z746" i="1" s="1"/>
  <c r="AE746" i="1" s="1"/>
  <c r="S766" i="1"/>
  <c r="T766" i="1" s="1"/>
  <c r="Z766" i="1" s="1"/>
  <c r="AE766" i="1" s="1"/>
  <c r="S772" i="1"/>
  <c r="T772" i="1" s="1"/>
  <c r="Z772" i="1" s="1"/>
  <c r="AE772" i="1" s="1"/>
  <c r="S348" i="1"/>
  <c r="T348" i="1" s="1"/>
  <c r="Z348" i="1" s="1"/>
  <c r="AE348" i="1" s="1"/>
  <c r="S780" i="1"/>
  <c r="T780" i="1" s="1"/>
  <c r="Z780" i="1" s="1"/>
  <c r="AE780" i="1" s="1"/>
  <c r="S782" i="1"/>
  <c r="T782" i="1" s="1"/>
  <c r="Z782" i="1" s="1"/>
  <c r="AE782" i="1" s="1"/>
  <c r="S791" i="1"/>
  <c r="T791" i="1" s="1"/>
  <c r="Z791" i="1" s="1"/>
  <c r="AE791" i="1" s="1"/>
  <c r="S792" i="1"/>
  <c r="T792" i="1" s="1"/>
  <c r="Z792" i="1" s="1"/>
  <c r="AE792" i="1" s="1"/>
  <c r="S364" i="1"/>
  <c r="T364" i="1" s="1"/>
  <c r="Z364" i="1" s="1"/>
  <c r="AE364" i="1" s="1"/>
  <c r="S372" i="1"/>
  <c r="T372" i="1" s="1"/>
  <c r="Z372" i="1" s="1"/>
  <c r="AE372" i="1" s="1"/>
  <c r="S816" i="1"/>
  <c r="T816" i="1" s="1"/>
  <c r="Z816" i="1" s="1"/>
  <c r="AE816" i="1" s="1"/>
  <c r="S817" i="1"/>
  <c r="T817" i="1" s="1"/>
  <c r="Z817" i="1" s="1"/>
  <c r="AE817" i="1" s="1"/>
  <c r="S394" i="1"/>
  <c r="T394" i="1" s="1"/>
  <c r="Z394" i="1" s="1"/>
  <c r="AE394" i="1" s="1"/>
  <c r="S834" i="1"/>
  <c r="T834" i="1" s="1"/>
  <c r="Z834" i="1" s="1"/>
  <c r="AE834" i="1" s="1"/>
  <c r="S403" i="1"/>
  <c r="T403" i="1" s="1"/>
  <c r="Z403" i="1" s="1"/>
  <c r="AE403" i="1" s="1"/>
  <c r="S406" i="1"/>
  <c r="T406" i="1" s="1"/>
  <c r="Z406" i="1" s="1"/>
  <c r="AE406" i="1" s="1"/>
  <c r="S419" i="1"/>
  <c r="T419" i="1" s="1"/>
  <c r="Z419" i="1" s="1"/>
  <c r="AE419" i="1" s="1"/>
  <c r="S428" i="1"/>
  <c r="T428" i="1" s="1"/>
  <c r="Z428" i="1" s="1"/>
  <c r="AE428" i="1" s="1"/>
  <c r="S433" i="1"/>
  <c r="T433" i="1" s="1"/>
  <c r="Z433" i="1" s="1"/>
  <c r="AE433" i="1" s="1"/>
  <c r="S855" i="1"/>
  <c r="T855" i="1" s="1"/>
  <c r="Z855" i="1" s="1"/>
  <c r="AE855" i="1" s="1"/>
  <c r="S864" i="1"/>
  <c r="T864" i="1" s="1"/>
  <c r="Z864" i="1" s="1"/>
  <c r="AE864" i="1" s="1"/>
  <c r="S881" i="1"/>
  <c r="T881" i="1" s="1"/>
  <c r="Z881" i="1" s="1"/>
  <c r="AE881" i="1" s="1"/>
  <c r="S465" i="1"/>
  <c r="T465" i="1" s="1"/>
  <c r="Z465" i="1" s="1"/>
  <c r="AE465" i="1" s="1"/>
  <c r="S470" i="1"/>
  <c r="T470" i="1" s="1"/>
  <c r="Z470" i="1" s="1"/>
  <c r="AE470" i="1" s="1"/>
  <c r="S896" i="1"/>
  <c r="T896" i="1" s="1"/>
  <c r="Z896" i="1" s="1"/>
  <c r="AE896" i="1" s="1"/>
  <c r="S897" i="1"/>
  <c r="T897" i="1" s="1"/>
  <c r="Z897" i="1" s="1"/>
  <c r="AE897" i="1" s="1"/>
  <c r="S903" i="1"/>
  <c r="T903" i="1" s="1"/>
  <c r="Z903" i="1" s="1"/>
  <c r="AE903" i="1" s="1"/>
  <c r="S567" i="1"/>
  <c r="T567" i="1" s="1"/>
  <c r="Z567" i="1" s="1"/>
  <c r="AE567" i="1" s="1"/>
  <c r="S4" i="1"/>
  <c r="T4" i="1" s="1"/>
  <c r="S12" i="1"/>
  <c r="T12" i="1" s="1"/>
  <c r="Z12" i="1" s="1"/>
  <c r="AE12" i="1" s="1"/>
  <c r="S18" i="1"/>
  <c r="T18" i="1" s="1"/>
  <c r="Z18" i="1" s="1"/>
  <c r="AE18" i="1" s="1"/>
  <c r="S33" i="1"/>
  <c r="T33" i="1" s="1"/>
  <c r="Z33" i="1" s="1"/>
  <c r="AE33" i="1" s="1"/>
  <c r="S42" i="1"/>
  <c r="T42" i="1" s="1"/>
  <c r="Z42" i="1" s="1"/>
  <c r="AE42" i="1" s="1"/>
  <c r="S519" i="1"/>
  <c r="T519" i="1" s="1"/>
  <c r="Z519" i="1" s="1"/>
  <c r="AE519" i="1" s="1"/>
  <c r="S74" i="1"/>
  <c r="T74" i="1" s="1"/>
  <c r="Z74" i="1" s="1"/>
  <c r="AE74" i="1" s="1"/>
  <c r="S92" i="1"/>
  <c r="T92" i="1" s="1"/>
  <c r="Z92" i="1" s="1"/>
  <c r="AE92" i="1" s="1"/>
  <c r="S101" i="1"/>
  <c r="T101" i="1" s="1"/>
  <c r="Z101" i="1" s="1"/>
  <c r="AE101" i="1" s="1"/>
  <c r="S103" i="1"/>
  <c r="T103" i="1" s="1"/>
  <c r="Z103" i="1" s="1"/>
  <c r="AE103" i="1" s="1"/>
  <c r="S575" i="1"/>
  <c r="T575" i="1" s="1"/>
  <c r="Z575" i="1" s="1"/>
  <c r="AE575" i="1" s="1"/>
  <c r="S113" i="1"/>
  <c r="T113" i="1" s="1"/>
  <c r="Z113" i="1" s="1"/>
  <c r="AE113" i="1" s="1"/>
  <c r="S580" i="1"/>
  <c r="T580" i="1" s="1"/>
  <c r="Z580" i="1" s="1"/>
  <c r="AE580" i="1" s="1"/>
  <c r="S594" i="1"/>
  <c r="T594" i="1" s="1"/>
  <c r="Z594" i="1" s="1"/>
  <c r="AE594" i="1" s="1"/>
  <c r="S129" i="1"/>
  <c r="T129" i="1" s="1"/>
  <c r="Z129" i="1" s="1"/>
  <c r="AE129" i="1" s="1"/>
  <c r="S136" i="1"/>
  <c r="T136" i="1" s="1"/>
  <c r="Z136" i="1" s="1"/>
  <c r="AE136" i="1" s="1"/>
  <c r="S144" i="1"/>
  <c r="T144" i="1" s="1"/>
  <c r="Z144" i="1" s="1"/>
  <c r="AE144" i="1" s="1"/>
  <c r="S613" i="1"/>
  <c r="T613" i="1" s="1"/>
  <c r="Z613" i="1" s="1"/>
  <c r="AE613" i="1" s="1"/>
  <c r="S614" i="1"/>
  <c r="T614" i="1" s="1"/>
  <c r="Z614" i="1" s="1"/>
  <c r="AE614" i="1" s="1"/>
  <c r="S157" i="1"/>
  <c r="T157" i="1" s="1"/>
  <c r="Z157" i="1" s="1"/>
  <c r="AE157" i="1" s="1"/>
  <c r="S158" i="1"/>
  <c r="T158" i="1" s="1"/>
  <c r="Z158" i="1" s="1"/>
  <c r="AE158" i="1" s="1"/>
  <c r="S619" i="1"/>
  <c r="T619" i="1" s="1"/>
  <c r="Z619" i="1" s="1"/>
  <c r="AE619" i="1" s="1"/>
  <c r="S621" i="1"/>
  <c r="T621" i="1" s="1"/>
  <c r="Z621" i="1" s="1"/>
  <c r="AE621" i="1" s="1"/>
  <c r="S633" i="1"/>
  <c r="T633" i="1" s="1"/>
  <c r="Z633" i="1" s="1"/>
  <c r="AE633" i="1" s="1"/>
  <c r="S184" i="1"/>
  <c r="T184" i="1" s="1"/>
  <c r="Z184" i="1" s="1"/>
  <c r="AE184" i="1" s="1"/>
  <c r="S200" i="1"/>
  <c r="T200" i="1" s="1"/>
  <c r="Z200" i="1" s="1"/>
  <c r="AE200" i="1" s="1"/>
  <c r="S665" i="1"/>
  <c r="T665" i="1" s="1"/>
  <c r="Z665" i="1" s="1"/>
  <c r="AE665" i="1" s="1"/>
  <c r="S674" i="1"/>
  <c r="T674" i="1" s="1"/>
  <c r="Z674" i="1" s="1"/>
  <c r="AE674" i="1" s="1"/>
  <c r="S222" i="1"/>
  <c r="T222" i="1" s="1"/>
  <c r="Z222" i="1" s="1"/>
  <c r="AE222" i="1" s="1"/>
  <c r="S233" i="1"/>
  <c r="T233" i="1" s="1"/>
  <c r="Z233" i="1" s="1"/>
  <c r="AE233" i="1" s="1"/>
  <c r="S696" i="1"/>
  <c r="T696" i="1" s="1"/>
  <c r="Z696" i="1" s="1"/>
  <c r="AE696" i="1" s="1"/>
  <c r="S249" i="1"/>
  <c r="T249" i="1" s="1"/>
  <c r="Z249" i="1" s="1"/>
  <c r="AE249" i="1" s="1"/>
  <c r="S706" i="1"/>
  <c r="T706" i="1" s="1"/>
  <c r="Z706" i="1" s="1"/>
  <c r="AE706" i="1" s="1"/>
  <c r="S256" i="1"/>
  <c r="T256" i="1" s="1"/>
  <c r="Z256" i="1" s="1"/>
  <c r="AE256" i="1" s="1"/>
  <c r="S714" i="1"/>
  <c r="T714" i="1" s="1"/>
  <c r="Z714" i="1" s="1"/>
  <c r="AE714" i="1" s="1"/>
  <c r="S267" i="1"/>
  <c r="T267" i="1" s="1"/>
  <c r="Z267" i="1" s="1"/>
  <c r="AE267" i="1" s="1"/>
  <c r="S283" i="1"/>
  <c r="T283" i="1" s="1"/>
  <c r="Z283" i="1" s="1"/>
  <c r="AE283" i="1" s="1"/>
  <c r="S727" i="1"/>
  <c r="T727" i="1" s="1"/>
  <c r="Z727" i="1" s="1"/>
  <c r="AE727" i="1" s="1"/>
  <c r="S286" i="1"/>
  <c r="T286" i="1" s="1"/>
  <c r="Z286" i="1" s="1"/>
  <c r="AE286" i="1" s="1"/>
  <c r="S291" i="1"/>
  <c r="T291" i="1" s="1"/>
  <c r="Z291" i="1" s="1"/>
  <c r="AE291" i="1" s="1"/>
  <c r="S735" i="1"/>
  <c r="T735" i="1" s="1"/>
  <c r="Z735" i="1" s="1"/>
  <c r="AE735" i="1" s="1"/>
  <c r="S298" i="1"/>
  <c r="T298" i="1" s="1"/>
  <c r="Z298" i="1" s="1"/>
  <c r="AE298" i="1" s="1"/>
  <c r="S306" i="1"/>
  <c r="T306" i="1" s="1"/>
  <c r="Z306" i="1" s="1"/>
  <c r="AE306" i="1" s="1"/>
  <c r="S752" i="1"/>
  <c r="T752" i="1" s="1"/>
  <c r="Z752" i="1" s="1"/>
  <c r="AE752" i="1" s="1"/>
  <c r="S320" i="1"/>
  <c r="T320" i="1" s="1"/>
  <c r="Z320" i="1" s="1"/>
  <c r="AE320" i="1" s="1"/>
  <c r="S334" i="1"/>
  <c r="T334" i="1" s="1"/>
  <c r="Z334" i="1" s="1"/>
  <c r="AE334" i="1" s="1"/>
  <c r="S337" i="1"/>
  <c r="T337" i="1" s="1"/>
  <c r="Z337" i="1" s="1"/>
  <c r="AE337" i="1" s="1"/>
  <c r="S345" i="1"/>
  <c r="T345" i="1" s="1"/>
  <c r="Z345" i="1" s="1"/>
  <c r="AE345" i="1" s="1"/>
  <c r="S365" i="1"/>
  <c r="T365" i="1" s="1"/>
  <c r="S803" i="1"/>
  <c r="T803" i="1" s="1"/>
  <c r="Z803" i="1" s="1"/>
  <c r="AE803" i="1" s="1"/>
  <c r="S808" i="1"/>
  <c r="T808" i="1" s="1"/>
  <c r="S378" i="1"/>
  <c r="T378" i="1" s="1"/>
  <c r="Z378" i="1" s="1"/>
  <c r="AE378" i="1" s="1"/>
  <c r="S390" i="1"/>
  <c r="T390" i="1" s="1"/>
  <c r="Z390" i="1" s="1"/>
  <c r="AE390" i="1" s="1"/>
  <c r="S404" i="1"/>
  <c r="T404" i="1" s="1"/>
  <c r="Z404" i="1" s="1"/>
  <c r="AE404" i="1" s="1"/>
  <c r="S411" i="1"/>
  <c r="T411" i="1" s="1"/>
  <c r="Z411" i="1" s="1"/>
  <c r="AE411" i="1" s="1"/>
  <c r="S420" i="1"/>
  <c r="T420" i="1" s="1"/>
  <c r="Z420" i="1" s="1"/>
  <c r="AE420" i="1" s="1"/>
  <c r="S423" i="1"/>
  <c r="T423" i="1" s="1"/>
  <c r="Z423" i="1" s="1"/>
  <c r="AE423" i="1" s="1"/>
  <c r="S442" i="1"/>
  <c r="T442" i="1" s="1"/>
  <c r="Z442" i="1" s="1"/>
  <c r="AE442" i="1" s="1"/>
  <c r="S444" i="1"/>
  <c r="T444" i="1" s="1"/>
  <c r="Z444" i="1" s="1"/>
  <c r="AA444" i="1" s="1"/>
  <c r="S862" i="1"/>
  <c r="T862" i="1" s="1"/>
  <c r="Z862" i="1" s="1"/>
  <c r="AE862" i="1" s="1"/>
  <c r="S449" i="1"/>
  <c r="T449" i="1" s="1"/>
  <c r="Z449" i="1" s="1"/>
  <c r="AE449" i="1" s="1"/>
  <c r="S457" i="1"/>
  <c r="T457" i="1" s="1"/>
  <c r="Z457" i="1" s="1"/>
  <c r="AE457" i="1" s="1"/>
  <c r="S886" i="1"/>
  <c r="T886" i="1" s="1"/>
  <c r="S469" i="1"/>
  <c r="T469" i="1" s="1"/>
  <c r="Z469" i="1" s="1"/>
  <c r="AE469" i="1" s="1"/>
  <c r="S471" i="1"/>
  <c r="T471" i="1" s="1"/>
  <c r="S901" i="1"/>
  <c r="T901" i="1" s="1"/>
  <c r="Z901" i="1" s="1"/>
  <c r="AE901" i="1" s="1"/>
  <c r="S482" i="1"/>
  <c r="T482" i="1" s="1"/>
  <c r="Z482" i="1" s="1"/>
  <c r="AE482" i="1" s="1"/>
  <c r="S907" i="1"/>
  <c r="T907" i="1" s="1"/>
  <c r="Z907" i="1" s="1"/>
  <c r="AE907" i="1" s="1"/>
  <c r="S908" i="1"/>
  <c r="T908" i="1" s="1"/>
  <c r="Z908" i="1" s="1"/>
  <c r="AE908" i="1" s="1"/>
  <c r="S489" i="1"/>
  <c r="T489" i="1" s="1"/>
  <c r="Z489" i="1" s="1"/>
  <c r="AE489" i="1" s="1"/>
  <c r="S913" i="1"/>
  <c r="T913" i="1" s="1"/>
  <c r="Z913" i="1" s="1"/>
  <c r="AE913" i="1" s="1"/>
  <c r="S234" i="1"/>
  <c r="T234" i="1" s="1"/>
  <c r="Z234" i="1" s="1"/>
  <c r="AE234" i="1" s="1"/>
  <c r="S2" i="1"/>
  <c r="T2" i="1" s="1"/>
  <c r="Z2" i="1" s="1"/>
  <c r="AE2" i="1" s="1"/>
  <c r="S494" i="1"/>
  <c r="T494" i="1" s="1"/>
  <c r="Z494" i="1" s="1"/>
  <c r="AE494" i="1" s="1"/>
  <c r="S501" i="1"/>
  <c r="T501" i="1" s="1"/>
  <c r="S504" i="1"/>
  <c r="T504" i="1" s="1"/>
  <c r="Z504" i="1" s="1"/>
  <c r="AE504" i="1" s="1"/>
  <c r="S26" i="1"/>
  <c r="T26" i="1" s="1"/>
  <c r="Z26" i="1" s="1"/>
  <c r="AE26" i="1" s="1"/>
  <c r="S28" i="1"/>
  <c r="T28" i="1" s="1"/>
  <c r="Z28" i="1" s="1"/>
  <c r="AE28" i="1" s="1"/>
  <c r="S30" i="1"/>
  <c r="T30" i="1" s="1"/>
  <c r="Z30" i="1" s="1"/>
  <c r="AE30" i="1" s="1"/>
  <c r="S510" i="1"/>
  <c r="T510" i="1" s="1"/>
  <c r="Z510" i="1" s="1"/>
  <c r="AE510" i="1" s="1"/>
  <c r="S37" i="1"/>
  <c r="T37" i="1" s="1"/>
  <c r="Z37" i="1" s="1"/>
  <c r="AE37" i="1" s="1"/>
  <c r="S39" i="1"/>
  <c r="T39" i="1" s="1"/>
  <c r="Z39" i="1" s="1"/>
  <c r="AE39" i="1" s="1"/>
  <c r="S43" i="1"/>
  <c r="T43" i="1" s="1"/>
  <c r="Z43" i="1" s="1"/>
  <c r="AE43" i="1" s="1"/>
  <c r="S525" i="1"/>
  <c r="T525" i="1" s="1"/>
  <c r="Z525" i="1" s="1"/>
  <c r="AE525" i="1" s="1"/>
  <c r="S534" i="1"/>
  <c r="T534" i="1" s="1"/>
  <c r="Z534" i="1" s="1"/>
  <c r="AE534" i="1" s="1"/>
  <c r="S65" i="1"/>
  <c r="T65" i="1" s="1"/>
  <c r="Z65" i="1" s="1"/>
  <c r="AE65" i="1" s="1"/>
  <c r="S67" i="1"/>
  <c r="T67" i="1" s="1"/>
  <c r="Z67" i="1" s="1"/>
  <c r="AE67" i="1" s="1"/>
  <c r="S81" i="1"/>
  <c r="T81" i="1" s="1"/>
  <c r="Z81" i="1" s="1"/>
  <c r="AE81" i="1" s="1"/>
  <c r="S82" i="1"/>
  <c r="T82" i="1" s="1"/>
  <c r="Z82" i="1" s="1"/>
  <c r="AE82" i="1" s="1"/>
  <c r="S548" i="1"/>
  <c r="T548" i="1" s="1"/>
  <c r="Z548" i="1" s="1"/>
  <c r="AE548" i="1" s="1"/>
  <c r="S85" i="1"/>
  <c r="T85" i="1" s="1"/>
  <c r="Z85" i="1" s="1"/>
  <c r="AE85" i="1" s="1"/>
  <c r="S87" i="1"/>
  <c r="T87" i="1" s="1"/>
  <c r="Z87" i="1" s="1"/>
  <c r="AE87" i="1" s="1"/>
  <c r="S559" i="1"/>
  <c r="T559" i="1" s="1"/>
  <c r="Z559" i="1" s="1"/>
  <c r="AE559" i="1" s="1"/>
  <c r="S562" i="1"/>
  <c r="T562" i="1" s="1"/>
  <c r="Z562" i="1" s="1"/>
  <c r="AE562" i="1" s="1"/>
  <c r="S102" i="1"/>
  <c r="T102" i="1" s="1"/>
  <c r="Z102" i="1" s="1"/>
  <c r="AE102" i="1" s="1"/>
  <c r="S570" i="1"/>
  <c r="T570" i="1" s="1"/>
  <c r="Z570" i="1" s="1"/>
  <c r="AE570" i="1" s="1"/>
  <c r="S119" i="1"/>
  <c r="T119" i="1" s="1"/>
  <c r="Z119" i="1" s="1"/>
  <c r="AE119" i="1" s="1"/>
  <c r="S587" i="1"/>
  <c r="T587" i="1" s="1"/>
  <c r="Z587" i="1" s="1"/>
  <c r="AE587" i="1" s="1"/>
  <c r="S123" i="1"/>
  <c r="T123" i="1" s="1"/>
  <c r="Z123" i="1" s="1"/>
  <c r="AE123" i="1" s="1"/>
  <c r="S124" i="1"/>
  <c r="T124" i="1" s="1"/>
  <c r="Z124" i="1" s="1"/>
  <c r="AE124" i="1" s="1"/>
  <c r="S131" i="1"/>
  <c r="T131" i="1" s="1"/>
  <c r="Z131" i="1" s="1"/>
  <c r="AE131" i="1" s="1"/>
  <c r="S599" i="1"/>
  <c r="T599" i="1" s="1"/>
  <c r="Z599" i="1" s="1"/>
  <c r="AE599" i="1" s="1"/>
  <c r="S140" i="1"/>
  <c r="T140" i="1" s="1"/>
  <c r="Z140" i="1" s="1"/>
  <c r="AE140" i="1" s="1"/>
  <c r="S142" i="1"/>
  <c r="T142" i="1" s="1"/>
  <c r="Z142" i="1" s="1"/>
  <c r="AE142" i="1" s="1"/>
  <c r="S146" i="1"/>
  <c r="T146" i="1" s="1"/>
  <c r="Z146" i="1" s="1"/>
  <c r="AE146" i="1" s="1"/>
  <c r="S610" i="1"/>
  <c r="T610" i="1" s="1"/>
  <c r="Z610" i="1" s="1"/>
  <c r="AE610" i="1" s="1"/>
  <c r="S611" i="1"/>
  <c r="T611" i="1" s="1"/>
  <c r="Z611" i="1" s="1"/>
  <c r="AE611" i="1" s="1"/>
  <c r="S155" i="1"/>
  <c r="T155" i="1" s="1"/>
  <c r="Z155" i="1" s="1"/>
  <c r="AE155" i="1" s="1"/>
  <c r="S626" i="1"/>
  <c r="T626" i="1" s="1"/>
  <c r="Z626" i="1" s="1"/>
  <c r="AE626" i="1" s="1"/>
  <c r="S170" i="1"/>
  <c r="T170" i="1" s="1"/>
  <c r="Z170" i="1" s="1"/>
  <c r="AE170" i="1" s="1"/>
  <c r="S634" i="1"/>
  <c r="T634" i="1" s="1"/>
  <c r="Z634" i="1" s="1"/>
  <c r="AE634" i="1" s="1"/>
  <c r="S179" i="1"/>
  <c r="T179" i="1" s="1"/>
  <c r="Z179" i="1" s="1"/>
  <c r="AE179" i="1" s="1"/>
  <c r="S638" i="1"/>
  <c r="T638" i="1" s="1"/>
  <c r="Z638" i="1" s="1"/>
  <c r="AE638" i="1" s="1"/>
  <c r="S640" i="1"/>
  <c r="T640" i="1" s="1"/>
  <c r="Z640" i="1" s="1"/>
  <c r="AE640" i="1" s="1"/>
  <c r="S642" i="1"/>
  <c r="T642" i="1" s="1"/>
  <c r="Z642" i="1" s="1"/>
  <c r="AA642" i="1" s="1"/>
  <c r="S643" i="1"/>
  <c r="T643" i="1" s="1"/>
  <c r="Z643" i="1" s="1"/>
  <c r="AE643" i="1" s="1"/>
  <c r="S193" i="1"/>
  <c r="T193" i="1" s="1"/>
  <c r="Z193" i="1" s="1"/>
  <c r="AE193" i="1" s="1"/>
  <c r="S652" i="1"/>
  <c r="T652" i="1" s="1"/>
  <c r="Z652" i="1" s="1"/>
  <c r="AE652" i="1" s="1"/>
  <c r="S656" i="1"/>
  <c r="T656" i="1" s="1"/>
  <c r="Z656" i="1" s="1"/>
  <c r="AE656" i="1" s="1"/>
  <c r="S206" i="1"/>
  <c r="T206" i="1" s="1"/>
  <c r="Z206" i="1" s="1"/>
  <c r="AE206" i="1" s="1"/>
  <c r="S663" i="1"/>
  <c r="T663" i="1" s="1"/>
  <c r="Z663" i="1" s="1"/>
  <c r="AE663" i="1" s="1"/>
  <c r="S208" i="1"/>
  <c r="T208" i="1" s="1"/>
  <c r="Z208" i="1" s="1"/>
  <c r="AE208" i="1" s="1"/>
  <c r="S670" i="1"/>
  <c r="T670" i="1" s="1"/>
  <c r="Z670" i="1" s="1"/>
  <c r="AE670" i="1" s="1"/>
  <c r="S675" i="1"/>
  <c r="T675" i="1" s="1"/>
  <c r="Z675" i="1" s="1"/>
  <c r="AE675" i="1" s="1"/>
  <c r="S219" i="1"/>
  <c r="T219" i="1" s="1"/>
  <c r="Z219" i="1" s="1"/>
  <c r="AE219" i="1" s="1"/>
  <c r="S709" i="1"/>
  <c r="T709" i="1" s="1"/>
  <c r="Z709" i="1" s="1"/>
  <c r="AE709" i="1" s="1"/>
  <c r="S261" i="1"/>
  <c r="T261" i="1" s="1"/>
  <c r="Z261" i="1" s="1"/>
  <c r="AE261" i="1" s="1"/>
  <c r="S273" i="1"/>
  <c r="T273" i="1" s="1"/>
  <c r="Z273" i="1" s="1"/>
  <c r="AE273" i="1" s="1"/>
  <c r="S277" i="1"/>
  <c r="T277" i="1" s="1"/>
  <c r="Z277" i="1" s="1"/>
  <c r="AE277" i="1" s="1"/>
  <c r="S290" i="1"/>
  <c r="T290" i="1" s="1"/>
  <c r="Z290" i="1" s="1"/>
  <c r="AE290" i="1" s="1"/>
  <c r="S301" i="1"/>
  <c r="T301" i="1" s="1"/>
  <c r="Z301" i="1" s="1"/>
  <c r="S303" i="1"/>
  <c r="T303" i="1" s="1"/>
  <c r="Z303" i="1" s="1"/>
  <c r="AE303" i="1" s="1"/>
  <c r="S304" i="1"/>
  <c r="T304" i="1" s="1"/>
  <c r="Z304" i="1" s="1"/>
  <c r="AE304" i="1" s="1"/>
  <c r="S748" i="1"/>
  <c r="T748" i="1" s="1"/>
  <c r="S311" i="1"/>
  <c r="T311" i="1" s="1"/>
  <c r="Z311" i="1" s="1"/>
  <c r="AE311" i="1" s="1"/>
  <c r="S313" i="1"/>
  <c r="T313" i="1" s="1"/>
  <c r="Z313" i="1" s="1"/>
  <c r="AE313" i="1" s="1"/>
  <c r="S315" i="1"/>
  <c r="T315" i="1" s="1"/>
  <c r="Z315" i="1" s="1"/>
  <c r="AE315" i="1" s="1"/>
  <c r="S322" i="1"/>
  <c r="T322" i="1" s="1"/>
  <c r="Z322" i="1" s="1"/>
  <c r="AE322" i="1" s="1"/>
  <c r="S761" i="1"/>
  <c r="T761" i="1" s="1"/>
  <c r="Z761" i="1" s="1"/>
  <c r="AE761" i="1" s="1"/>
  <c r="S327" i="1"/>
  <c r="T327" i="1" s="1"/>
  <c r="Z327" i="1" s="1"/>
  <c r="AE327" i="1" s="1"/>
  <c r="S775" i="1"/>
  <c r="T775" i="1" s="1"/>
  <c r="Z775" i="1" s="1"/>
  <c r="AE775" i="1" s="1"/>
  <c r="S776" i="1"/>
  <c r="T776" i="1" s="1"/>
  <c r="Z776" i="1" s="1"/>
  <c r="AE776" i="1" s="1"/>
  <c r="S349" i="1"/>
  <c r="T349" i="1" s="1"/>
  <c r="Z349" i="1" s="1"/>
  <c r="AE349" i="1" s="1"/>
  <c r="S351" i="1"/>
  <c r="T351" i="1" s="1"/>
  <c r="Z351" i="1" s="1"/>
  <c r="AE351" i="1" s="1"/>
  <c r="S362" i="1"/>
  <c r="T362" i="1" s="1"/>
  <c r="Z362" i="1" s="1"/>
  <c r="AE362" i="1" s="1"/>
  <c r="S391" i="1"/>
  <c r="T391" i="1" s="1"/>
  <c r="Z391" i="1" s="1"/>
  <c r="AE391" i="1" s="1"/>
  <c r="S822" i="1"/>
  <c r="T822" i="1" s="1"/>
  <c r="Z822" i="1" s="1"/>
  <c r="AA822" i="1" s="1"/>
  <c r="S399" i="1"/>
  <c r="T399" i="1" s="1"/>
  <c r="Z399" i="1" s="1"/>
  <c r="AE399" i="1" s="1"/>
  <c r="S840" i="1"/>
  <c r="T840" i="1" s="1"/>
  <c r="Z840" i="1" s="1"/>
  <c r="AE840" i="1" s="1"/>
  <c r="S413" i="1"/>
  <c r="T413" i="1" s="1"/>
  <c r="Z413" i="1" s="1"/>
  <c r="AE413" i="1" s="1"/>
  <c r="S435" i="1"/>
  <c r="T435" i="1" s="1"/>
  <c r="Z435" i="1" s="1"/>
  <c r="AE435" i="1" s="1"/>
  <c r="S436" i="1"/>
  <c r="T436" i="1" s="1"/>
  <c r="Z436" i="1" s="1"/>
  <c r="AE436" i="1" s="1"/>
  <c r="S440" i="1"/>
  <c r="T440" i="1" s="1"/>
  <c r="Z440" i="1" s="1"/>
  <c r="AE440" i="1" s="1"/>
  <c r="S445" i="1"/>
  <c r="T445" i="1" s="1"/>
  <c r="Z445" i="1" s="1"/>
  <c r="AE445" i="1" s="1"/>
  <c r="S447" i="1"/>
  <c r="T447" i="1" s="1"/>
  <c r="Z447" i="1" s="1"/>
  <c r="AE447" i="1" s="1"/>
  <c r="S453" i="1"/>
  <c r="T453" i="1" s="1"/>
  <c r="S873" i="1"/>
  <c r="T873" i="1" s="1"/>
  <c r="Z873" i="1" s="1"/>
  <c r="AA873" i="1" s="1"/>
  <c r="S885" i="1"/>
  <c r="T885" i="1" s="1"/>
  <c r="Z885" i="1" s="1"/>
  <c r="AE885" i="1" s="1"/>
  <c r="S466" i="1"/>
  <c r="T466" i="1" s="1"/>
  <c r="Z466" i="1" s="1"/>
  <c r="AE466" i="1" s="1"/>
  <c r="S468" i="1"/>
  <c r="T468" i="1" s="1"/>
  <c r="Z468" i="1" s="1"/>
  <c r="AE468" i="1" s="1"/>
  <c r="S890" i="1"/>
  <c r="T890" i="1" s="1"/>
  <c r="Z890" i="1" s="1"/>
  <c r="AE890" i="1" s="1"/>
  <c r="S485" i="1"/>
  <c r="T485" i="1" s="1"/>
  <c r="Z485" i="1" s="1"/>
  <c r="AE485" i="1" s="1"/>
  <c r="S486" i="1"/>
  <c r="T486" i="1" s="1"/>
  <c r="Z486" i="1" s="1"/>
  <c r="AE486" i="1" s="1"/>
  <c r="S911" i="1"/>
  <c r="T911" i="1" s="1"/>
  <c r="Z911" i="1" s="1"/>
  <c r="AE911" i="1" s="1"/>
  <c r="S156" i="1"/>
  <c r="T156" i="1" s="1"/>
  <c r="Z156" i="1" s="1"/>
  <c r="AE156" i="1" s="1"/>
  <c r="S3" i="1"/>
  <c r="T3" i="1" s="1"/>
  <c r="Z3" i="1" s="1"/>
  <c r="AE3" i="1" s="1"/>
  <c r="S7" i="1"/>
  <c r="T7" i="1" s="1"/>
  <c r="Z7" i="1" s="1"/>
  <c r="AE7" i="1" s="1"/>
  <c r="S496" i="1"/>
  <c r="T496" i="1" s="1"/>
  <c r="Z496" i="1" s="1"/>
  <c r="AE496" i="1" s="1"/>
  <c r="S21" i="1"/>
  <c r="T21" i="1" s="1"/>
  <c r="Z21" i="1" s="1"/>
  <c r="AE21" i="1" s="1"/>
  <c r="S507" i="1"/>
  <c r="T507" i="1" s="1"/>
  <c r="Z507" i="1" s="1"/>
  <c r="AE507" i="1" s="1"/>
  <c r="S24" i="1"/>
  <c r="T24" i="1" s="1"/>
  <c r="Z24" i="1" s="1"/>
  <c r="AE24" i="1" s="1"/>
  <c r="S27" i="1"/>
  <c r="T27" i="1" s="1"/>
  <c r="Z27" i="1" s="1"/>
  <c r="AE27" i="1" s="1"/>
  <c r="S509" i="1"/>
  <c r="T509" i="1" s="1"/>
  <c r="Z509" i="1" s="1"/>
  <c r="AE509" i="1" s="1"/>
  <c r="S34" i="1"/>
  <c r="T34" i="1" s="1"/>
  <c r="Z34" i="1" s="1"/>
  <c r="AE34" i="1" s="1"/>
  <c r="S38" i="1"/>
  <c r="T38" i="1" s="1"/>
  <c r="Z38" i="1" s="1"/>
  <c r="AE38" i="1" s="1"/>
  <c r="S44" i="1"/>
  <c r="T44" i="1" s="1"/>
  <c r="Z44" i="1" s="1"/>
  <c r="AE44" i="1" s="1"/>
  <c r="S46" i="1"/>
  <c r="T46" i="1" s="1"/>
  <c r="Z46" i="1" s="1"/>
  <c r="AE46" i="1" s="1"/>
  <c r="S518" i="1"/>
  <c r="T518" i="1" s="1"/>
  <c r="Z518" i="1" s="1"/>
  <c r="AE518" i="1" s="1"/>
  <c r="S522" i="1"/>
  <c r="T522" i="1" s="1"/>
  <c r="Z522" i="1" s="1"/>
  <c r="AE522" i="1" s="1"/>
  <c r="S524" i="1"/>
  <c r="T524" i="1" s="1"/>
  <c r="Z524" i="1" s="1"/>
  <c r="AE524" i="1" s="1"/>
  <c r="S527" i="1"/>
  <c r="T527" i="1" s="1"/>
  <c r="Z527" i="1" s="1"/>
  <c r="AE527" i="1" s="1"/>
  <c r="S63" i="1"/>
  <c r="T63" i="1" s="1"/>
  <c r="Z63" i="1" s="1"/>
  <c r="AE63" i="1" s="1"/>
  <c r="S70" i="1"/>
  <c r="T70" i="1" s="1"/>
  <c r="Z70" i="1" s="1"/>
  <c r="AE70" i="1" s="1"/>
  <c r="S71" i="1"/>
  <c r="T71" i="1" s="1"/>
  <c r="Z71" i="1" s="1"/>
  <c r="AE71" i="1" s="1"/>
  <c r="S545" i="1"/>
  <c r="T545" i="1" s="1"/>
  <c r="Z545" i="1" s="1"/>
  <c r="AE545" i="1" s="1"/>
  <c r="S84" i="1"/>
  <c r="T84" i="1" s="1"/>
  <c r="Z84" i="1" s="1"/>
  <c r="AE84" i="1" s="1"/>
  <c r="S557" i="1"/>
  <c r="T557" i="1" s="1"/>
  <c r="Z557" i="1" s="1"/>
  <c r="S100" i="1"/>
  <c r="T100" i="1" s="1"/>
  <c r="Z100" i="1" s="1"/>
  <c r="AE100" i="1" s="1"/>
  <c r="S560" i="1"/>
  <c r="T560" i="1" s="1"/>
  <c r="Z560" i="1" s="1"/>
  <c r="AE560" i="1" s="1"/>
  <c r="S561" i="1"/>
  <c r="T561" i="1" s="1"/>
  <c r="Z561" i="1" s="1"/>
  <c r="AE561" i="1" s="1"/>
  <c r="S112" i="1"/>
  <c r="T112" i="1" s="1"/>
  <c r="S114" i="1"/>
  <c r="T114" i="1" s="1"/>
  <c r="Z114" i="1" s="1"/>
  <c r="AE114" i="1" s="1"/>
  <c r="S585" i="1"/>
  <c r="T585" i="1" s="1"/>
  <c r="Z585" i="1" s="1"/>
  <c r="AE585" i="1" s="1"/>
  <c r="S597" i="1"/>
  <c r="T597" i="1" s="1"/>
  <c r="Z597" i="1" s="1"/>
  <c r="AE597" i="1" s="1"/>
  <c r="S143" i="1"/>
  <c r="T143" i="1" s="1"/>
  <c r="Z143" i="1" s="1"/>
  <c r="AE143" i="1" s="1"/>
  <c r="S149" i="1"/>
  <c r="T149" i="1" s="1"/>
  <c r="Z149" i="1" s="1"/>
  <c r="AE149" i="1" s="1"/>
  <c r="S151" i="1"/>
  <c r="T151" i="1" s="1"/>
  <c r="Z151" i="1" s="1"/>
  <c r="AE151" i="1" s="1"/>
  <c r="S622" i="1"/>
  <c r="T622" i="1" s="1"/>
  <c r="Z622" i="1" s="1"/>
  <c r="AE622" i="1" s="1"/>
  <c r="S172" i="1"/>
  <c r="T172" i="1" s="1"/>
  <c r="Z172" i="1" s="1"/>
  <c r="AE172" i="1" s="1"/>
  <c r="S177" i="1"/>
  <c r="T177" i="1" s="1"/>
  <c r="Z177" i="1" s="1"/>
  <c r="AE177" i="1" s="1"/>
  <c r="S181" i="1"/>
  <c r="T181" i="1" s="1"/>
  <c r="Z181" i="1" s="1"/>
  <c r="AE181" i="1" s="1"/>
  <c r="S645" i="1"/>
  <c r="T645" i="1" s="1"/>
  <c r="Z645" i="1" s="1"/>
  <c r="AE645" i="1" s="1"/>
  <c r="S191" i="1"/>
  <c r="T191" i="1" s="1"/>
  <c r="Z191" i="1" s="1"/>
  <c r="S214" i="1"/>
  <c r="T214" i="1" s="1"/>
  <c r="Z214" i="1" s="1"/>
  <c r="AE214" i="1" s="1"/>
  <c r="S215" i="1"/>
  <c r="T215" i="1" s="1"/>
  <c r="Z215" i="1" s="1"/>
  <c r="AE215" i="1" s="1"/>
  <c r="S681" i="1"/>
  <c r="T681" i="1" s="1"/>
  <c r="Z681" i="1" s="1"/>
  <c r="AE681" i="1" s="1"/>
  <c r="S682" i="1"/>
  <c r="T682" i="1" s="1"/>
  <c r="S687" i="1"/>
  <c r="T687" i="1" s="1"/>
  <c r="Z687" i="1" s="1"/>
  <c r="AE687" i="1" s="1"/>
  <c r="S693" i="1"/>
  <c r="T693" i="1" s="1"/>
  <c r="Z693" i="1" s="1"/>
  <c r="AE693" i="1" s="1"/>
  <c r="S242" i="1"/>
  <c r="T242" i="1" s="1"/>
  <c r="Z242" i="1" s="1"/>
  <c r="AE242" i="1" s="1"/>
  <c r="S708" i="1"/>
  <c r="T708" i="1" s="1"/>
  <c r="Z708" i="1" s="1"/>
  <c r="S715" i="1"/>
  <c r="T715" i="1" s="1"/>
  <c r="Z715" i="1" s="1"/>
  <c r="AE715" i="1" s="1"/>
  <c r="S280" i="1"/>
  <c r="T280" i="1" s="1"/>
  <c r="S321" i="1"/>
  <c r="T321" i="1" s="1"/>
  <c r="Z321" i="1" s="1"/>
  <c r="AE321" i="1" s="1"/>
  <c r="S324" i="1"/>
  <c r="T324" i="1" s="1"/>
  <c r="Z324" i="1" s="1"/>
  <c r="AE324" i="1" s="1"/>
  <c r="S325" i="1"/>
  <c r="T325" i="1" s="1"/>
  <c r="Z325" i="1" s="1"/>
  <c r="AE325" i="1" s="1"/>
  <c r="S769" i="1"/>
  <c r="T769" i="1" s="1"/>
  <c r="Z769" i="1" s="1"/>
  <c r="AE769" i="1" s="1"/>
  <c r="S336" i="1"/>
  <c r="T336" i="1" s="1"/>
  <c r="Z336" i="1" s="1"/>
  <c r="AE336" i="1" s="1"/>
  <c r="S346" i="1"/>
  <c r="T346" i="1" s="1"/>
  <c r="Z346" i="1" s="1"/>
  <c r="AE346" i="1" s="1"/>
  <c r="S354" i="1"/>
  <c r="T354" i="1" s="1"/>
  <c r="Z354" i="1" s="1"/>
  <c r="AE354" i="1" s="1"/>
  <c r="S357" i="1"/>
  <c r="T357" i="1" s="1"/>
  <c r="Z357" i="1" s="1"/>
  <c r="AE357" i="1" s="1"/>
  <c r="S366" i="1"/>
  <c r="T366" i="1" s="1"/>
  <c r="Z366" i="1" s="1"/>
  <c r="AE366" i="1" s="1"/>
  <c r="S370" i="1"/>
  <c r="T370" i="1" s="1"/>
  <c r="Z370" i="1" s="1"/>
  <c r="AE370" i="1" s="1"/>
  <c r="S373" i="1"/>
  <c r="T373" i="1" s="1"/>
  <c r="Z373" i="1" s="1"/>
  <c r="AE373" i="1" s="1"/>
  <c r="S376" i="1"/>
  <c r="T376" i="1" s="1"/>
  <c r="Z376" i="1" s="1"/>
  <c r="AE376" i="1" s="1"/>
  <c r="S813" i="1"/>
  <c r="T813" i="1" s="1"/>
  <c r="Z813" i="1" s="1"/>
  <c r="AE813" i="1" s="1"/>
  <c r="S815" i="1"/>
  <c r="T815" i="1" s="1"/>
  <c r="Z815" i="1" s="1"/>
  <c r="AE815" i="1" s="1"/>
  <c r="S827" i="1"/>
  <c r="T827" i="1" s="1"/>
  <c r="Z827" i="1" s="1"/>
  <c r="AE827" i="1" s="1"/>
  <c r="S828" i="1"/>
  <c r="T828" i="1" s="1"/>
  <c r="Z828" i="1" s="1"/>
  <c r="S835" i="1"/>
  <c r="T835" i="1" s="1"/>
  <c r="Z835" i="1" s="1"/>
  <c r="AE835" i="1" s="1"/>
  <c r="S421" i="1"/>
  <c r="T421" i="1" s="1"/>
  <c r="Z421" i="1" s="1"/>
  <c r="AE421" i="1" s="1"/>
  <c r="S854" i="1"/>
  <c r="T854" i="1" s="1"/>
  <c r="Z854" i="1" s="1"/>
  <c r="AE854" i="1" s="1"/>
  <c r="S431" i="1"/>
  <c r="T431" i="1" s="1"/>
  <c r="Z431" i="1" s="1"/>
  <c r="AE431" i="1" s="1"/>
  <c r="S450" i="1"/>
  <c r="T450" i="1" s="1"/>
  <c r="Z450" i="1" s="1"/>
  <c r="AE450" i="1" s="1"/>
  <c r="S870" i="1"/>
  <c r="T870" i="1" s="1"/>
  <c r="Z870" i="1" s="1"/>
  <c r="AE870" i="1" s="1"/>
  <c r="S887" i="1"/>
  <c r="T887" i="1" s="1"/>
  <c r="Z887" i="1" s="1"/>
  <c r="AE887" i="1" s="1"/>
  <c r="S474" i="1"/>
  <c r="T474" i="1" s="1"/>
  <c r="Z474" i="1" s="1"/>
  <c r="AE474" i="1" s="1"/>
  <c r="S893" i="1"/>
  <c r="T893" i="1" s="1"/>
  <c r="Z893" i="1" s="1"/>
  <c r="AE893" i="1" s="1"/>
  <c r="S528" i="1"/>
  <c r="T528" i="1" s="1"/>
  <c r="Z528" i="1" s="1"/>
  <c r="AE528" i="1" s="1"/>
  <c r="S6" i="1"/>
  <c r="T6" i="1" s="1"/>
  <c r="Z6" i="1" s="1"/>
  <c r="AE6" i="1" s="1"/>
  <c r="S498" i="1"/>
  <c r="T498" i="1" s="1"/>
  <c r="Z498" i="1" s="1"/>
  <c r="AE498" i="1" s="1"/>
  <c r="S14" i="1"/>
  <c r="T14" i="1" s="1"/>
  <c r="S506" i="1"/>
  <c r="T506" i="1" s="1"/>
  <c r="Z506" i="1" s="1"/>
  <c r="AA506" i="1" s="1"/>
  <c r="S20" i="1"/>
  <c r="T20" i="1" s="1"/>
  <c r="Z20" i="1" s="1"/>
  <c r="AE20" i="1" s="1"/>
  <c r="S516" i="1"/>
  <c r="T516" i="1" s="1"/>
  <c r="Z516" i="1" s="1"/>
  <c r="AA516" i="1" s="1"/>
  <c r="S517" i="1"/>
  <c r="T517" i="1" s="1"/>
  <c r="Z517" i="1" s="1"/>
  <c r="AE517" i="1" s="1"/>
  <c r="S49" i="1"/>
  <c r="T49" i="1" s="1"/>
  <c r="Z49" i="1" s="1"/>
  <c r="AE49" i="1" s="1"/>
  <c r="S62" i="1"/>
  <c r="T62" i="1" s="1"/>
  <c r="Z62" i="1" s="1"/>
  <c r="AE62" i="1" s="1"/>
  <c r="S535" i="1"/>
  <c r="T535" i="1" s="1"/>
  <c r="Z535" i="1" s="1"/>
  <c r="AE535" i="1" s="1"/>
  <c r="S538" i="1"/>
  <c r="T538" i="1" s="1"/>
  <c r="Z538" i="1" s="1"/>
  <c r="AE538" i="1" s="1"/>
  <c r="S68" i="1"/>
  <c r="T68" i="1" s="1"/>
  <c r="Z68" i="1" s="1"/>
  <c r="AE68" i="1" s="1"/>
  <c r="S540" i="1"/>
  <c r="T540" i="1" s="1"/>
  <c r="Z540" i="1" s="1"/>
  <c r="AE540" i="1" s="1"/>
  <c r="S541" i="1"/>
  <c r="T541" i="1" s="1"/>
  <c r="Z541" i="1" s="1"/>
  <c r="AE541" i="1" s="1"/>
  <c r="S76" i="1"/>
  <c r="T76" i="1" s="1"/>
  <c r="Z76" i="1" s="1"/>
  <c r="AE76" i="1" s="1"/>
  <c r="S553" i="1"/>
  <c r="T553" i="1" s="1"/>
  <c r="Z553" i="1" s="1"/>
  <c r="AE553" i="1" s="1"/>
  <c r="S106" i="1"/>
  <c r="T106" i="1" s="1"/>
  <c r="Z106" i="1" s="1"/>
  <c r="AE106" i="1" s="1"/>
  <c r="S109" i="1"/>
  <c r="T109" i="1" s="1"/>
  <c r="Z109" i="1" s="1"/>
  <c r="AE109" i="1" s="1"/>
  <c r="S130" i="1"/>
  <c r="T130" i="1" s="1"/>
  <c r="Z130" i="1" s="1"/>
  <c r="AE130" i="1" s="1"/>
  <c r="S602" i="1"/>
  <c r="T602" i="1" s="1"/>
  <c r="Z602" i="1" s="1"/>
  <c r="S609" i="1"/>
  <c r="T609" i="1" s="1"/>
  <c r="Z609" i="1" s="1"/>
  <c r="AE609" i="1" s="1"/>
  <c r="S612" i="1"/>
  <c r="T612" i="1" s="1"/>
  <c r="Z612" i="1" s="1"/>
  <c r="AE612" i="1" s="1"/>
  <c r="S154" i="1"/>
  <c r="T154" i="1" s="1"/>
  <c r="Z154" i="1" s="1"/>
  <c r="AE154" i="1" s="1"/>
  <c r="S624" i="1"/>
  <c r="T624" i="1" s="1"/>
  <c r="Z624" i="1" s="1"/>
  <c r="AE624" i="1" s="1"/>
  <c r="S630" i="1"/>
  <c r="T630" i="1" s="1"/>
  <c r="Z630" i="1" s="1"/>
  <c r="AE630" i="1" s="1"/>
  <c r="S176" i="1"/>
  <c r="T176" i="1" s="1"/>
  <c r="Z176" i="1" s="1"/>
  <c r="AE176" i="1" s="1"/>
  <c r="S178" i="1"/>
  <c r="T178" i="1" s="1"/>
  <c r="Z178" i="1" s="1"/>
  <c r="AE178" i="1" s="1"/>
  <c r="S182" i="1"/>
  <c r="T182" i="1" s="1"/>
  <c r="Z182" i="1" s="1"/>
  <c r="AE182" i="1" s="1"/>
  <c r="S186" i="1"/>
  <c r="T186" i="1" s="1"/>
  <c r="Z186" i="1" s="1"/>
  <c r="AE186" i="1" s="1"/>
  <c r="S192" i="1"/>
  <c r="T192" i="1" s="1"/>
  <c r="Z192" i="1" s="1"/>
  <c r="AE192" i="1" s="1"/>
  <c r="S654" i="1"/>
  <c r="T654" i="1" s="1"/>
  <c r="Z654" i="1" s="1"/>
  <c r="AE654" i="1" s="1"/>
  <c r="S201" i="1"/>
  <c r="T201" i="1" s="1"/>
  <c r="S210" i="1"/>
  <c r="T210" i="1" s="1"/>
  <c r="Z210" i="1" s="1"/>
  <c r="AE210" i="1" s="1"/>
  <c r="S212" i="1"/>
  <c r="T212" i="1" s="1"/>
  <c r="Z212" i="1" s="1"/>
  <c r="AE212" i="1" s="1"/>
  <c r="S672" i="1"/>
  <c r="T672" i="1" s="1"/>
  <c r="Z672" i="1" s="1"/>
  <c r="AE672" i="1" s="1"/>
  <c r="S224" i="1"/>
  <c r="T224" i="1" s="1"/>
  <c r="Z224" i="1" s="1"/>
  <c r="AE224" i="1" s="1"/>
  <c r="S688" i="1"/>
  <c r="T688" i="1" s="1"/>
  <c r="Z688" i="1" s="1"/>
  <c r="AE688" i="1" s="1"/>
  <c r="S691" i="1"/>
  <c r="T691" i="1" s="1"/>
  <c r="Z691" i="1" s="1"/>
  <c r="AE691" i="1" s="1"/>
  <c r="S240" i="1"/>
  <c r="T240" i="1" s="1"/>
  <c r="Z240" i="1" s="1"/>
  <c r="AE240" i="1" s="1"/>
  <c r="S698" i="1"/>
  <c r="T698" i="1" s="1"/>
  <c r="Z698" i="1" s="1"/>
  <c r="AE698" i="1" s="1"/>
  <c r="S252" i="1"/>
  <c r="T252" i="1" s="1"/>
  <c r="Z252" i="1" s="1"/>
  <c r="AE252" i="1" s="1"/>
  <c r="S268" i="1"/>
  <c r="T268" i="1" s="1"/>
  <c r="Z268" i="1" s="1"/>
  <c r="AE268" i="1" s="1"/>
  <c r="S719" i="1"/>
  <c r="T719" i="1" s="1"/>
  <c r="Z719" i="1" s="1"/>
  <c r="AE719" i="1" s="1"/>
  <c r="S279" i="1"/>
  <c r="T279" i="1" s="1"/>
  <c r="Z279" i="1" s="1"/>
  <c r="AE279" i="1" s="1"/>
  <c r="S289" i="1"/>
  <c r="T289" i="1" s="1"/>
  <c r="Z289" i="1" s="1"/>
  <c r="AE289" i="1" s="1"/>
  <c r="S753" i="1"/>
  <c r="T753" i="1" s="1"/>
  <c r="Z753" i="1" s="1"/>
  <c r="AA753" i="1" s="1"/>
  <c r="S316" i="1"/>
  <c r="T316" i="1" s="1"/>
  <c r="Z316" i="1" s="1"/>
  <c r="AE316" i="1" s="1"/>
  <c r="S756" i="1"/>
  <c r="T756" i="1" s="1"/>
  <c r="Z756" i="1" s="1"/>
  <c r="AE756" i="1" s="1"/>
  <c r="S759" i="1"/>
  <c r="T759" i="1" s="1"/>
  <c r="Z759" i="1" s="1"/>
  <c r="AE759" i="1" s="1"/>
  <c r="S784" i="1"/>
  <c r="T784" i="1" s="1"/>
  <c r="Z784" i="1" s="1"/>
  <c r="AE784" i="1" s="1"/>
  <c r="S358" i="1"/>
  <c r="T358" i="1" s="1"/>
  <c r="Z358" i="1" s="1"/>
  <c r="AE358" i="1" s="1"/>
  <c r="S794" i="1"/>
  <c r="T794" i="1" s="1"/>
  <c r="Z794" i="1" s="1"/>
  <c r="AE794" i="1" s="1"/>
  <c r="S367" i="1"/>
  <c r="T367" i="1" s="1"/>
  <c r="Z367" i="1" s="1"/>
  <c r="AE367" i="1" s="1"/>
  <c r="S804" i="1"/>
  <c r="T804" i="1" s="1"/>
  <c r="Z804" i="1" s="1"/>
  <c r="S810" i="1"/>
  <c r="T810" i="1" s="1"/>
  <c r="Z810" i="1" s="1"/>
  <c r="AE810" i="1" s="1"/>
  <c r="S388" i="1"/>
  <c r="T388" i="1" s="1"/>
  <c r="Z388" i="1" s="1"/>
  <c r="AE388" i="1" s="1"/>
  <c r="S392" i="1"/>
  <c r="T392" i="1" s="1"/>
  <c r="Z392" i="1" s="1"/>
  <c r="AE392" i="1" s="1"/>
  <c r="S823" i="1"/>
  <c r="T823" i="1" s="1"/>
  <c r="Z823" i="1" s="1"/>
  <c r="AE823" i="1" s="1"/>
  <c r="S831" i="1"/>
  <c r="T831" i="1" s="1"/>
  <c r="Z831" i="1" s="1"/>
  <c r="AE831" i="1" s="1"/>
  <c r="S412" i="1"/>
  <c r="T412" i="1" s="1"/>
  <c r="Z412" i="1" s="1"/>
  <c r="AE412" i="1" s="1"/>
  <c r="S415" i="1"/>
  <c r="T415" i="1" s="1"/>
  <c r="Z415" i="1" s="1"/>
  <c r="AE415" i="1" s="1"/>
  <c r="S844" i="1"/>
  <c r="T844" i="1" s="1"/>
  <c r="Z844" i="1" s="1"/>
  <c r="AE844" i="1" s="1"/>
  <c r="S846" i="1"/>
  <c r="T846" i="1" s="1"/>
  <c r="Z846" i="1" s="1"/>
  <c r="AE846" i="1" s="1"/>
  <c r="S422" i="1"/>
  <c r="T422" i="1" s="1"/>
  <c r="Z422" i="1" s="1"/>
  <c r="AE422" i="1" s="1"/>
  <c r="S849" i="1"/>
  <c r="T849" i="1" s="1"/>
  <c r="Z849" i="1" s="1"/>
  <c r="AE849" i="1" s="1"/>
  <c r="S851" i="1"/>
  <c r="T851" i="1" s="1"/>
  <c r="Z851" i="1" s="1"/>
  <c r="AE851" i="1" s="1"/>
  <c r="S439" i="1"/>
  <c r="T439" i="1" s="1"/>
  <c r="Z439" i="1" s="1"/>
  <c r="AE439" i="1" s="1"/>
  <c r="S859" i="1"/>
  <c r="T859" i="1" s="1"/>
  <c r="Z859" i="1" s="1"/>
  <c r="AE859" i="1" s="1"/>
  <c r="S443" i="1"/>
  <c r="T443" i="1" s="1"/>
  <c r="Z443" i="1" s="1"/>
  <c r="AE443" i="1" s="1"/>
  <c r="S446" i="1"/>
  <c r="T446" i="1" s="1"/>
  <c r="Z446" i="1" s="1"/>
  <c r="AE446" i="1" s="1"/>
  <c r="S872" i="1"/>
  <c r="T872" i="1" s="1"/>
  <c r="Z872" i="1" s="1"/>
  <c r="AE872" i="1" s="1"/>
  <c r="S876" i="1"/>
  <c r="T876" i="1" s="1"/>
  <c r="Z876" i="1" s="1"/>
  <c r="AE876" i="1" s="1"/>
  <c r="S460" i="1"/>
  <c r="T460" i="1" s="1"/>
  <c r="Z460" i="1" s="1"/>
  <c r="AE460" i="1" s="1"/>
  <c r="S464" i="1"/>
  <c r="T464" i="1" s="1"/>
  <c r="Z464" i="1" s="1"/>
  <c r="AE464" i="1" s="1"/>
  <c r="S898" i="1"/>
  <c r="T898" i="1" s="1"/>
  <c r="Z898" i="1" s="1"/>
  <c r="AE898" i="1" s="1"/>
  <c r="S483" i="1"/>
  <c r="T483" i="1" s="1"/>
  <c r="Z483" i="1" s="1"/>
  <c r="AE483" i="1" s="1"/>
  <c r="S912" i="1"/>
  <c r="T912" i="1" s="1"/>
  <c r="Z912" i="1" s="1"/>
  <c r="AE912" i="1" s="1"/>
  <c r="S757" i="1"/>
  <c r="T757" i="1" s="1"/>
  <c r="Z757" i="1" s="1"/>
  <c r="AE757" i="1" s="1"/>
  <c r="S493" i="1"/>
  <c r="T493" i="1" s="1"/>
  <c r="Z493" i="1" s="1"/>
  <c r="AE493" i="1" s="1"/>
  <c r="S495" i="1"/>
  <c r="T495" i="1" s="1"/>
  <c r="Z495" i="1" s="1"/>
  <c r="AE495" i="1" s="1"/>
  <c r="S19" i="1"/>
  <c r="T19" i="1" s="1"/>
  <c r="Z19" i="1" s="1"/>
  <c r="S23" i="1"/>
  <c r="T23" i="1" s="1"/>
  <c r="Z23" i="1" s="1"/>
  <c r="AE23" i="1" s="1"/>
  <c r="S29" i="1"/>
  <c r="T29" i="1" s="1"/>
  <c r="Z29" i="1" s="1"/>
  <c r="AE29" i="1" s="1"/>
  <c r="S513" i="1"/>
  <c r="T513" i="1" s="1"/>
  <c r="Z513" i="1" s="1"/>
  <c r="AE513" i="1" s="1"/>
  <c r="S41" i="1"/>
  <c r="T41" i="1" s="1"/>
  <c r="Z41" i="1" s="1"/>
  <c r="AE41" i="1" s="1"/>
  <c r="S45" i="1"/>
  <c r="T45" i="1" s="1"/>
  <c r="Z45" i="1" s="1"/>
  <c r="AE45" i="1" s="1"/>
  <c r="S51" i="1"/>
  <c r="T51" i="1" s="1"/>
  <c r="Z51" i="1" s="1"/>
  <c r="AE51" i="1" s="1"/>
  <c r="S56" i="1"/>
  <c r="T56" i="1" s="1"/>
  <c r="Z56" i="1" s="1"/>
  <c r="AE56" i="1" s="1"/>
  <c r="S530" i="1"/>
  <c r="T530" i="1" s="1"/>
  <c r="Z530" i="1" s="1"/>
  <c r="AE530" i="1" s="1"/>
  <c r="S532" i="1"/>
  <c r="T532" i="1" s="1"/>
  <c r="Z532" i="1" s="1"/>
  <c r="AE532" i="1" s="1"/>
  <c r="S539" i="1"/>
  <c r="T539" i="1" s="1"/>
  <c r="Z539" i="1" s="1"/>
  <c r="AE539" i="1" s="1"/>
  <c r="S79" i="1"/>
  <c r="T79" i="1" s="1"/>
  <c r="S80" i="1"/>
  <c r="T80" i="1" s="1"/>
  <c r="Z80" i="1" s="1"/>
  <c r="AE80" i="1" s="1"/>
  <c r="S96" i="1"/>
  <c r="T96" i="1" s="1"/>
  <c r="Z96" i="1" s="1"/>
  <c r="AA96" i="1" s="1"/>
  <c r="S564" i="1"/>
  <c r="T564" i="1" s="1"/>
  <c r="Z564" i="1" s="1"/>
  <c r="AE564" i="1" s="1"/>
  <c r="S573" i="1"/>
  <c r="T573" i="1" s="1"/>
  <c r="Z573" i="1" s="1"/>
  <c r="AE573" i="1" s="1"/>
  <c r="S578" i="1"/>
  <c r="T578" i="1" s="1"/>
  <c r="Z578" i="1" s="1"/>
  <c r="AA578" i="1" s="1"/>
  <c r="S115" i="1"/>
  <c r="T115" i="1" s="1"/>
  <c r="Z115" i="1" s="1"/>
  <c r="AE115" i="1" s="1"/>
  <c r="S584" i="1"/>
  <c r="T584" i="1" s="1"/>
  <c r="Z584" i="1" s="1"/>
  <c r="AE584" i="1" s="1"/>
  <c r="S120" i="1"/>
  <c r="T120" i="1" s="1"/>
  <c r="Z120" i="1" s="1"/>
  <c r="AE120" i="1" s="1"/>
  <c r="S125" i="1"/>
  <c r="T125" i="1" s="1"/>
  <c r="Z125" i="1" s="1"/>
  <c r="AE125" i="1" s="1"/>
  <c r="S592" i="1"/>
  <c r="T592" i="1" s="1"/>
  <c r="Z592" i="1" s="1"/>
  <c r="AE592" i="1" s="1"/>
  <c r="S593" i="1"/>
  <c r="T593" i="1" s="1"/>
  <c r="Z593" i="1" s="1"/>
  <c r="AE593" i="1" s="1"/>
  <c r="S605" i="1"/>
  <c r="T605" i="1" s="1"/>
  <c r="Z605" i="1" s="1"/>
  <c r="AE605" i="1" s="1"/>
  <c r="S608" i="1"/>
  <c r="T608" i="1" s="1"/>
  <c r="Z608" i="1" s="1"/>
  <c r="AE608" i="1" s="1"/>
  <c r="S161" i="1"/>
  <c r="T161" i="1" s="1"/>
  <c r="Z161" i="1" s="1"/>
  <c r="AE161" i="1" s="1"/>
  <c r="S625" i="1"/>
  <c r="T625" i="1" s="1"/>
  <c r="Z625" i="1" s="1"/>
  <c r="AE625" i="1" s="1"/>
  <c r="S627" i="1"/>
  <c r="T627" i="1" s="1"/>
  <c r="Z627" i="1" s="1"/>
  <c r="AE627" i="1" s="1"/>
  <c r="S629" i="1"/>
  <c r="T629" i="1" s="1"/>
  <c r="Z629" i="1" s="1"/>
  <c r="AE629" i="1" s="1"/>
  <c r="S632" i="1"/>
  <c r="T632" i="1" s="1"/>
  <c r="Z632" i="1" s="1"/>
  <c r="AE632" i="1" s="1"/>
  <c r="S187" i="1"/>
  <c r="T187" i="1" s="1"/>
  <c r="Z187" i="1" s="1"/>
  <c r="AE187" i="1" s="1"/>
  <c r="S204" i="1"/>
  <c r="T204" i="1" s="1"/>
  <c r="Z204" i="1" s="1"/>
  <c r="AE204" i="1" s="1"/>
  <c r="S662" i="1"/>
  <c r="T662" i="1" s="1"/>
  <c r="Z662" i="1" s="1"/>
  <c r="AE662" i="1" s="1"/>
  <c r="S218" i="1"/>
  <c r="T218" i="1" s="1"/>
  <c r="Z218" i="1" s="1"/>
  <c r="AE218" i="1" s="1"/>
  <c r="S694" i="1"/>
  <c r="T694" i="1" s="1"/>
  <c r="Z694" i="1" s="1"/>
  <c r="AE694" i="1" s="1"/>
  <c r="S235" i="1"/>
  <c r="T235" i="1" s="1"/>
  <c r="Z235" i="1" s="1"/>
  <c r="AE235" i="1" s="1"/>
  <c r="S238" i="1"/>
  <c r="T238" i="1" s="1"/>
  <c r="Z238" i="1" s="1"/>
  <c r="AE238" i="1" s="1"/>
  <c r="S243" i="1"/>
  <c r="T243" i="1" s="1"/>
  <c r="Z243" i="1" s="1"/>
  <c r="AE243" i="1" s="1"/>
  <c r="S701" i="1"/>
  <c r="T701" i="1" s="1"/>
  <c r="Z701" i="1" s="1"/>
  <c r="AE701" i="1" s="1"/>
  <c r="S246" i="1"/>
  <c r="T246" i="1" s="1"/>
  <c r="Z246" i="1" s="1"/>
  <c r="AE246" i="1" s="1"/>
  <c r="S248" i="1"/>
  <c r="T248" i="1" s="1"/>
  <c r="Z248" i="1" s="1"/>
  <c r="AE248" i="1" s="1"/>
  <c r="S262" i="1"/>
  <c r="T262" i="1" s="1"/>
  <c r="Z262" i="1" s="1"/>
  <c r="AE262" i="1" s="1"/>
  <c r="S272" i="1"/>
  <c r="T272" i="1" s="1"/>
  <c r="Z272" i="1" s="1"/>
  <c r="AE272" i="1" s="1"/>
  <c r="S275" i="1"/>
  <c r="T275" i="1" s="1"/>
  <c r="Z275" i="1" s="1"/>
  <c r="AE275" i="1" s="1"/>
  <c r="S287" i="1"/>
  <c r="T287" i="1" s="1"/>
  <c r="Z287" i="1" s="1"/>
  <c r="AE287" i="1" s="1"/>
  <c r="S288" i="1"/>
  <c r="T288" i="1" s="1"/>
  <c r="Z288" i="1" s="1"/>
  <c r="AE288" i="1" s="1"/>
  <c r="S737" i="1"/>
  <c r="T737" i="1" s="1"/>
  <c r="Z737" i="1" s="1"/>
  <c r="AE737" i="1" s="1"/>
  <c r="S305" i="1"/>
  <c r="T305" i="1" s="1"/>
  <c r="Z305" i="1" s="1"/>
  <c r="AE305" i="1" s="1"/>
  <c r="S749" i="1"/>
  <c r="T749" i="1" s="1"/>
  <c r="Z749" i="1" s="1"/>
  <c r="AE749" i="1" s="1"/>
  <c r="S319" i="1"/>
  <c r="T319" i="1" s="1"/>
  <c r="Z319" i="1" s="1"/>
  <c r="AE319" i="1" s="1"/>
  <c r="S764" i="1"/>
  <c r="T764" i="1" s="1"/>
  <c r="Z764" i="1" s="1"/>
  <c r="AE764" i="1" s="1"/>
  <c r="S343" i="1"/>
  <c r="T343" i="1" s="1"/>
  <c r="Z343" i="1" s="1"/>
  <c r="AE343" i="1" s="1"/>
  <c r="S347" i="1"/>
  <c r="T347" i="1" s="1"/>
  <c r="Z347" i="1" s="1"/>
  <c r="AE347" i="1" s="1"/>
  <c r="S788" i="1"/>
  <c r="T788" i="1" s="1"/>
  <c r="Z788" i="1" s="1"/>
  <c r="AE788" i="1" s="1"/>
  <c r="S363" i="1"/>
  <c r="T363" i="1" s="1"/>
  <c r="Z363" i="1" s="1"/>
  <c r="AE363" i="1" s="1"/>
  <c r="S793" i="1"/>
  <c r="T793" i="1" s="1"/>
  <c r="Z793" i="1" s="1"/>
  <c r="AE793" i="1" s="1"/>
  <c r="S369" i="1"/>
  <c r="T369" i="1" s="1"/>
  <c r="Z369" i="1" s="1"/>
  <c r="AE369" i="1" s="1"/>
  <c r="S805" i="1"/>
  <c r="T805" i="1" s="1"/>
  <c r="Z805" i="1" s="1"/>
  <c r="AE805" i="1" s="1"/>
  <c r="S375" i="1"/>
  <c r="T375" i="1" s="1"/>
  <c r="Z375" i="1" s="1"/>
  <c r="AE375" i="1" s="1"/>
  <c r="S818" i="1"/>
  <c r="T818" i="1" s="1"/>
  <c r="Z818" i="1" s="1"/>
  <c r="AE818" i="1" s="1"/>
  <c r="S387" i="1"/>
  <c r="T387" i="1" s="1"/>
  <c r="Z387" i="1" s="1"/>
  <c r="AE387" i="1" s="1"/>
  <c r="S829" i="1"/>
  <c r="T829" i="1" s="1"/>
  <c r="Z829" i="1" s="1"/>
  <c r="AE829" i="1" s="1"/>
  <c r="S395" i="1"/>
  <c r="T395" i="1" s="1"/>
  <c r="Z395" i="1" s="1"/>
  <c r="AE395" i="1" s="1"/>
  <c r="S397" i="1"/>
  <c r="T397" i="1" s="1"/>
  <c r="Z397" i="1" s="1"/>
  <c r="AE397" i="1" s="1"/>
  <c r="S401" i="1"/>
  <c r="T401" i="1" s="1"/>
  <c r="Z401" i="1" s="1"/>
  <c r="AE401" i="1" s="1"/>
  <c r="S407" i="1"/>
  <c r="T407" i="1" s="1"/>
  <c r="Z407" i="1" s="1"/>
  <c r="AE407" i="1" s="1"/>
  <c r="S839" i="1"/>
  <c r="T839" i="1" s="1"/>
  <c r="Z839" i="1" s="1"/>
  <c r="AE839" i="1" s="1"/>
  <c r="S416" i="1"/>
  <c r="T416" i="1" s="1"/>
  <c r="Z416" i="1" s="1"/>
  <c r="AE416" i="1" s="1"/>
  <c r="S452" i="1"/>
  <c r="T452" i="1" s="1"/>
  <c r="Z452" i="1" s="1"/>
  <c r="AE452" i="1" s="1"/>
  <c r="S455" i="1"/>
  <c r="T455" i="1" s="1"/>
  <c r="Z455" i="1" s="1"/>
  <c r="AE455" i="1" s="1"/>
  <c r="S878" i="1"/>
  <c r="T878" i="1" s="1"/>
  <c r="Z878" i="1" s="1"/>
  <c r="AE878" i="1" s="1"/>
  <c r="S461" i="1"/>
  <c r="T461" i="1" s="1"/>
  <c r="Z461" i="1" s="1"/>
  <c r="AE461" i="1" s="1"/>
  <c r="S467" i="1"/>
  <c r="T467" i="1" s="1"/>
  <c r="Z467" i="1" s="1"/>
  <c r="AE467" i="1" s="1"/>
  <c r="S895" i="1"/>
  <c r="T895" i="1" s="1"/>
  <c r="Z895" i="1" s="1"/>
  <c r="AE895" i="1" s="1"/>
  <c r="S499" i="1"/>
  <c r="T499" i="1" s="1"/>
  <c r="Z499" i="1" s="1"/>
  <c r="AE499" i="1" s="1"/>
  <c r="S500" i="1"/>
  <c r="T500" i="1" s="1"/>
  <c r="Z500" i="1" s="1"/>
  <c r="AE500" i="1" s="1"/>
  <c r="S502" i="1"/>
  <c r="T502" i="1" s="1"/>
  <c r="Z502" i="1" s="1"/>
  <c r="AE502" i="1" s="1"/>
  <c r="S503" i="1"/>
  <c r="T503" i="1" s="1"/>
  <c r="Z503" i="1" s="1"/>
  <c r="AE503" i="1" s="1"/>
  <c r="S35" i="1"/>
  <c r="T35" i="1" s="1"/>
  <c r="Z35" i="1" s="1"/>
  <c r="AE35" i="1" s="1"/>
  <c r="S514" i="1"/>
  <c r="T514" i="1" s="1"/>
  <c r="Z514" i="1" s="1"/>
  <c r="AE514" i="1" s="1"/>
  <c r="S521" i="1"/>
  <c r="T521" i="1" s="1"/>
  <c r="Z521" i="1" s="1"/>
  <c r="AE521" i="1" s="1"/>
  <c r="S52" i="1"/>
  <c r="T52" i="1" s="1"/>
  <c r="Z52" i="1" s="1"/>
  <c r="AE52" i="1" s="1"/>
  <c r="S60" i="1"/>
  <c r="T60" i="1" s="1"/>
  <c r="Z60" i="1" s="1"/>
  <c r="AE60" i="1" s="1"/>
  <c r="S72" i="1"/>
  <c r="T72" i="1" s="1"/>
  <c r="S543" i="1"/>
  <c r="T543" i="1" s="1"/>
  <c r="Z543" i="1" s="1"/>
  <c r="AE543" i="1" s="1"/>
  <c r="S90" i="1"/>
  <c r="T90" i="1" s="1"/>
  <c r="Z90" i="1" s="1"/>
  <c r="AE90" i="1" s="1"/>
  <c r="S551" i="1"/>
  <c r="T551" i="1" s="1"/>
  <c r="Z551" i="1" s="1"/>
  <c r="AE551" i="1" s="1"/>
  <c r="S554" i="1"/>
  <c r="T554" i="1" s="1"/>
  <c r="Z554" i="1" s="1"/>
  <c r="AE554" i="1" s="1"/>
  <c r="S98" i="1"/>
  <c r="T98" i="1" s="1"/>
  <c r="Z98" i="1" s="1"/>
  <c r="AE98" i="1" s="1"/>
  <c r="S568" i="1"/>
  <c r="T568" i="1" s="1"/>
  <c r="Z568" i="1" s="1"/>
  <c r="AE568" i="1" s="1"/>
  <c r="S579" i="1"/>
  <c r="T579" i="1" s="1"/>
  <c r="Z579" i="1" s="1"/>
  <c r="AE579" i="1" s="1"/>
  <c r="S118" i="1"/>
  <c r="T118" i="1" s="1"/>
  <c r="Z118" i="1" s="1"/>
  <c r="AE118" i="1" s="1"/>
  <c r="S586" i="1"/>
  <c r="T586" i="1" s="1"/>
  <c r="Z586" i="1" s="1"/>
  <c r="AE586" i="1" s="1"/>
  <c r="S606" i="1"/>
  <c r="T606" i="1" s="1"/>
  <c r="Z606" i="1" s="1"/>
  <c r="AE606" i="1" s="1"/>
  <c r="S620" i="1"/>
  <c r="T620" i="1" s="1"/>
  <c r="Z620" i="1" s="1"/>
  <c r="AE620" i="1" s="1"/>
  <c r="S628" i="1"/>
  <c r="T628" i="1" s="1"/>
  <c r="Z628" i="1" s="1"/>
  <c r="AE628" i="1" s="1"/>
  <c r="S175" i="1"/>
  <c r="T175" i="1" s="1"/>
  <c r="Z175" i="1" s="1"/>
  <c r="AE175" i="1" s="1"/>
  <c r="S636" i="1"/>
  <c r="T636" i="1" s="1"/>
  <c r="Z636" i="1" s="1"/>
  <c r="AE636" i="1" s="1"/>
  <c r="S180" i="1"/>
  <c r="T180" i="1" s="1"/>
  <c r="Z180" i="1" s="1"/>
  <c r="AE180" i="1" s="1"/>
  <c r="S639" i="1"/>
  <c r="T639" i="1" s="1"/>
  <c r="Z639" i="1" s="1"/>
  <c r="AE639" i="1" s="1"/>
  <c r="S189" i="1"/>
  <c r="T189" i="1" s="1"/>
  <c r="Z189" i="1" s="1"/>
  <c r="AE189" i="1" s="1"/>
  <c r="S646" i="1"/>
  <c r="T646" i="1" s="1"/>
  <c r="Z646" i="1" s="1"/>
  <c r="AE646" i="1" s="1"/>
  <c r="S648" i="1"/>
  <c r="T648" i="1" s="1"/>
  <c r="Z648" i="1" s="1"/>
  <c r="AE648" i="1" s="1"/>
  <c r="S653" i="1"/>
  <c r="T653" i="1" s="1"/>
  <c r="Z653" i="1" s="1"/>
  <c r="AE653" i="1" s="1"/>
  <c r="S655" i="1"/>
  <c r="T655" i="1" s="1"/>
  <c r="Z655" i="1" s="1"/>
  <c r="AE655" i="1" s="1"/>
  <c r="S657" i="1"/>
  <c r="T657" i="1" s="1"/>
  <c r="Z657" i="1" s="1"/>
  <c r="AE657" i="1" s="1"/>
  <c r="S205" i="1"/>
  <c r="T205" i="1" s="1"/>
  <c r="Z205" i="1" s="1"/>
  <c r="AE205" i="1" s="1"/>
  <c r="S209" i="1"/>
  <c r="T209" i="1" s="1"/>
  <c r="Z209" i="1" s="1"/>
  <c r="AE209" i="1" s="1"/>
  <c r="S666" i="1"/>
  <c r="T666" i="1" s="1"/>
  <c r="Z666" i="1" s="1"/>
  <c r="AE666" i="1" s="1"/>
  <c r="S211" i="1"/>
  <c r="T211" i="1" s="1"/>
  <c r="Z211" i="1" s="1"/>
  <c r="AE211" i="1" s="1"/>
  <c r="S676" i="1"/>
  <c r="T676" i="1" s="1"/>
  <c r="Z676" i="1" s="1"/>
  <c r="AE676" i="1" s="1"/>
  <c r="S686" i="1"/>
  <c r="T686" i="1" s="1"/>
  <c r="Z686" i="1" s="1"/>
  <c r="AE686" i="1" s="1"/>
  <c r="S231" i="1"/>
  <c r="T231" i="1" s="1"/>
  <c r="Z231" i="1" s="1"/>
  <c r="AE231" i="1" s="1"/>
  <c r="S695" i="1"/>
  <c r="T695" i="1" s="1"/>
  <c r="Z695" i="1" s="1"/>
  <c r="AE695" i="1" s="1"/>
  <c r="S250" i="1"/>
  <c r="T250" i="1" s="1"/>
  <c r="Z250" i="1" s="1"/>
  <c r="AE250" i="1" s="1"/>
  <c r="S257" i="1"/>
  <c r="T257" i="1" s="1"/>
  <c r="Z257" i="1" s="1"/>
  <c r="AE257" i="1" s="1"/>
  <c r="S732" i="1"/>
  <c r="T732" i="1" s="1"/>
  <c r="Z732" i="1" s="1"/>
  <c r="AE732" i="1" s="1"/>
  <c r="S739" i="1"/>
  <c r="T739" i="1" s="1"/>
  <c r="Z739" i="1" s="1"/>
  <c r="AE739" i="1" s="1"/>
  <c r="S299" i="1"/>
  <c r="T299" i="1" s="1"/>
  <c r="Z299" i="1" s="1"/>
  <c r="AE299" i="1" s="1"/>
  <c r="S747" i="1"/>
  <c r="T747" i="1" s="1"/>
  <c r="Z747" i="1" s="1"/>
  <c r="AE747" i="1" s="1"/>
  <c r="S755" i="1"/>
  <c r="T755" i="1" s="1"/>
  <c r="Z755" i="1" s="1"/>
  <c r="AE755" i="1" s="1"/>
  <c r="S323" i="1"/>
  <c r="T323" i="1" s="1"/>
  <c r="Z323" i="1" s="1"/>
  <c r="AE323" i="1" s="1"/>
  <c r="S330" i="1"/>
  <c r="T330" i="1" s="1"/>
  <c r="Z330" i="1" s="1"/>
  <c r="AE330" i="1" s="1"/>
  <c r="S768" i="1"/>
  <c r="T768" i="1" s="1"/>
  <c r="Z768" i="1" s="1"/>
  <c r="AE768" i="1" s="1"/>
  <c r="S332" i="1"/>
  <c r="T332" i="1" s="1"/>
  <c r="Z332" i="1" s="1"/>
  <c r="AE332" i="1" s="1"/>
  <c r="S335" i="1"/>
  <c r="T335" i="1" s="1"/>
  <c r="Z335" i="1" s="1"/>
  <c r="AE335" i="1" s="1"/>
  <c r="S338" i="1"/>
  <c r="T338" i="1" s="1"/>
  <c r="Z338" i="1" s="1"/>
  <c r="AE338" i="1" s="1"/>
  <c r="S350" i="1"/>
  <c r="T350" i="1" s="1"/>
  <c r="Z350" i="1" s="1"/>
  <c r="AE350" i="1" s="1"/>
  <c r="S786" i="1"/>
  <c r="T786" i="1" s="1"/>
  <c r="Z786" i="1" s="1"/>
  <c r="AE786" i="1" s="1"/>
  <c r="S359" i="1"/>
  <c r="T359" i="1" s="1"/>
  <c r="Z359" i="1" s="1"/>
  <c r="AE359" i="1" s="1"/>
  <c r="S371" i="1"/>
  <c r="T371" i="1" s="1"/>
  <c r="Z371" i="1" s="1"/>
  <c r="AE371" i="1" s="1"/>
  <c r="S812" i="1"/>
  <c r="T812" i="1" s="1"/>
  <c r="S821" i="1"/>
  <c r="T821" i="1" s="1"/>
  <c r="S402" i="1"/>
  <c r="T402" i="1" s="1"/>
  <c r="Z402" i="1" s="1"/>
  <c r="AE402" i="1" s="1"/>
  <c r="S836" i="1"/>
  <c r="T836" i="1" s="1"/>
  <c r="Z836" i="1" s="1"/>
  <c r="AE836" i="1" s="1"/>
  <c r="S837" i="1"/>
  <c r="T837" i="1" s="1"/>
  <c r="Z837" i="1" s="1"/>
  <c r="AE837" i="1" s="1"/>
  <c r="S845" i="1"/>
  <c r="T845" i="1" s="1"/>
  <c r="Z845" i="1" s="1"/>
  <c r="AE845" i="1" s="1"/>
  <c r="S847" i="1"/>
  <c r="T847" i="1" s="1"/>
  <c r="Z847" i="1" s="1"/>
  <c r="AE847" i="1" s="1"/>
  <c r="S850" i="1"/>
  <c r="T850" i="1" s="1"/>
  <c r="Z850" i="1" s="1"/>
  <c r="AE850" i="1" s="1"/>
  <c r="S426" i="1"/>
  <c r="T426" i="1" s="1"/>
  <c r="Z426" i="1" s="1"/>
  <c r="AE426" i="1" s="1"/>
  <c r="S427" i="1"/>
  <c r="T427" i="1" s="1"/>
  <c r="Z427" i="1" s="1"/>
  <c r="AE427" i="1" s="1"/>
  <c r="S429" i="1"/>
  <c r="T429" i="1" s="1"/>
  <c r="Z429" i="1" s="1"/>
  <c r="AE429" i="1" s="1"/>
  <c r="S438" i="1"/>
  <c r="T438" i="1" s="1"/>
  <c r="Z438" i="1" s="1"/>
  <c r="AE438" i="1" s="1"/>
  <c r="S860" i="1"/>
  <c r="T860" i="1" s="1"/>
  <c r="Z860" i="1" s="1"/>
  <c r="AE860" i="1" s="1"/>
  <c r="S458" i="1"/>
  <c r="T458" i="1" s="1"/>
  <c r="Z458" i="1" s="1"/>
  <c r="AE458" i="1" s="1"/>
  <c r="S880" i="1"/>
  <c r="T880" i="1" s="1"/>
  <c r="Z880" i="1" s="1"/>
  <c r="AE880" i="1" s="1"/>
  <c r="S462" i="1"/>
  <c r="T462" i="1" s="1"/>
  <c r="Z462" i="1" s="1"/>
  <c r="AE462" i="1" s="1"/>
  <c r="S888" i="1"/>
  <c r="T888" i="1" s="1"/>
  <c r="Z888" i="1" s="1"/>
  <c r="AE888" i="1" s="1"/>
  <c r="S889" i="1"/>
  <c r="T889" i="1" s="1"/>
  <c r="Z889" i="1" s="1"/>
  <c r="AE889" i="1" s="1"/>
  <c r="S475" i="1"/>
  <c r="T475" i="1" s="1"/>
  <c r="Z475" i="1" s="1"/>
  <c r="AE475" i="1" s="1"/>
  <c r="S477" i="1"/>
  <c r="T477" i="1" s="1"/>
  <c r="Z477" i="1" s="1"/>
  <c r="AE477" i="1" s="1"/>
  <c r="S480" i="1"/>
  <c r="T480" i="1" s="1"/>
  <c r="Z480" i="1" s="1"/>
  <c r="AE480" i="1" s="1"/>
  <c r="S488" i="1"/>
  <c r="T488" i="1" s="1"/>
  <c r="Z488" i="1" s="1"/>
  <c r="AE488" i="1" s="1"/>
  <c r="S190" i="1"/>
  <c r="T190" i="1" s="1"/>
  <c r="Z190" i="1" s="1"/>
  <c r="AE190" i="1" s="1"/>
  <c r="S637" i="1"/>
  <c r="T637" i="1" s="1"/>
  <c r="Z637" i="1" s="1"/>
  <c r="AE637" i="1" s="1"/>
  <c r="S647" i="1"/>
  <c r="T647" i="1" s="1"/>
  <c r="Z647" i="1" s="1"/>
  <c r="AE647" i="1" s="1"/>
  <c r="S5" i="1"/>
  <c r="T5" i="1" s="1"/>
  <c r="Z5" i="1" s="1"/>
  <c r="AE5" i="1" s="1"/>
  <c r="S8" i="1"/>
  <c r="T8" i="1" s="1"/>
  <c r="Z8" i="1" s="1"/>
  <c r="AE8" i="1" s="1"/>
  <c r="S9" i="1"/>
  <c r="T9" i="1" s="1"/>
  <c r="Z9" i="1" s="1"/>
  <c r="AE9" i="1" s="1"/>
  <c r="S10" i="1"/>
  <c r="T10" i="1" s="1"/>
  <c r="Z10" i="1" s="1"/>
  <c r="AE10" i="1" s="1"/>
  <c r="S13" i="1"/>
  <c r="T13" i="1" s="1"/>
  <c r="Z13" i="1" s="1"/>
  <c r="AE13" i="1" s="1"/>
  <c r="S515" i="1"/>
  <c r="T515" i="1" s="1"/>
  <c r="Z515" i="1" s="1"/>
  <c r="AE515" i="1" s="1"/>
  <c r="S526" i="1"/>
  <c r="T526" i="1" s="1"/>
  <c r="Z526" i="1" s="1"/>
  <c r="AE526" i="1" s="1"/>
  <c r="S50" i="1"/>
  <c r="T50" i="1" s="1"/>
  <c r="Z50" i="1" s="1"/>
  <c r="AE50" i="1" s="1"/>
  <c r="S55" i="1"/>
  <c r="T55" i="1" s="1"/>
  <c r="Z55" i="1" s="1"/>
  <c r="AE55" i="1" s="1"/>
  <c r="S77" i="1"/>
  <c r="T77" i="1" s="1"/>
  <c r="Z77" i="1" s="1"/>
  <c r="AE77" i="1" s="1"/>
  <c r="S542" i="1"/>
  <c r="T542" i="1" s="1"/>
  <c r="Z542" i="1" s="1"/>
  <c r="AE542" i="1" s="1"/>
  <c r="S86" i="1"/>
  <c r="T86" i="1" s="1"/>
  <c r="Z86" i="1" s="1"/>
  <c r="AE86" i="1" s="1"/>
  <c r="S572" i="1"/>
  <c r="T572" i="1" s="1"/>
  <c r="Z572" i="1" s="1"/>
  <c r="AE572" i="1" s="1"/>
  <c r="S111" i="1"/>
  <c r="T111" i="1" s="1"/>
  <c r="Z111" i="1" s="1"/>
  <c r="AE111" i="1" s="1"/>
  <c r="S574" i="1"/>
  <c r="T574" i="1" s="1"/>
  <c r="Z574" i="1" s="1"/>
  <c r="AE574" i="1" s="1"/>
  <c r="S576" i="1"/>
  <c r="T576" i="1" s="1"/>
  <c r="Z576" i="1" s="1"/>
  <c r="AE576" i="1" s="1"/>
  <c r="S577" i="1"/>
  <c r="T577" i="1" s="1"/>
  <c r="Z577" i="1" s="1"/>
  <c r="AE577" i="1" s="1"/>
  <c r="S116" i="1"/>
  <c r="T116" i="1" s="1"/>
  <c r="Z116" i="1" s="1"/>
  <c r="AE116" i="1" s="1"/>
  <c r="S588" i="1"/>
  <c r="T588" i="1" s="1"/>
  <c r="Z588" i="1" s="1"/>
  <c r="AE588" i="1" s="1"/>
  <c r="S121" i="1"/>
  <c r="T121" i="1" s="1"/>
  <c r="Z121" i="1" s="1"/>
  <c r="AE121" i="1" s="1"/>
  <c r="S591" i="1"/>
  <c r="T591" i="1" s="1"/>
  <c r="Z591" i="1" s="1"/>
  <c r="AE591" i="1" s="1"/>
  <c r="S126" i="1"/>
  <c r="T126" i="1" s="1"/>
  <c r="S141" i="1"/>
  <c r="T141" i="1" s="1"/>
  <c r="Z141" i="1" s="1"/>
  <c r="AE141" i="1" s="1"/>
  <c r="S147" i="1"/>
  <c r="T147" i="1" s="1"/>
  <c r="Z147" i="1" s="1"/>
  <c r="AE147" i="1" s="1"/>
  <c r="S159" i="1"/>
  <c r="T159" i="1" s="1"/>
  <c r="S635" i="1"/>
  <c r="T635" i="1" s="1"/>
  <c r="Z635" i="1" s="1"/>
  <c r="AE635" i="1" s="1"/>
  <c r="S644" i="1"/>
  <c r="T644" i="1" s="1"/>
  <c r="Z644" i="1" s="1"/>
  <c r="AE644" i="1" s="1"/>
  <c r="S649" i="1"/>
  <c r="T649" i="1" s="1"/>
  <c r="Z649" i="1" s="1"/>
  <c r="AE649" i="1" s="1"/>
  <c r="S203" i="1"/>
  <c r="T203" i="1" s="1"/>
  <c r="Z203" i="1" s="1"/>
  <c r="AE203" i="1" s="1"/>
  <c r="S660" i="1"/>
  <c r="T660" i="1" s="1"/>
  <c r="Z660" i="1" s="1"/>
  <c r="AE660" i="1" s="1"/>
  <c r="S207" i="1"/>
  <c r="T207" i="1" s="1"/>
  <c r="Z207" i="1" s="1"/>
  <c r="AE207" i="1" s="1"/>
  <c r="S669" i="1"/>
  <c r="T669" i="1" s="1"/>
  <c r="Z669" i="1" s="1"/>
  <c r="AE669" i="1" s="1"/>
  <c r="S226" i="1"/>
  <c r="T226" i="1" s="1"/>
  <c r="Z226" i="1" s="1"/>
  <c r="AE226" i="1" s="1"/>
  <c r="S230" i="1"/>
  <c r="T230" i="1" s="1"/>
  <c r="Z230" i="1" s="1"/>
  <c r="AE230" i="1" s="1"/>
  <c r="S692" i="1"/>
  <c r="T692" i="1" s="1"/>
  <c r="Z692" i="1" s="1"/>
  <c r="AE692" i="1" s="1"/>
  <c r="S236" i="1"/>
  <c r="T236" i="1" s="1"/>
  <c r="Z236" i="1" s="1"/>
  <c r="AE236" i="1" s="1"/>
  <c r="S237" i="1"/>
  <c r="T237" i="1" s="1"/>
  <c r="Z237" i="1" s="1"/>
  <c r="AE237" i="1" s="1"/>
  <c r="S241" i="1"/>
  <c r="T241" i="1" s="1"/>
  <c r="Z241" i="1" s="1"/>
  <c r="AE241" i="1" s="1"/>
  <c r="S704" i="1"/>
  <c r="T704" i="1" s="1"/>
  <c r="Z704" i="1" s="1"/>
  <c r="AE704" i="1" s="1"/>
  <c r="S710" i="1"/>
  <c r="T710" i="1" s="1"/>
  <c r="Z710" i="1" s="1"/>
  <c r="AE710" i="1" s="1"/>
  <c r="S260" i="1"/>
  <c r="T260" i="1" s="1"/>
  <c r="Z260" i="1" s="1"/>
  <c r="AE260" i="1" s="1"/>
  <c r="S718" i="1"/>
  <c r="T718" i="1" s="1"/>
  <c r="Z718" i="1" s="1"/>
  <c r="AE718" i="1" s="1"/>
  <c r="S721" i="1"/>
  <c r="T721" i="1" s="1"/>
  <c r="Z721" i="1" s="1"/>
  <c r="AE721" i="1" s="1"/>
  <c r="S729" i="1"/>
  <c r="T729" i="1" s="1"/>
  <c r="Z729" i="1" s="1"/>
  <c r="AE729" i="1" s="1"/>
  <c r="S293" i="1"/>
  <c r="T293" i="1" s="1"/>
  <c r="Z293" i="1" s="1"/>
  <c r="AE293" i="1" s="1"/>
  <c r="S344" i="1"/>
  <c r="T344" i="1" s="1"/>
  <c r="Z344" i="1" s="1"/>
  <c r="AE344" i="1" s="1"/>
  <c r="S785" i="1"/>
  <c r="T785" i="1" s="1"/>
  <c r="Z785" i="1" s="1"/>
  <c r="AE785" i="1" s="1"/>
  <c r="S787" i="1"/>
  <c r="T787" i="1" s="1"/>
  <c r="Z787" i="1" s="1"/>
  <c r="AE787" i="1" s="1"/>
  <c r="S800" i="1"/>
  <c r="T800" i="1" s="1"/>
  <c r="Z800" i="1" s="1"/>
  <c r="AE800" i="1" s="1"/>
  <c r="S374" i="1"/>
  <c r="T374" i="1" s="1"/>
  <c r="Z374" i="1" s="1"/>
  <c r="AE374" i="1" s="1"/>
  <c r="S814" i="1"/>
  <c r="T814" i="1" s="1"/>
  <c r="Z814" i="1" s="1"/>
  <c r="AE814" i="1" s="1"/>
  <c r="S381" i="1"/>
  <c r="T381" i="1" s="1"/>
  <c r="Z381" i="1" s="1"/>
  <c r="AE381" i="1" s="1"/>
  <c r="S383" i="1"/>
  <c r="T383" i="1" s="1"/>
  <c r="Z383" i="1" s="1"/>
  <c r="AE383" i="1" s="1"/>
  <c r="S389" i="1"/>
  <c r="T389" i="1" s="1"/>
  <c r="Z389" i="1" s="1"/>
  <c r="AE389" i="1" s="1"/>
  <c r="S826" i="1"/>
  <c r="T826" i="1" s="1"/>
  <c r="Z826" i="1" s="1"/>
  <c r="AE826" i="1" s="1"/>
  <c r="S830" i="1"/>
  <c r="T830" i="1" s="1"/>
  <c r="Z830" i="1" s="1"/>
  <c r="AE830" i="1" s="1"/>
  <c r="S842" i="1"/>
  <c r="T842" i="1" s="1"/>
  <c r="Z842" i="1" s="1"/>
  <c r="AE842" i="1" s="1"/>
  <c r="S437" i="1"/>
  <c r="T437" i="1" s="1"/>
  <c r="Z437" i="1" s="1"/>
  <c r="AE437" i="1" s="1"/>
  <c r="S858" i="1"/>
  <c r="T858" i="1" s="1"/>
  <c r="Z858" i="1" s="1"/>
  <c r="AE858" i="1" s="1"/>
  <c r="S865" i="1"/>
  <c r="T865" i="1" s="1"/>
  <c r="Z865" i="1" s="1"/>
  <c r="AE865" i="1" s="1"/>
  <c r="S866" i="1"/>
  <c r="T866" i="1" s="1"/>
  <c r="Z866" i="1" s="1"/>
  <c r="AE866" i="1" s="1"/>
  <c r="S874" i="1"/>
  <c r="T874" i="1" s="1"/>
  <c r="Z874" i="1" s="1"/>
  <c r="AE874" i="1" s="1"/>
  <c r="S875" i="1"/>
  <c r="T875" i="1" s="1"/>
  <c r="Z875" i="1" s="1"/>
  <c r="AE875" i="1" s="1"/>
  <c r="S877" i="1"/>
  <c r="T877" i="1" s="1"/>
  <c r="Z877" i="1" s="1"/>
  <c r="AE877" i="1" s="1"/>
  <c r="S882" i="1"/>
  <c r="T882" i="1" s="1"/>
  <c r="Z882" i="1" s="1"/>
  <c r="AE882" i="1" s="1"/>
  <c r="S892" i="1"/>
  <c r="T892" i="1" s="1"/>
  <c r="Z892" i="1" s="1"/>
  <c r="AE892" i="1" s="1"/>
  <c r="S476" i="1"/>
  <c r="T476" i="1" s="1"/>
  <c r="Z476" i="1" s="1"/>
  <c r="AE476" i="1" s="1"/>
  <c r="S900" i="1"/>
  <c r="T900" i="1" s="1"/>
  <c r="Z900" i="1" s="1"/>
  <c r="AE900" i="1" s="1"/>
  <c r="S902" i="1"/>
  <c r="T902" i="1" s="1"/>
  <c r="Z902" i="1" s="1"/>
  <c r="AE902" i="1" s="1"/>
  <c r="S904" i="1"/>
  <c r="T904" i="1" s="1"/>
  <c r="Z904" i="1" s="1"/>
  <c r="AE904" i="1" s="1"/>
  <c r="S909" i="1"/>
  <c r="T909" i="1" s="1"/>
  <c r="Z909" i="1" s="1"/>
  <c r="AE909" i="1" s="1"/>
  <c r="S487" i="1"/>
  <c r="T487" i="1" s="1"/>
  <c r="Z487" i="1" s="1"/>
  <c r="AE487" i="1" s="1"/>
  <c r="S491" i="1"/>
  <c r="T491" i="1" s="1"/>
  <c r="Z491" i="1" s="1"/>
  <c r="AE491" i="1" s="1"/>
  <c r="S78" i="1"/>
  <c r="T78" i="1" s="1"/>
  <c r="Z78" i="1" s="1"/>
  <c r="AE78" i="1" s="1"/>
  <c r="S497" i="1"/>
  <c r="T497" i="1" s="1"/>
  <c r="Z497" i="1" s="1"/>
  <c r="AE497" i="1" s="1"/>
  <c r="S11" i="1"/>
  <c r="T11" i="1" s="1"/>
  <c r="Z11" i="1" s="1"/>
  <c r="AE11" i="1" s="1"/>
  <c r="S17" i="1"/>
  <c r="T17" i="1" s="1"/>
  <c r="Z17" i="1" s="1"/>
  <c r="AE17" i="1" s="1"/>
  <c r="S505" i="1"/>
  <c r="T505" i="1" s="1"/>
  <c r="Z505" i="1" s="1"/>
  <c r="AE505" i="1" s="1"/>
  <c r="S22" i="1"/>
  <c r="T22" i="1" s="1"/>
  <c r="Z22" i="1" s="1"/>
  <c r="AE22" i="1" s="1"/>
  <c r="S508" i="1"/>
  <c r="T508" i="1" s="1"/>
  <c r="Z508" i="1" s="1"/>
  <c r="AE508" i="1" s="1"/>
  <c r="S31" i="1"/>
  <c r="T31" i="1" s="1"/>
  <c r="Z31" i="1" s="1"/>
  <c r="AE31" i="1" s="1"/>
  <c r="S32" i="1"/>
  <c r="T32" i="1" s="1"/>
  <c r="Z32" i="1" s="1"/>
  <c r="AE32" i="1" s="1"/>
  <c r="S512" i="1"/>
  <c r="T512" i="1" s="1"/>
  <c r="Z512" i="1" s="1"/>
  <c r="AE512" i="1" s="1"/>
  <c r="S40" i="1"/>
  <c r="T40" i="1" s="1"/>
  <c r="Z40" i="1" s="1"/>
  <c r="AE40" i="1" s="1"/>
  <c r="S54" i="1"/>
  <c r="T54" i="1" s="1"/>
  <c r="Z54" i="1" s="1"/>
  <c r="AE54" i="1" s="1"/>
  <c r="S57" i="1"/>
  <c r="T57" i="1" s="1"/>
  <c r="Z57" i="1" s="1"/>
  <c r="AE57" i="1" s="1"/>
  <c r="S533" i="1"/>
  <c r="T533" i="1" s="1"/>
  <c r="Z533" i="1" s="1"/>
  <c r="AE533" i="1" s="1"/>
  <c r="S69" i="1"/>
  <c r="T69" i="1" s="1"/>
  <c r="Z69" i="1" s="1"/>
  <c r="AE69" i="1" s="1"/>
  <c r="S83" i="1"/>
  <c r="T83" i="1" s="1"/>
  <c r="Z83" i="1" s="1"/>
  <c r="AE83" i="1" s="1"/>
  <c r="S546" i="1"/>
  <c r="T546" i="1" s="1"/>
  <c r="Z546" i="1" s="1"/>
  <c r="AE546" i="1" s="1"/>
  <c r="S547" i="1"/>
  <c r="T547" i="1" s="1"/>
  <c r="Z547" i="1" s="1"/>
  <c r="AE547" i="1" s="1"/>
  <c r="S93" i="1"/>
  <c r="T93" i="1" s="1"/>
  <c r="Z93" i="1" s="1"/>
  <c r="AE93" i="1" s="1"/>
  <c r="S95" i="1"/>
  <c r="T95" i="1" s="1"/>
  <c r="Z95" i="1" s="1"/>
  <c r="AE95" i="1" s="1"/>
  <c r="S556" i="1"/>
  <c r="T556" i="1" s="1"/>
  <c r="Z556" i="1" s="1"/>
  <c r="AE556" i="1" s="1"/>
  <c r="S563" i="1"/>
  <c r="T563" i="1" s="1"/>
  <c r="Z563" i="1" s="1"/>
  <c r="AE563" i="1" s="1"/>
  <c r="S565" i="1"/>
  <c r="T565" i="1" s="1"/>
  <c r="Z565" i="1" s="1"/>
  <c r="AE565" i="1" s="1"/>
  <c r="S105" i="1"/>
  <c r="T105" i="1" s="1"/>
  <c r="Z105" i="1" s="1"/>
  <c r="AE105" i="1" s="1"/>
  <c r="S107" i="1"/>
  <c r="T107" i="1" s="1"/>
  <c r="Z107" i="1" s="1"/>
  <c r="AE107" i="1" s="1"/>
  <c r="S108" i="1"/>
  <c r="T108" i="1" s="1"/>
  <c r="Z108" i="1" s="1"/>
  <c r="AE108" i="1" s="1"/>
  <c r="S583" i="1"/>
  <c r="T583" i="1" s="1"/>
  <c r="Z583" i="1" s="1"/>
  <c r="AE583" i="1" s="1"/>
  <c r="S122" i="1"/>
  <c r="T122" i="1" s="1"/>
  <c r="Z122" i="1" s="1"/>
  <c r="AE122" i="1" s="1"/>
  <c r="S127" i="1"/>
  <c r="T127" i="1" s="1"/>
  <c r="Z127" i="1" s="1"/>
  <c r="AE127" i="1" s="1"/>
  <c r="S133" i="1"/>
  <c r="T133" i="1" s="1"/>
  <c r="Z133" i="1" s="1"/>
  <c r="AE133" i="1" s="1"/>
  <c r="S137" i="1"/>
  <c r="T137" i="1" s="1"/>
  <c r="Z137" i="1" s="1"/>
  <c r="AE137" i="1" s="1"/>
  <c r="S139" i="1"/>
  <c r="T139" i="1" s="1"/>
  <c r="Z139" i="1" s="1"/>
  <c r="AE139" i="1" s="1"/>
  <c r="S601" i="1"/>
  <c r="T601" i="1" s="1"/>
  <c r="Z601" i="1" s="1"/>
  <c r="AE601" i="1" s="1"/>
  <c r="S615" i="1"/>
  <c r="T615" i="1" s="1"/>
  <c r="Z615" i="1" s="1"/>
  <c r="AE615" i="1" s="1"/>
  <c r="S617" i="1"/>
  <c r="T617" i="1" s="1"/>
  <c r="Z617" i="1" s="1"/>
  <c r="AE617" i="1" s="1"/>
  <c r="S618" i="1"/>
  <c r="T618" i="1" s="1"/>
  <c r="Z618" i="1" s="1"/>
  <c r="AE618" i="1" s="1"/>
  <c r="S166" i="1"/>
  <c r="T166" i="1" s="1"/>
  <c r="Z166" i="1" s="1"/>
  <c r="AE166" i="1" s="1"/>
  <c r="S185" i="1"/>
  <c r="T185" i="1" s="1"/>
  <c r="Z185" i="1" s="1"/>
  <c r="AE185" i="1" s="1"/>
  <c r="S641" i="1"/>
  <c r="T641" i="1" s="1"/>
  <c r="Z641" i="1" s="1"/>
  <c r="AE641" i="1" s="1"/>
  <c r="S196" i="1"/>
  <c r="T196" i="1" s="1"/>
  <c r="Z196" i="1" s="1"/>
  <c r="AE196" i="1" s="1"/>
  <c r="S664" i="1"/>
  <c r="T664" i="1" s="1"/>
  <c r="Z664" i="1" s="1"/>
  <c r="AE664" i="1" s="1"/>
  <c r="S667" i="1"/>
  <c r="T667" i="1" s="1"/>
  <c r="Z667" i="1" s="1"/>
  <c r="AE667" i="1" s="1"/>
  <c r="S671" i="1"/>
  <c r="T671" i="1" s="1"/>
  <c r="Z671" i="1" s="1"/>
  <c r="AE671" i="1" s="1"/>
  <c r="S678" i="1"/>
  <c r="T678" i="1" s="1"/>
  <c r="Z678" i="1" s="1"/>
  <c r="AE678" i="1" s="1"/>
  <c r="S223" i="1"/>
  <c r="T223" i="1" s="1"/>
  <c r="Z223" i="1" s="1"/>
  <c r="AE223" i="1" s="1"/>
  <c r="S684" i="1"/>
  <c r="T684" i="1" s="1"/>
  <c r="Z684" i="1" s="1"/>
  <c r="AE684" i="1" s="1"/>
  <c r="S253" i="1"/>
  <c r="T253" i="1" s="1"/>
  <c r="Z253" i="1" s="1"/>
  <c r="AE253" i="1" s="1"/>
  <c r="S254" i="1"/>
  <c r="T254" i="1" s="1"/>
  <c r="Z254" i="1" s="1"/>
  <c r="AE254" i="1" s="1"/>
  <c r="S265" i="1"/>
  <c r="T265" i="1" s="1"/>
  <c r="Z265" i="1" s="1"/>
  <c r="AE265" i="1" s="1"/>
  <c r="S270" i="1"/>
  <c r="T270" i="1" s="1"/>
  <c r="Z270" i="1" s="1"/>
  <c r="AE270" i="1" s="1"/>
  <c r="S271" i="1"/>
  <c r="T271" i="1" s="1"/>
  <c r="Z271" i="1" s="1"/>
  <c r="AE271" i="1" s="1"/>
  <c r="S723" i="1"/>
  <c r="T723" i="1" s="1"/>
  <c r="Z723" i="1" s="1"/>
  <c r="AE723" i="1" s="1"/>
  <c r="S278" i="1"/>
  <c r="T278" i="1" s="1"/>
  <c r="Z278" i="1" s="1"/>
  <c r="AE278" i="1" s="1"/>
  <c r="S285" i="1"/>
  <c r="T285" i="1" s="1"/>
  <c r="Z285" i="1" s="1"/>
  <c r="AE285" i="1" s="1"/>
  <c r="S731" i="1"/>
  <c r="T731" i="1" s="1"/>
  <c r="S294" i="1"/>
  <c r="T294" i="1" s="1"/>
  <c r="Z294" i="1" s="1"/>
  <c r="AE294" i="1" s="1"/>
  <c r="S743" i="1"/>
  <c r="T743" i="1" s="1"/>
  <c r="Z743" i="1" s="1"/>
  <c r="AE743" i="1" s="1"/>
  <c r="S307" i="1"/>
  <c r="T307" i="1" s="1"/>
  <c r="Z307" i="1" s="1"/>
  <c r="AE307" i="1" s="1"/>
  <c r="S309" i="1"/>
  <c r="T309" i="1" s="1"/>
  <c r="Z309" i="1" s="1"/>
  <c r="AE309" i="1" s="1"/>
  <c r="S751" i="1"/>
  <c r="T751" i="1" s="1"/>
  <c r="Z751" i="1" s="1"/>
  <c r="AE751" i="1" s="1"/>
  <c r="S326" i="1"/>
  <c r="T326" i="1" s="1"/>
  <c r="Z326" i="1" s="1"/>
  <c r="AE326" i="1" s="1"/>
  <c r="S329" i="1"/>
  <c r="T329" i="1" s="1"/>
  <c r="Z329" i="1" s="1"/>
  <c r="AE329" i="1" s="1"/>
  <c r="S770" i="1"/>
  <c r="T770" i="1" s="1"/>
  <c r="Z770" i="1" s="1"/>
  <c r="AE770" i="1" s="1"/>
  <c r="S339" i="1"/>
  <c r="T339" i="1" s="1"/>
  <c r="Z339" i="1" s="1"/>
  <c r="AE339" i="1" s="1"/>
  <c r="S356" i="1"/>
  <c r="T356" i="1" s="1"/>
  <c r="Z356" i="1" s="1"/>
  <c r="AE356" i="1" s="1"/>
  <c r="S797" i="1"/>
  <c r="T797" i="1" s="1"/>
  <c r="Z797" i="1" s="1"/>
  <c r="AE797" i="1" s="1"/>
  <c r="S801" i="1"/>
  <c r="T801" i="1" s="1"/>
  <c r="Z801" i="1" s="1"/>
  <c r="AE801" i="1" s="1"/>
  <c r="S802" i="1"/>
  <c r="T802" i="1" s="1"/>
  <c r="Z802" i="1" s="1"/>
  <c r="AE802" i="1" s="1"/>
  <c r="S809" i="1"/>
  <c r="T809" i="1" s="1"/>
  <c r="Z809" i="1" s="1"/>
  <c r="AE809" i="1" s="1"/>
  <c r="S811" i="1"/>
  <c r="T811" i="1" s="1"/>
  <c r="Z811" i="1" s="1"/>
  <c r="AE811" i="1" s="1"/>
  <c r="S384" i="1"/>
  <c r="T384" i="1" s="1"/>
  <c r="Z384" i="1" s="1"/>
  <c r="AE384" i="1" s="1"/>
  <c r="S385" i="1"/>
  <c r="T385" i="1" s="1"/>
  <c r="Z385" i="1" s="1"/>
  <c r="AE385" i="1" s="1"/>
  <c r="S386" i="1"/>
  <c r="T386" i="1" s="1"/>
  <c r="Z386" i="1" s="1"/>
  <c r="AE386" i="1" s="1"/>
  <c r="S824" i="1"/>
  <c r="T824" i="1" s="1"/>
  <c r="Z824" i="1" s="1"/>
  <c r="AE824" i="1" s="1"/>
  <c r="S396" i="1"/>
  <c r="T396" i="1" s="1"/>
  <c r="Z396" i="1" s="1"/>
  <c r="AE396" i="1" s="1"/>
  <c r="S400" i="1"/>
  <c r="T400" i="1" s="1"/>
  <c r="Z400" i="1" s="1"/>
  <c r="AE400" i="1" s="1"/>
  <c r="S405" i="1"/>
  <c r="T405" i="1" s="1"/>
  <c r="Z405" i="1" s="1"/>
  <c r="AE405" i="1" s="1"/>
  <c r="S408" i="1"/>
  <c r="T408" i="1" s="1"/>
  <c r="Z408" i="1" s="1"/>
  <c r="AE408" i="1" s="1"/>
  <c r="S414" i="1"/>
  <c r="T414" i="1" s="1"/>
  <c r="Z414" i="1" s="1"/>
  <c r="AE414" i="1" s="1"/>
  <c r="S843" i="1"/>
  <c r="T843" i="1" s="1"/>
  <c r="Z843" i="1" s="1"/>
  <c r="AE843" i="1" s="1"/>
  <c r="S848" i="1"/>
  <c r="T848" i="1" s="1"/>
  <c r="Z848" i="1" s="1"/>
  <c r="AE848" i="1" s="1"/>
  <c r="S852" i="1"/>
  <c r="T852" i="1" s="1"/>
  <c r="Z852" i="1" s="1"/>
  <c r="AE852" i="1" s="1"/>
  <c r="S853" i="1"/>
  <c r="T853" i="1" s="1"/>
  <c r="Z853" i="1" s="1"/>
  <c r="AE853" i="1" s="1"/>
  <c r="S430" i="1"/>
  <c r="T430" i="1" s="1"/>
  <c r="Z430" i="1" s="1"/>
  <c r="AE430" i="1" s="1"/>
  <c r="S434" i="1"/>
  <c r="T434" i="1" s="1"/>
  <c r="Z434" i="1" s="1"/>
  <c r="AE434" i="1" s="1"/>
  <c r="S441" i="1"/>
  <c r="T441" i="1" s="1"/>
  <c r="Z441" i="1" s="1"/>
  <c r="AE441" i="1" s="1"/>
  <c r="S863" i="1"/>
  <c r="T863" i="1" s="1"/>
  <c r="Z863" i="1" s="1"/>
  <c r="AE863" i="1" s="1"/>
  <c r="S868" i="1"/>
  <c r="T868" i="1" s="1"/>
  <c r="Z868" i="1" s="1"/>
  <c r="AE868" i="1" s="1"/>
  <c r="S454" i="1"/>
  <c r="T454" i="1" s="1"/>
  <c r="Z454" i="1" s="1"/>
  <c r="AE454" i="1" s="1"/>
  <c r="S884" i="1"/>
  <c r="T884" i="1" s="1"/>
  <c r="Z884" i="1" s="1"/>
  <c r="AE884" i="1" s="1"/>
  <c r="S472" i="1"/>
  <c r="T472" i="1" s="1"/>
  <c r="Z472" i="1" s="1"/>
  <c r="AE472" i="1" s="1"/>
  <c r="S481" i="1"/>
  <c r="T481" i="1" s="1"/>
  <c r="Z481" i="1" s="1"/>
  <c r="AE481" i="1" s="1"/>
  <c r="S484" i="1"/>
  <c r="T484" i="1" s="1"/>
  <c r="Z484" i="1" s="1"/>
  <c r="AE484" i="1" s="1"/>
  <c r="S668" i="1"/>
  <c r="T668" i="1" s="1"/>
  <c r="Z668" i="1" s="1"/>
  <c r="AE668" i="1" s="1"/>
  <c r="S417" i="1"/>
  <c r="T417" i="1" s="1"/>
  <c r="Z417" i="1" s="1"/>
  <c r="AE417" i="1" s="1"/>
  <c r="S463" i="1"/>
  <c r="T463" i="1" s="1"/>
  <c r="Z463" i="1" s="1"/>
  <c r="AE463" i="1" s="1"/>
  <c r="S148" i="1"/>
  <c r="T148" i="1" s="1"/>
  <c r="Z148" i="1" s="1"/>
  <c r="AE148" i="1" s="1"/>
  <c r="S861" i="1"/>
  <c r="T861" i="1" s="1"/>
  <c r="Z861" i="1" s="1"/>
  <c r="AE861" i="1" s="1"/>
  <c r="S202" i="1"/>
  <c r="T202" i="1" s="1"/>
  <c r="Z202" i="1" s="1"/>
  <c r="AE202" i="1" s="1"/>
  <c r="S269" i="1"/>
  <c r="T269" i="1" s="1"/>
  <c r="Z269" i="1" s="1"/>
  <c r="AE269" i="1" s="1"/>
  <c r="S302" i="1"/>
  <c r="T302" i="1" s="1"/>
  <c r="Z302" i="1" s="1"/>
  <c r="AE302" i="1" s="1"/>
  <c r="S867" i="1"/>
  <c r="T867" i="1" s="1"/>
  <c r="Z867" i="1" s="1"/>
  <c r="AE867" i="1" s="1"/>
  <c r="S47" i="1"/>
  <c r="T47" i="1" s="1"/>
  <c r="Z47" i="1" s="1"/>
  <c r="AE47" i="1" s="1"/>
  <c r="S544" i="1"/>
  <c r="T544" i="1" s="1"/>
  <c r="Z544" i="1" s="1"/>
  <c r="AE544" i="1" s="1"/>
  <c r="S88" i="1"/>
  <c r="T88" i="1" s="1"/>
  <c r="Z88" i="1" s="1"/>
  <c r="AE88" i="1" s="1"/>
  <c r="S247" i="1"/>
  <c r="T247" i="1" s="1"/>
  <c r="Z247" i="1" s="1"/>
  <c r="AE247" i="1" s="1"/>
  <c r="S733" i="1"/>
  <c r="T733" i="1" s="1"/>
  <c r="Z733" i="1" s="1"/>
  <c r="AE733" i="1" s="1"/>
  <c r="S89" i="1"/>
  <c r="T89" i="1" s="1"/>
  <c r="Z89" i="1" s="1"/>
  <c r="AE89" i="1" s="1"/>
  <c r="S216" i="1"/>
  <c r="T216" i="1" s="1"/>
  <c r="Z216" i="1" s="1"/>
  <c r="AE216" i="1" s="1"/>
  <c r="S778" i="1"/>
  <c r="T778" i="1" s="1"/>
  <c r="Z778" i="1" s="1"/>
  <c r="AE778" i="1" s="1"/>
  <c r="S61" i="1"/>
  <c r="T61" i="1" s="1"/>
  <c r="Z61" i="1" s="1"/>
  <c r="AE61" i="1" s="1"/>
  <c r="S167" i="1"/>
  <c r="T167" i="1" s="1"/>
  <c r="Z167" i="1" s="1"/>
  <c r="AE167" i="1" s="1"/>
  <c r="S520" i="1"/>
  <c r="T520" i="1" s="1"/>
  <c r="Z520" i="1" s="1"/>
  <c r="AE520" i="1" s="1"/>
  <c r="S164" i="1"/>
  <c r="T164" i="1" s="1"/>
  <c r="Z164" i="1" s="1"/>
  <c r="AE164" i="1" s="1"/>
  <c r="S331" i="1"/>
  <c r="T331" i="1" s="1"/>
  <c r="Z331" i="1" s="1"/>
  <c r="AE331" i="1" s="1"/>
  <c r="S490" i="1"/>
  <c r="T490" i="1" s="1"/>
  <c r="Z490" i="1" s="1"/>
  <c r="AE490" i="1" s="1"/>
  <c r="S523" i="1"/>
  <c r="T523" i="1" s="1"/>
  <c r="Z523" i="1" s="1"/>
  <c r="AE523" i="1" s="1"/>
  <c r="S744" i="1"/>
  <c r="T744" i="1" s="1"/>
  <c r="Z744" i="1" s="1"/>
  <c r="AE744" i="1" s="1"/>
  <c r="S659" i="1"/>
  <c r="T659" i="1" s="1"/>
  <c r="Z659" i="1" s="1"/>
  <c r="AE659" i="1" s="1"/>
  <c r="S891" i="1"/>
  <c r="T891" i="1" s="1"/>
  <c r="Z891" i="1" s="1"/>
  <c r="AE891" i="1" s="1"/>
  <c r="S380" i="1"/>
  <c r="T380" i="1" s="1"/>
  <c r="Z380" i="1" s="1"/>
  <c r="AE380" i="1" s="1"/>
  <c r="S750" i="1"/>
  <c r="T750" i="1" s="1"/>
  <c r="Z750" i="1" s="1"/>
  <c r="AE750" i="1" s="1"/>
  <c r="S771" i="1"/>
  <c r="T771" i="1" s="1"/>
  <c r="Z771" i="1" s="1"/>
  <c r="AE771" i="1" s="1"/>
  <c r="S779" i="1"/>
  <c r="T779" i="1" s="1"/>
  <c r="Z779" i="1" s="1"/>
  <c r="AE779" i="1" s="1"/>
  <c r="S807" i="1"/>
  <c r="T807" i="1" s="1"/>
  <c r="Z807" i="1" s="1"/>
  <c r="AE807" i="1" s="1"/>
  <c r="S409" i="1"/>
  <c r="T409" i="1" s="1"/>
  <c r="Z409" i="1" s="1"/>
  <c r="AE409" i="1" s="1"/>
  <c r="S310" i="1"/>
  <c r="T310" i="1" s="1"/>
  <c r="Z310" i="1" s="1"/>
  <c r="AE310" i="1" s="1"/>
  <c r="S796" i="1"/>
  <c r="T796" i="1" s="1"/>
  <c r="Z796" i="1" s="1"/>
  <c r="AE796" i="1" s="1"/>
  <c r="S382" i="1"/>
  <c r="T382" i="1" s="1"/>
  <c r="Z382" i="1" s="1"/>
  <c r="AE382" i="1" s="1"/>
  <c r="S869" i="1"/>
  <c r="T869" i="1" s="1"/>
  <c r="Z869" i="1" s="1"/>
  <c r="AE869" i="1" s="1"/>
  <c r="S677" i="1"/>
  <c r="T677" i="1" s="1"/>
  <c r="Z677" i="1" s="1"/>
  <c r="AE677" i="1" s="1"/>
  <c r="S774" i="1"/>
  <c r="T774" i="1" s="1"/>
  <c r="S410" i="1"/>
  <c r="T410" i="1" s="1"/>
  <c r="Z410" i="1" s="1"/>
  <c r="AE410" i="1" s="1"/>
  <c r="S705" i="1"/>
  <c r="T705" i="1" s="1"/>
  <c r="Z705" i="1" s="1"/>
  <c r="AE705" i="1" s="1"/>
  <c r="S459" i="1"/>
  <c r="T459" i="1" s="1"/>
  <c r="Z459" i="1" s="1"/>
  <c r="AE459" i="1" s="1"/>
  <c r="S15" i="1"/>
  <c r="T15" i="1" s="1"/>
  <c r="Z15" i="1" s="1"/>
  <c r="AE15" i="1" s="1"/>
  <c r="S700" i="1"/>
  <c r="T700" i="1" s="1"/>
  <c r="Z700" i="1" s="1"/>
  <c r="AE700" i="1" s="1"/>
  <c r="S456" i="1"/>
  <c r="T456" i="1" s="1"/>
  <c r="Z456" i="1" s="1"/>
  <c r="AE456" i="1" s="1"/>
  <c r="S360" i="1"/>
  <c r="T360" i="1" s="1"/>
  <c r="Z360" i="1" s="1"/>
  <c r="AE360" i="1" s="1"/>
  <c r="S213" i="1"/>
  <c r="T213" i="1" s="1"/>
  <c r="Z213" i="1" s="1"/>
  <c r="AE213" i="1" s="1"/>
  <c r="S317" i="1"/>
  <c r="T317" i="1" s="1"/>
  <c r="Z317" i="1" s="1"/>
  <c r="AE317" i="1" s="1"/>
  <c r="S598" i="1"/>
  <c r="T598" i="1" s="1"/>
  <c r="Z598" i="1" s="1"/>
  <c r="AE598" i="1" s="1"/>
  <c r="S173" i="1"/>
  <c r="T173" i="1" s="1"/>
  <c r="Z173" i="1" s="1"/>
  <c r="AE173" i="1" s="1"/>
  <c r="S762" i="1"/>
  <c r="T762" i="1" s="1"/>
  <c r="Z762" i="1" s="1"/>
  <c r="AE762" i="1" s="1"/>
  <c r="S53" i="1"/>
  <c r="T53" i="1" s="1"/>
  <c r="Z53" i="1" s="1"/>
  <c r="AE53" i="1" s="1"/>
  <c r="S281" i="1"/>
  <c r="T281" i="1" s="1"/>
  <c r="Z281" i="1" s="1"/>
  <c r="AE281" i="1" s="1"/>
  <c r="S312" i="1"/>
  <c r="T312" i="1" s="1"/>
  <c r="Z312" i="1" s="1"/>
  <c r="AE312" i="1" s="1"/>
  <c r="S361" i="1"/>
  <c r="T361" i="1" s="1"/>
  <c r="Z361" i="1" s="1"/>
  <c r="AE361" i="1" s="1"/>
  <c r="S174" i="1"/>
  <c r="T174" i="1" s="1"/>
  <c r="S104" i="1"/>
  <c r="T104" i="1" s="1"/>
  <c r="Z104" i="1" s="1"/>
  <c r="AE104" i="1" s="1"/>
  <c r="S132" i="1"/>
  <c r="T132" i="1" s="1"/>
  <c r="Z132" i="1" s="1"/>
  <c r="AE132" i="1" s="1"/>
  <c r="S680" i="1"/>
  <c r="T680" i="1" s="1"/>
  <c r="Z680" i="1" s="1"/>
  <c r="AE680" i="1" s="1"/>
  <c r="S899" i="1"/>
  <c r="T899" i="1" s="1"/>
  <c r="Z899" i="1" s="1"/>
  <c r="AE899" i="1" s="1"/>
  <c r="S73" i="1"/>
  <c r="T73" i="1" s="1"/>
  <c r="Z73" i="1" s="1"/>
  <c r="AE73" i="1" s="1"/>
  <c r="S198" i="1"/>
  <c r="T198" i="1" s="1"/>
  <c r="Z198" i="1" s="1"/>
  <c r="AE198" i="1" s="1"/>
  <c r="S720" i="1"/>
  <c r="T720" i="1" s="1"/>
  <c r="Z720" i="1" s="1"/>
  <c r="AE720" i="1" s="1"/>
  <c r="S716" i="1"/>
  <c r="T716" i="1" s="1"/>
  <c r="Z716" i="1" s="1"/>
  <c r="AE716" i="1" s="1"/>
  <c r="S318" i="1"/>
  <c r="T318" i="1" s="1"/>
  <c r="Z318" i="1" s="1"/>
  <c r="AE318" i="1" s="1"/>
  <c r="S906" i="1"/>
  <c r="T906" i="1" s="1"/>
  <c r="Z906" i="1" s="1"/>
  <c r="AE906" i="1" s="1"/>
  <c r="S168" i="1"/>
  <c r="T168" i="1" s="1"/>
  <c r="S703" i="1"/>
  <c r="T703" i="1" s="1"/>
  <c r="Z703" i="1" s="1"/>
  <c r="AE703" i="1" s="1"/>
  <c r="S296" i="1"/>
  <c r="T296" i="1" s="1"/>
  <c r="Z296" i="1" s="1"/>
  <c r="AE296" i="1" s="1"/>
  <c r="S194" i="1"/>
  <c r="T194" i="1" s="1"/>
  <c r="Z194" i="1" s="1"/>
  <c r="AE194" i="1" s="1"/>
  <c r="S558" i="1"/>
  <c r="T558" i="1" s="1"/>
  <c r="Z558" i="1" s="1"/>
  <c r="AE558" i="1" s="1"/>
  <c r="S582" i="1"/>
  <c r="T582" i="1" s="1"/>
  <c r="S730" i="1"/>
  <c r="T730" i="1" s="1"/>
  <c r="Z730" i="1" s="1"/>
  <c r="AE730" i="1" s="1"/>
  <c r="S274" i="1"/>
  <c r="T274" i="1" s="1"/>
  <c r="Z274" i="1" s="1"/>
  <c r="AE274" i="1" s="1"/>
  <c r="S722" i="1"/>
  <c r="T722" i="1" s="1"/>
  <c r="Z722" i="1" s="1"/>
  <c r="AE722" i="1" s="1"/>
  <c r="S393" i="1"/>
  <c r="T393" i="1" s="1"/>
  <c r="Z393" i="1" s="1"/>
  <c r="AE393" i="1" s="1"/>
  <c r="S251" i="1"/>
  <c r="T251" i="1" s="1"/>
  <c r="Z251" i="1" s="1"/>
  <c r="AE251" i="1" s="1"/>
  <c r="S314" i="1"/>
  <c r="T314" i="1" s="1"/>
  <c r="Z314" i="1" s="1"/>
  <c r="AE314" i="1" s="1"/>
  <c r="S789" i="1"/>
  <c r="T789" i="1" s="1"/>
  <c r="Z789" i="1" s="1"/>
  <c r="AE789" i="1" s="1"/>
  <c r="S711" i="1"/>
  <c r="T711" i="1" s="1"/>
  <c r="Z711" i="1" s="1"/>
  <c r="AE711" i="1" s="1"/>
  <c r="S685" i="1"/>
  <c r="T685" i="1" s="1"/>
  <c r="Z685" i="1" s="1"/>
  <c r="AE685" i="1" s="1"/>
  <c r="S160" i="1"/>
  <c r="T160" i="1" s="1"/>
  <c r="Z160" i="1" s="1"/>
  <c r="AE160" i="1" s="1"/>
  <c r="S352" i="1"/>
  <c r="T352" i="1" s="1"/>
  <c r="Z352" i="1" s="1"/>
  <c r="AE352" i="1" s="1"/>
  <c r="S511" i="1"/>
  <c r="T511" i="1" s="1"/>
  <c r="Z511" i="1" s="1"/>
  <c r="AE511" i="1" s="1"/>
  <c r="S58" i="1"/>
  <c r="T58" i="1" s="1"/>
  <c r="S742" i="1"/>
  <c r="T742" i="1" s="1"/>
  <c r="Z742" i="1" s="1"/>
  <c r="AE742" i="1" s="1"/>
  <c r="S790" i="1"/>
  <c r="T790" i="1" s="1"/>
  <c r="Z790" i="1" s="1"/>
  <c r="AE790" i="1" s="1"/>
  <c r="S683" i="1"/>
  <c r="T683" i="1" s="1"/>
  <c r="Z683" i="1" s="1"/>
  <c r="AE683" i="1" s="1"/>
  <c r="S333" i="1"/>
  <c r="T333" i="1" s="1"/>
  <c r="Z333" i="1" s="1"/>
  <c r="AE333" i="1" s="1"/>
  <c r="S589" i="1"/>
  <c r="T589" i="1" s="1"/>
  <c r="Z589" i="1" s="1"/>
  <c r="AE589" i="1" s="1"/>
  <c r="S353" i="1"/>
  <c r="T353" i="1" s="1"/>
  <c r="Z353" i="1" s="1"/>
  <c r="AE353" i="1" s="1"/>
  <c r="S425" i="1"/>
  <c r="T425" i="1" s="1"/>
  <c r="Z425" i="1" s="1"/>
  <c r="AE425" i="1" s="1"/>
  <c r="S689" i="1"/>
  <c r="T689" i="1" s="1"/>
  <c r="Z689" i="1" s="1"/>
  <c r="AE689" i="1" s="1"/>
  <c r="S777" i="1"/>
  <c r="T777" i="1" s="1"/>
  <c r="Z777" i="1" s="1"/>
  <c r="AE777" i="1" s="1"/>
  <c r="S552" i="1"/>
  <c r="T552" i="1" s="1"/>
  <c r="Z552" i="1" s="1"/>
  <c r="AE552" i="1" s="1"/>
  <c r="S728" i="1"/>
  <c r="T728" i="1" s="1"/>
  <c r="Z728" i="1" s="1"/>
  <c r="AE728" i="1" s="1"/>
  <c r="S227" i="1"/>
  <c r="T227" i="1" s="1"/>
  <c r="Z227" i="1" s="1"/>
  <c r="AE227" i="1" s="1"/>
  <c r="S228" i="1"/>
  <c r="T228" i="1" s="1"/>
  <c r="Z228" i="1" s="1"/>
  <c r="AE228" i="1" s="1"/>
  <c r="S699" i="1"/>
  <c r="T699" i="1" s="1"/>
  <c r="Z699" i="1" s="1"/>
  <c r="AE699" i="1" s="1"/>
  <c r="S398" i="1"/>
  <c r="T398" i="1" s="1"/>
  <c r="Z398" i="1" s="1"/>
  <c r="AE398" i="1" s="1"/>
  <c r="S758" i="1"/>
  <c r="T758" i="1" s="1"/>
  <c r="Z758" i="1" s="1"/>
  <c r="AE758" i="1" s="1"/>
  <c r="S239" i="1"/>
  <c r="T239" i="1" s="1"/>
  <c r="Z239" i="1" s="1"/>
  <c r="AE239" i="1" s="1"/>
  <c r="S712" i="1"/>
  <c r="T712" i="1" s="1"/>
  <c r="Z712" i="1" s="1"/>
  <c r="AE712" i="1" s="1"/>
  <c r="S767" i="1"/>
  <c r="T767" i="1" s="1"/>
  <c r="Z767" i="1" s="1"/>
  <c r="AE767" i="1" s="1"/>
  <c r="S162" i="1"/>
  <c r="T162" i="1" s="1"/>
  <c r="Z162" i="1" s="1"/>
  <c r="AE162" i="1" s="1"/>
  <c r="S760" i="1"/>
  <c r="T760" i="1" s="1"/>
  <c r="Z760" i="1" s="1"/>
  <c r="AE760" i="1" s="1"/>
  <c r="S549" i="1"/>
  <c r="T549" i="1" s="1"/>
  <c r="Z549" i="1" s="1"/>
  <c r="AE549" i="1" s="1"/>
  <c r="S765" i="1"/>
  <c r="T765" i="1" s="1"/>
  <c r="Z765" i="1" s="1"/>
  <c r="AE765" i="1" s="1"/>
  <c r="S713" i="1"/>
  <c r="T713" i="1" s="1"/>
  <c r="Z713" i="1" s="1"/>
  <c r="AE713" i="1" s="1"/>
  <c r="S341" i="1"/>
  <c r="T341" i="1" s="1"/>
  <c r="Z341" i="1" s="1"/>
  <c r="AE341" i="1" s="1"/>
  <c r="S263" i="1"/>
  <c r="T263" i="1" s="1"/>
  <c r="Z263" i="1" s="1"/>
  <c r="AE263" i="1" s="1"/>
  <c r="S117" i="1"/>
  <c r="T117" i="1" s="1"/>
  <c r="Z117" i="1" s="1"/>
  <c r="AE117" i="1" s="1"/>
  <c r="S726" i="1"/>
  <c r="T726" i="1" s="1"/>
  <c r="Z726" i="1" s="1"/>
  <c r="AE726" i="1" s="1"/>
  <c r="S418" i="1"/>
  <c r="T418" i="1" s="1"/>
  <c r="Z418" i="1" s="1"/>
  <c r="AE418" i="1" s="1"/>
  <c r="S838" i="1"/>
  <c r="T838" i="1" s="1"/>
  <c r="Z838" i="1" s="1"/>
  <c r="AE838" i="1" s="1"/>
  <c r="S702" i="1"/>
  <c r="T702" i="1" s="1"/>
  <c r="Z702" i="1" s="1"/>
  <c r="AE702" i="1" s="1"/>
  <c r="S377" i="1"/>
  <c r="T377" i="1" s="1"/>
  <c r="Z377" i="1" s="1"/>
  <c r="AE377" i="1" s="1"/>
  <c r="S138" i="1"/>
  <c r="T138" i="1" s="1"/>
  <c r="S153" i="1"/>
  <c r="T153" i="1" s="1"/>
  <c r="Z153" i="1" s="1"/>
  <c r="AE153" i="1" s="1"/>
  <c r="S478" i="1"/>
  <c r="T478" i="1" s="1"/>
  <c r="Z478" i="1" s="1"/>
  <c r="AE478" i="1" s="1"/>
  <c r="E97" i="1"/>
  <c r="E417" i="1"/>
  <c r="E463" i="1"/>
  <c r="E148" i="1"/>
  <c r="E861" i="1"/>
  <c r="E202" i="1"/>
  <c r="E269" i="1"/>
  <c r="E302" i="1"/>
  <c r="E867" i="1"/>
  <c r="E47" i="1"/>
  <c r="E544" i="1"/>
  <c r="E88" i="1"/>
  <c r="E247" i="1"/>
  <c r="E733" i="1"/>
  <c r="E89" i="1"/>
  <c r="E659" i="1"/>
  <c r="E15" i="1"/>
  <c r="E700" i="1"/>
  <c r="E456" i="1"/>
  <c r="E558" i="1"/>
  <c r="E713" i="1"/>
  <c r="D134" i="1"/>
  <c r="D13" i="1"/>
  <c r="D911" i="1"/>
  <c r="D488" i="1"/>
  <c r="D3" i="1"/>
  <c r="D4" i="1"/>
  <c r="D5" i="1"/>
  <c r="D493" i="1"/>
  <c r="D6" i="1"/>
  <c r="D494" i="1"/>
  <c r="D495" i="1"/>
  <c r="D7" i="1"/>
  <c r="D496" i="1"/>
  <c r="D497" i="1"/>
  <c r="D8" i="1"/>
  <c r="D9" i="1"/>
  <c r="D498" i="1"/>
  <c r="D10" i="1"/>
  <c r="D11" i="1"/>
  <c r="D12" i="1"/>
  <c r="D499" i="1"/>
  <c r="D14" i="1"/>
  <c r="D500" i="1"/>
  <c r="D501" i="1"/>
  <c r="D502" i="1"/>
  <c r="D503" i="1"/>
  <c r="D15" i="1"/>
  <c r="D16" i="1"/>
  <c r="D17" i="1"/>
  <c r="D504" i="1"/>
  <c r="D18" i="1"/>
  <c r="D505" i="1"/>
  <c r="D19" i="1"/>
  <c r="D506" i="1"/>
  <c r="D20" i="1"/>
  <c r="D21" i="1"/>
  <c r="D507" i="1"/>
  <c r="D22" i="1"/>
  <c r="D23" i="1"/>
  <c r="D508" i="1"/>
  <c r="D24" i="1"/>
  <c r="D25" i="1"/>
  <c r="D26" i="1"/>
  <c r="D27" i="1"/>
  <c r="D509" i="1"/>
  <c r="D28" i="1"/>
  <c r="D29" i="1"/>
  <c r="D30" i="1"/>
  <c r="D31" i="1"/>
  <c r="D32" i="1"/>
  <c r="D510" i="1"/>
  <c r="D33" i="1"/>
  <c r="D511" i="1"/>
  <c r="D34" i="1"/>
  <c r="D35" i="1"/>
  <c r="D512" i="1"/>
  <c r="D513" i="1"/>
  <c r="D514" i="1"/>
  <c r="D515" i="1"/>
  <c r="D36" i="1"/>
  <c r="D37" i="1"/>
  <c r="D38" i="1"/>
  <c r="D39" i="1"/>
  <c r="D40" i="1"/>
  <c r="D41" i="1"/>
  <c r="D42" i="1"/>
  <c r="D43" i="1"/>
  <c r="D44" i="1"/>
  <c r="D516" i="1"/>
  <c r="D517" i="1"/>
  <c r="D45" i="1"/>
  <c r="D46" i="1"/>
  <c r="D518" i="1"/>
  <c r="D519" i="1"/>
  <c r="D47" i="1"/>
  <c r="D520" i="1"/>
  <c r="D521" i="1"/>
  <c r="D522" i="1"/>
  <c r="D48" i="1"/>
  <c r="D523" i="1"/>
  <c r="D524" i="1"/>
  <c r="D525" i="1"/>
  <c r="D49" i="1"/>
  <c r="D526" i="1"/>
  <c r="D50" i="1"/>
  <c r="D51" i="1"/>
  <c r="D52" i="1"/>
  <c r="D53" i="1"/>
  <c r="D54" i="1"/>
  <c r="D55" i="1"/>
  <c r="D56" i="1"/>
  <c r="D57" i="1"/>
  <c r="D527" i="1"/>
  <c r="D529" i="1"/>
  <c r="D530" i="1"/>
  <c r="D58" i="1"/>
  <c r="D59" i="1"/>
  <c r="D531" i="1"/>
  <c r="D60" i="1"/>
  <c r="D532" i="1"/>
  <c r="D61" i="1"/>
  <c r="D533" i="1"/>
  <c r="D534" i="1"/>
  <c r="D62" i="1"/>
  <c r="D535" i="1"/>
  <c r="D536" i="1"/>
  <c r="D537" i="1"/>
  <c r="D63" i="1"/>
  <c r="D64" i="1"/>
  <c r="D65" i="1"/>
  <c r="D66" i="1"/>
  <c r="D538" i="1"/>
  <c r="D67" i="1"/>
  <c r="D539" i="1"/>
  <c r="D68" i="1"/>
  <c r="D69" i="1"/>
  <c r="D70" i="1"/>
  <c r="D71" i="1"/>
  <c r="D540" i="1"/>
  <c r="D72" i="1"/>
  <c r="D73" i="1"/>
  <c r="D74" i="1"/>
  <c r="D75" i="1"/>
  <c r="D541" i="1"/>
  <c r="D76" i="1"/>
  <c r="D77" i="1"/>
  <c r="D79" i="1"/>
  <c r="D542" i="1"/>
  <c r="D543" i="1"/>
  <c r="D544" i="1"/>
  <c r="D80" i="1"/>
  <c r="D81" i="1"/>
  <c r="D82" i="1"/>
  <c r="D545" i="1"/>
  <c r="D83" i="1"/>
  <c r="D84" i="1"/>
  <c r="D546" i="1"/>
  <c r="D547" i="1"/>
  <c r="D548" i="1"/>
  <c r="D549" i="1"/>
  <c r="D85" i="1"/>
  <c r="D550" i="1"/>
  <c r="D86" i="1"/>
  <c r="D87" i="1"/>
  <c r="D88" i="1"/>
  <c r="D90" i="1"/>
  <c r="D91" i="1"/>
  <c r="D551" i="1"/>
  <c r="D552" i="1"/>
  <c r="D92" i="1"/>
  <c r="D553" i="1"/>
  <c r="D93" i="1"/>
  <c r="D94" i="1"/>
  <c r="D95" i="1"/>
  <c r="D96" i="1"/>
  <c r="D554" i="1"/>
  <c r="D97" i="1"/>
  <c r="D555" i="1"/>
  <c r="D556" i="1"/>
  <c r="D98" i="1"/>
  <c r="D99" i="1"/>
  <c r="D557" i="1"/>
  <c r="D558" i="1"/>
  <c r="D559" i="1"/>
  <c r="D100" i="1"/>
  <c r="D560" i="1"/>
  <c r="D561" i="1"/>
  <c r="D101" i="1"/>
  <c r="D562" i="1"/>
  <c r="D563" i="1"/>
  <c r="D564" i="1"/>
  <c r="D565" i="1"/>
  <c r="D566" i="1"/>
  <c r="D568" i="1"/>
  <c r="D569" i="1"/>
  <c r="D102" i="1"/>
  <c r="D570" i="1"/>
  <c r="D103" i="1"/>
  <c r="D571" i="1"/>
  <c r="D104" i="1"/>
  <c r="D105" i="1"/>
  <c r="D106" i="1"/>
  <c r="D107" i="1"/>
  <c r="D572" i="1"/>
  <c r="D108" i="1"/>
  <c r="D573" i="1"/>
  <c r="D109" i="1"/>
  <c r="D110" i="1"/>
  <c r="D111" i="1"/>
  <c r="D574" i="1"/>
  <c r="D575" i="1"/>
  <c r="D576" i="1"/>
  <c r="D577" i="1"/>
  <c r="D112" i="1"/>
  <c r="D113" i="1"/>
  <c r="D114" i="1"/>
  <c r="D578" i="1"/>
  <c r="D579" i="1"/>
  <c r="D115" i="1"/>
  <c r="D580" i="1"/>
  <c r="D116" i="1"/>
  <c r="D117" i="1"/>
  <c r="D581" i="1"/>
  <c r="D582" i="1"/>
  <c r="D583" i="1"/>
  <c r="D118" i="1"/>
  <c r="D584" i="1"/>
  <c r="D585" i="1"/>
  <c r="D586" i="1"/>
  <c r="D119" i="1"/>
  <c r="D587" i="1"/>
  <c r="D588" i="1"/>
  <c r="D120" i="1"/>
  <c r="D121" i="1"/>
  <c r="D122" i="1"/>
  <c r="D123" i="1"/>
  <c r="D124" i="1"/>
  <c r="D125" i="1"/>
  <c r="D589" i="1"/>
  <c r="D590" i="1"/>
  <c r="D591" i="1"/>
  <c r="D126" i="1"/>
  <c r="D127" i="1"/>
  <c r="D592" i="1"/>
  <c r="D593" i="1"/>
  <c r="D594" i="1"/>
  <c r="D595" i="1"/>
  <c r="D128" i="1"/>
  <c r="D597" i="1"/>
  <c r="D129" i="1"/>
  <c r="D130" i="1"/>
  <c r="D598" i="1"/>
  <c r="D131" i="1"/>
  <c r="D132" i="1"/>
  <c r="D599" i="1"/>
  <c r="D133" i="1"/>
  <c r="D135" i="1"/>
  <c r="D136" i="1"/>
  <c r="D137" i="1"/>
  <c r="D138" i="1"/>
  <c r="D139" i="1"/>
  <c r="D140" i="1"/>
  <c r="D600" i="1"/>
  <c r="D601" i="1"/>
  <c r="D602" i="1"/>
  <c r="D141" i="1"/>
  <c r="D142" i="1"/>
  <c r="D143" i="1"/>
  <c r="D144" i="1"/>
  <c r="D145" i="1"/>
  <c r="D603" i="1"/>
  <c r="D146" i="1"/>
  <c r="D604" i="1"/>
  <c r="D605" i="1"/>
  <c r="D147" i="1"/>
  <c r="D606" i="1"/>
  <c r="D607" i="1"/>
  <c r="D148" i="1"/>
  <c r="D608" i="1"/>
  <c r="D149" i="1"/>
  <c r="D150" i="1"/>
  <c r="D609" i="1"/>
  <c r="D610" i="1"/>
  <c r="D611" i="1"/>
  <c r="D612" i="1"/>
  <c r="D151" i="1"/>
  <c r="D152" i="1"/>
  <c r="D613" i="1"/>
  <c r="D614" i="1"/>
  <c r="D615" i="1"/>
  <c r="D616" i="1"/>
  <c r="D153" i="1"/>
  <c r="D154" i="1"/>
  <c r="D155" i="1"/>
  <c r="D617" i="1"/>
  <c r="D157" i="1"/>
  <c r="D158" i="1"/>
  <c r="D159" i="1"/>
  <c r="D618" i="1"/>
  <c r="D619" i="1"/>
  <c r="D160" i="1"/>
  <c r="D161" i="1"/>
  <c r="D620" i="1"/>
  <c r="D162" i="1"/>
  <c r="D621" i="1"/>
  <c r="D163" i="1"/>
  <c r="D622" i="1"/>
  <c r="D164" i="1"/>
  <c r="D165" i="1"/>
  <c r="D166" i="1"/>
  <c r="D623" i="1"/>
  <c r="D624" i="1"/>
  <c r="D167" i="1"/>
  <c r="D625" i="1"/>
  <c r="D168" i="1"/>
  <c r="D626" i="1"/>
  <c r="D627" i="1"/>
  <c r="D628" i="1"/>
  <c r="D169" i="1"/>
  <c r="D629" i="1"/>
  <c r="D170" i="1"/>
  <c r="D171" i="1"/>
  <c r="D630" i="1"/>
  <c r="D631" i="1"/>
  <c r="D172" i="1"/>
  <c r="D173" i="1"/>
  <c r="D174" i="1"/>
  <c r="D632" i="1"/>
  <c r="D633" i="1"/>
  <c r="D634" i="1"/>
  <c r="D175" i="1"/>
  <c r="D176" i="1"/>
  <c r="D177" i="1"/>
  <c r="D178" i="1"/>
  <c r="D635" i="1"/>
  <c r="D636" i="1"/>
  <c r="D179" i="1"/>
  <c r="D180" i="1"/>
  <c r="D638" i="1"/>
  <c r="D181" i="1"/>
  <c r="D182" i="1"/>
  <c r="D183" i="1"/>
  <c r="D184" i="1"/>
  <c r="D185" i="1"/>
  <c r="D186" i="1"/>
  <c r="D639" i="1"/>
  <c r="D640" i="1"/>
  <c r="D641" i="1"/>
  <c r="D187" i="1"/>
  <c r="D642" i="1"/>
  <c r="D643" i="1"/>
  <c r="D188" i="1"/>
  <c r="D189" i="1"/>
  <c r="D644" i="1"/>
  <c r="D645" i="1"/>
  <c r="D191" i="1"/>
  <c r="D646" i="1"/>
  <c r="D192" i="1"/>
  <c r="D193" i="1"/>
  <c r="D194" i="1"/>
  <c r="D648" i="1"/>
  <c r="D195" i="1"/>
  <c r="D649" i="1"/>
  <c r="D650" i="1"/>
  <c r="D651" i="1"/>
  <c r="D196" i="1"/>
  <c r="D197" i="1"/>
  <c r="D652" i="1"/>
  <c r="D198" i="1"/>
  <c r="D199" i="1"/>
  <c r="D653" i="1"/>
  <c r="D200" i="1"/>
  <c r="D654" i="1"/>
  <c r="D655" i="1"/>
  <c r="D656" i="1"/>
  <c r="D201" i="1"/>
  <c r="D202" i="1"/>
  <c r="D657" i="1"/>
  <c r="D658" i="1"/>
  <c r="D659" i="1"/>
  <c r="D203" i="1"/>
  <c r="D204" i="1"/>
  <c r="D660" i="1"/>
  <c r="D205" i="1"/>
  <c r="D661" i="1"/>
  <c r="D662" i="1"/>
  <c r="D206" i="1"/>
  <c r="D663" i="1"/>
  <c r="D207" i="1"/>
  <c r="D664" i="1"/>
  <c r="D665" i="1"/>
  <c r="D208" i="1"/>
  <c r="D209" i="1"/>
  <c r="D666" i="1"/>
  <c r="D667" i="1"/>
  <c r="D669" i="1"/>
  <c r="D210" i="1"/>
  <c r="D211" i="1"/>
  <c r="D670" i="1"/>
  <c r="D671" i="1"/>
  <c r="D212" i="1"/>
  <c r="D213" i="1"/>
  <c r="D672" i="1"/>
  <c r="D673" i="1"/>
  <c r="D674" i="1"/>
  <c r="D214" i="1"/>
  <c r="D675" i="1"/>
  <c r="D676" i="1"/>
  <c r="D677" i="1"/>
  <c r="D215" i="1"/>
  <c r="D216" i="1"/>
  <c r="D217" i="1"/>
  <c r="D678" i="1"/>
  <c r="D218" i="1"/>
  <c r="D219" i="1"/>
  <c r="D220" i="1"/>
  <c r="D221" i="1"/>
  <c r="D679" i="1"/>
  <c r="D680" i="1"/>
  <c r="D222" i="1"/>
  <c r="D681" i="1"/>
  <c r="D682" i="1"/>
  <c r="D683" i="1"/>
  <c r="D223" i="1"/>
  <c r="D224" i="1"/>
  <c r="D225" i="1"/>
  <c r="D226" i="1"/>
  <c r="D684" i="1"/>
  <c r="D227" i="1"/>
  <c r="D685" i="1"/>
  <c r="D686" i="1"/>
  <c r="D228" i="1"/>
  <c r="D687" i="1"/>
  <c r="D229" i="1"/>
  <c r="D688" i="1"/>
  <c r="D230" i="1"/>
  <c r="D231" i="1"/>
  <c r="D689" i="1"/>
  <c r="D690" i="1"/>
  <c r="D232" i="1"/>
  <c r="D691" i="1"/>
  <c r="D692" i="1"/>
  <c r="D693" i="1"/>
  <c r="D694" i="1"/>
  <c r="D233" i="1"/>
  <c r="D235" i="1"/>
  <c r="D236" i="1"/>
  <c r="D237" i="1"/>
  <c r="D695" i="1"/>
  <c r="D696" i="1"/>
  <c r="D697" i="1"/>
  <c r="D238" i="1"/>
  <c r="D239" i="1"/>
  <c r="D240" i="1"/>
  <c r="D241" i="1"/>
  <c r="D698" i="1"/>
  <c r="D699" i="1"/>
  <c r="D242" i="1"/>
  <c r="D243" i="1"/>
  <c r="D700" i="1"/>
  <c r="D701" i="1"/>
  <c r="D244" i="1"/>
  <c r="D245" i="1"/>
  <c r="D702" i="1"/>
  <c r="D246" i="1"/>
  <c r="D703" i="1"/>
  <c r="D247" i="1"/>
  <c r="D704" i="1"/>
  <c r="D705" i="1"/>
  <c r="D248" i="1"/>
  <c r="D249" i="1"/>
  <c r="D706" i="1"/>
  <c r="D250" i="1"/>
  <c r="D251" i="1"/>
  <c r="D707" i="1"/>
  <c r="D708" i="1"/>
  <c r="D252" i="1"/>
  <c r="D253" i="1"/>
  <c r="D254" i="1"/>
  <c r="D255" i="1"/>
  <c r="D256" i="1"/>
  <c r="D709" i="1"/>
  <c r="D710" i="1"/>
  <c r="D257" i="1"/>
  <c r="D711" i="1"/>
  <c r="D712" i="1"/>
  <c r="D258" i="1"/>
  <c r="D259" i="1"/>
  <c r="D260" i="1"/>
  <c r="D713" i="1"/>
  <c r="D261" i="1"/>
  <c r="D262" i="1"/>
  <c r="D263" i="1"/>
  <c r="D264" i="1"/>
  <c r="D265" i="1"/>
  <c r="D266" i="1"/>
  <c r="D714" i="1"/>
  <c r="D267" i="1"/>
  <c r="D715" i="1"/>
  <c r="D268" i="1"/>
  <c r="D269" i="1"/>
  <c r="D716" i="1"/>
  <c r="D717" i="1"/>
  <c r="D270" i="1"/>
  <c r="D271" i="1"/>
  <c r="D272" i="1"/>
  <c r="D718" i="1"/>
  <c r="D719" i="1"/>
  <c r="D720" i="1"/>
  <c r="D273" i="1"/>
  <c r="D274" i="1"/>
  <c r="D275" i="1"/>
  <c r="D721" i="1"/>
  <c r="D722" i="1"/>
  <c r="D723" i="1"/>
  <c r="D276" i="1"/>
  <c r="D277" i="1"/>
  <c r="D724" i="1"/>
  <c r="D278" i="1"/>
  <c r="D725" i="1"/>
  <c r="D279" i="1"/>
  <c r="D280" i="1"/>
  <c r="D281" i="1"/>
  <c r="D282" i="1"/>
  <c r="D283" i="1"/>
  <c r="D726" i="1"/>
  <c r="D284" i="1"/>
  <c r="D285" i="1"/>
  <c r="D727" i="1"/>
  <c r="D286" i="1"/>
  <c r="D728" i="1"/>
  <c r="D287" i="1"/>
  <c r="D288" i="1"/>
  <c r="D729" i="1"/>
  <c r="D730" i="1"/>
  <c r="D289" i="1"/>
  <c r="D731" i="1"/>
  <c r="D290" i="1"/>
  <c r="D732" i="1"/>
  <c r="D733" i="1"/>
  <c r="D734" i="1"/>
  <c r="D291" i="1"/>
  <c r="D735" i="1"/>
  <c r="D736" i="1"/>
  <c r="D292" i="1"/>
  <c r="D293" i="1"/>
  <c r="D294" i="1"/>
  <c r="D737" i="1"/>
  <c r="D738" i="1"/>
  <c r="D295" i="1"/>
  <c r="D296" i="1"/>
  <c r="D739" i="1"/>
  <c r="D297" i="1"/>
  <c r="D740" i="1"/>
  <c r="D298" i="1"/>
  <c r="D741" i="1"/>
  <c r="D299" i="1"/>
  <c r="D742" i="1"/>
  <c r="D300" i="1"/>
  <c r="D301" i="1"/>
  <c r="D743" i="1"/>
  <c r="D302" i="1"/>
  <c r="D744" i="1"/>
  <c r="D303" i="1"/>
  <c r="D304" i="1"/>
  <c r="D745" i="1"/>
  <c r="D305" i="1"/>
  <c r="D746" i="1"/>
  <c r="D306" i="1"/>
  <c r="D307" i="1"/>
  <c r="D747" i="1"/>
  <c r="D308" i="1"/>
  <c r="D309" i="1"/>
  <c r="D748" i="1"/>
  <c r="D749" i="1"/>
  <c r="D310" i="1"/>
  <c r="D750" i="1"/>
  <c r="D311" i="1"/>
  <c r="D312" i="1"/>
  <c r="D751" i="1"/>
  <c r="D752" i="1"/>
  <c r="D313" i="1"/>
  <c r="D753" i="1"/>
  <c r="D314" i="1"/>
  <c r="D315" i="1"/>
  <c r="D316" i="1"/>
  <c r="D754" i="1"/>
  <c r="D317" i="1"/>
  <c r="D318" i="1"/>
  <c r="D319" i="1"/>
  <c r="D755" i="1"/>
  <c r="D756" i="1"/>
  <c r="D758" i="1"/>
  <c r="D320" i="1"/>
  <c r="D759" i="1"/>
  <c r="D321" i="1"/>
  <c r="D760" i="1"/>
  <c r="D322" i="1"/>
  <c r="D761" i="1"/>
  <c r="D323" i="1"/>
  <c r="D324" i="1"/>
  <c r="D762" i="1"/>
  <c r="D763" i="1"/>
  <c r="D325" i="1"/>
  <c r="D326" i="1"/>
  <c r="D327" i="1"/>
  <c r="D764" i="1"/>
  <c r="D765" i="1"/>
  <c r="D766" i="1"/>
  <c r="D767" i="1"/>
  <c r="D328" i="1"/>
  <c r="D329" i="1"/>
  <c r="D330" i="1"/>
  <c r="D331" i="1"/>
  <c r="D768" i="1"/>
  <c r="D332" i="1"/>
  <c r="D769" i="1"/>
  <c r="D333" i="1"/>
  <c r="D770" i="1"/>
  <c r="D334" i="1"/>
  <c r="D335" i="1"/>
  <c r="D771" i="1"/>
  <c r="D336" i="1"/>
  <c r="D337" i="1"/>
  <c r="D772" i="1"/>
  <c r="D773" i="1"/>
  <c r="D774" i="1"/>
  <c r="D775" i="1"/>
  <c r="D776" i="1"/>
  <c r="D338" i="1"/>
  <c r="D777" i="1"/>
  <c r="D339" i="1"/>
  <c r="D778" i="1"/>
  <c r="D779" i="1"/>
  <c r="D340" i="1"/>
  <c r="D341" i="1"/>
  <c r="D342" i="1"/>
  <c r="D343" i="1"/>
  <c r="D344" i="1"/>
  <c r="D345" i="1"/>
  <c r="D346" i="1"/>
  <c r="D347" i="1"/>
  <c r="D348" i="1"/>
  <c r="D780" i="1"/>
  <c r="D349" i="1"/>
  <c r="D350" i="1"/>
  <c r="D351" i="1"/>
  <c r="D781" i="1"/>
  <c r="D782" i="1"/>
  <c r="D783" i="1"/>
  <c r="D784" i="1"/>
  <c r="D352" i="1"/>
  <c r="D353" i="1"/>
  <c r="D785" i="1"/>
  <c r="D786" i="1"/>
  <c r="D787" i="1"/>
  <c r="D354" i="1"/>
  <c r="D355" i="1"/>
  <c r="D356" i="1"/>
  <c r="D357" i="1"/>
  <c r="D358" i="1"/>
  <c r="D788" i="1"/>
  <c r="D789" i="1"/>
  <c r="D359" i="1"/>
  <c r="D360" i="1"/>
  <c r="D790" i="1"/>
  <c r="D361" i="1"/>
  <c r="D362" i="1"/>
  <c r="D791" i="1"/>
  <c r="D363" i="1"/>
  <c r="D792" i="1"/>
  <c r="D364" i="1"/>
  <c r="D793" i="1"/>
  <c r="D794" i="1"/>
  <c r="D795" i="1"/>
  <c r="D796" i="1"/>
  <c r="D797" i="1"/>
  <c r="D365" i="1"/>
  <c r="D798" i="1"/>
  <c r="D799" i="1"/>
  <c r="D800" i="1"/>
  <c r="D801" i="1"/>
  <c r="D366" i="1"/>
  <c r="D367" i="1"/>
  <c r="D368" i="1"/>
  <c r="D369" i="1"/>
  <c r="D802" i="1"/>
  <c r="D370" i="1"/>
  <c r="D803" i="1"/>
  <c r="D371" i="1"/>
  <c r="D372" i="1"/>
  <c r="D804" i="1"/>
  <c r="D373" i="1"/>
  <c r="D374" i="1"/>
  <c r="D805" i="1"/>
  <c r="D375" i="1"/>
  <c r="D806" i="1"/>
  <c r="D807" i="1"/>
  <c r="D376" i="1"/>
  <c r="D377" i="1"/>
  <c r="D808" i="1"/>
  <c r="D378" i="1"/>
  <c r="D379" i="1"/>
  <c r="D809" i="1"/>
  <c r="D810" i="1"/>
  <c r="D811" i="1"/>
  <c r="D812" i="1"/>
  <c r="D380" i="1"/>
  <c r="D813" i="1"/>
  <c r="D814" i="1"/>
  <c r="D381" i="1"/>
  <c r="D382" i="1"/>
  <c r="D383" i="1"/>
  <c r="D815" i="1"/>
  <c r="D816" i="1"/>
  <c r="D817" i="1"/>
  <c r="D384" i="1"/>
  <c r="D818" i="1"/>
  <c r="D819" i="1"/>
  <c r="D385" i="1"/>
  <c r="D386" i="1"/>
  <c r="D387" i="1"/>
  <c r="D388" i="1"/>
  <c r="D820" i="1"/>
  <c r="D389" i="1"/>
  <c r="D390" i="1"/>
  <c r="D391" i="1"/>
  <c r="D392" i="1"/>
  <c r="D821" i="1"/>
  <c r="D822" i="1"/>
  <c r="D823" i="1"/>
  <c r="D393" i="1"/>
  <c r="D824" i="1"/>
  <c r="D394" i="1"/>
  <c r="D825" i="1"/>
  <c r="D826" i="1"/>
  <c r="D827" i="1"/>
  <c r="D828" i="1"/>
  <c r="D829" i="1"/>
  <c r="D395" i="1"/>
  <c r="D830" i="1"/>
  <c r="D396" i="1"/>
  <c r="D831" i="1"/>
  <c r="D397" i="1"/>
  <c r="D832" i="1"/>
  <c r="D398" i="1"/>
  <c r="D833" i="1"/>
  <c r="D399" i="1"/>
  <c r="D400" i="1"/>
  <c r="D401" i="1"/>
  <c r="D834" i="1"/>
  <c r="D835" i="1"/>
  <c r="D402" i="1"/>
  <c r="D403" i="1"/>
  <c r="D404" i="1"/>
  <c r="D405" i="1"/>
  <c r="D406" i="1"/>
  <c r="D407" i="1"/>
  <c r="D408" i="1"/>
  <c r="D836" i="1"/>
  <c r="D409" i="1"/>
  <c r="D410" i="1"/>
  <c r="D837" i="1"/>
  <c r="D411" i="1"/>
  <c r="D838" i="1"/>
  <c r="D839" i="1"/>
  <c r="D412" i="1"/>
  <c r="D840" i="1"/>
  <c r="D413" i="1"/>
  <c r="D414" i="1"/>
  <c r="D415" i="1"/>
  <c r="D841" i="1"/>
  <c r="D842" i="1"/>
  <c r="D416" i="1"/>
  <c r="D417" i="1"/>
  <c r="D843" i="1"/>
  <c r="D844" i="1"/>
  <c r="D418" i="1"/>
  <c r="D845" i="1"/>
  <c r="D419" i="1"/>
  <c r="D420" i="1"/>
  <c r="D421" i="1"/>
  <c r="D846" i="1"/>
  <c r="D422" i="1"/>
  <c r="D847" i="1"/>
  <c r="D848" i="1"/>
  <c r="D849" i="1"/>
  <c r="D423" i="1"/>
  <c r="D424" i="1"/>
  <c r="D850" i="1"/>
  <c r="D425" i="1"/>
  <c r="D426" i="1"/>
  <c r="D427" i="1"/>
  <c r="D851" i="1"/>
  <c r="D852" i="1"/>
  <c r="D853" i="1"/>
  <c r="D428" i="1"/>
  <c r="D854" i="1"/>
  <c r="D429" i="1"/>
  <c r="D430" i="1"/>
  <c r="D431" i="1"/>
  <c r="D432" i="1"/>
  <c r="D433" i="1"/>
  <c r="D855" i="1"/>
  <c r="D434" i="1"/>
  <c r="D856" i="1"/>
  <c r="D435" i="1"/>
  <c r="D857" i="1"/>
  <c r="D436" i="1"/>
  <c r="D437" i="1"/>
  <c r="D858" i="1"/>
  <c r="D438" i="1"/>
  <c r="D439" i="1"/>
  <c r="D859" i="1"/>
  <c r="D440" i="1"/>
  <c r="D860" i="1"/>
  <c r="D441" i="1"/>
  <c r="D442" i="1"/>
  <c r="D443" i="1"/>
  <c r="D861" i="1"/>
  <c r="D444" i="1"/>
  <c r="D445" i="1"/>
  <c r="D862" i="1"/>
  <c r="D863" i="1"/>
  <c r="D446" i="1"/>
  <c r="D864" i="1"/>
  <c r="D865" i="1"/>
  <c r="D447" i="1"/>
  <c r="D866" i="1"/>
  <c r="D867" i="1"/>
  <c r="D868" i="1"/>
  <c r="D448" i="1"/>
  <c r="D449" i="1"/>
  <c r="D450" i="1"/>
  <c r="D869" i="1"/>
  <c r="D870" i="1"/>
  <c r="D451" i="1"/>
  <c r="D452" i="1"/>
  <c r="D871" i="1"/>
  <c r="D453" i="1"/>
  <c r="D454" i="1"/>
  <c r="D872" i="1"/>
  <c r="D455" i="1"/>
  <c r="D456" i="1"/>
  <c r="D873" i="1"/>
  <c r="D874" i="1"/>
  <c r="D875" i="1"/>
  <c r="D876" i="1"/>
  <c r="D457" i="1"/>
  <c r="D877" i="1"/>
  <c r="D458" i="1"/>
  <c r="D878" i="1"/>
  <c r="D879" i="1"/>
  <c r="D880" i="1"/>
  <c r="D459" i="1"/>
  <c r="D460" i="1"/>
  <c r="D881" i="1"/>
  <c r="D461" i="1"/>
  <c r="D882" i="1"/>
  <c r="D883" i="1"/>
  <c r="D462" i="1"/>
  <c r="D884" i="1"/>
  <c r="D885" i="1"/>
  <c r="D463" i="1"/>
  <c r="D886" i="1"/>
  <c r="D887" i="1"/>
  <c r="D464" i="1"/>
  <c r="D465" i="1"/>
  <c r="D888" i="1"/>
  <c r="D889" i="1"/>
  <c r="D466" i="1"/>
  <c r="D467" i="1"/>
  <c r="D468" i="1"/>
  <c r="D469" i="1"/>
  <c r="D890" i="1"/>
  <c r="D891" i="1"/>
  <c r="D470" i="1"/>
  <c r="D471" i="1"/>
  <c r="D472" i="1"/>
  <c r="D473" i="1"/>
  <c r="D474" i="1"/>
  <c r="D475" i="1"/>
  <c r="D892" i="1"/>
  <c r="D893" i="1"/>
  <c r="D894" i="1"/>
  <c r="D895" i="1"/>
  <c r="D896" i="1"/>
  <c r="D897" i="1"/>
  <c r="D476" i="1"/>
  <c r="D898" i="1"/>
  <c r="D899" i="1"/>
  <c r="D900" i="1"/>
  <c r="D477" i="1"/>
  <c r="D478" i="1"/>
  <c r="D901" i="1"/>
  <c r="D902" i="1"/>
  <c r="D479" i="1"/>
  <c r="D480" i="1"/>
  <c r="D903" i="1"/>
  <c r="D481" i="1"/>
  <c r="D904" i="1"/>
  <c r="D482" i="1"/>
  <c r="D483" i="1"/>
  <c r="D905" i="1"/>
  <c r="D906" i="1"/>
  <c r="D907" i="1"/>
  <c r="D484" i="1"/>
  <c r="D908" i="1"/>
  <c r="D485" i="1"/>
  <c r="D909" i="1"/>
  <c r="D910" i="1"/>
  <c r="D486" i="1"/>
  <c r="D487" i="1"/>
  <c r="D489" i="1"/>
  <c r="D490" i="1"/>
  <c r="D491" i="1"/>
  <c r="D912" i="1"/>
  <c r="D492" i="1"/>
  <c r="D913" i="1"/>
  <c r="D190" i="1"/>
  <c r="D528" i="1"/>
  <c r="D668" i="1"/>
  <c r="D596" i="1"/>
  <c r="D637" i="1"/>
  <c r="D567" i="1"/>
  <c r="D234" i="1"/>
  <c r="D757" i="1"/>
  <c r="D89" i="1"/>
  <c r="D156" i="1"/>
  <c r="D78" i="1"/>
  <c r="D647" i="1"/>
  <c r="D2" i="1"/>
  <c r="AE873" i="1" l="1"/>
  <c r="AE753" i="1"/>
  <c r="AA602" i="1"/>
  <c r="AE602" i="1"/>
  <c r="AA708" i="1"/>
  <c r="AE708" i="1"/>
  <c r="AA191" i="1"/>
  <c r="AE191" i="1"/>
  <c r="AA557" i="1"/>
  <c r="AE557" i="1"/>
  <c r="AA301" i="1"/>
  <c r="AE301" i="1"/>
  <c r="AE642" i="1"/>
  <c r="AE506" i="1"/>
  <c r="AA19" i="1"/>
  <c r="AE19" i="1"/>
  <c r="AE822" i="1"/>
  <c r="AE578" i="1"/>
  <c r="AE516" i="1"/>
  <c r="AE444" i="1"/>
  <c r="AA804" i="1"/>
  <c r="AE804" i="1"/>
  <c r="AA828" i="1"/>
  <c r="AE828" i="1"/>
  <c r="AE96" i="1"/>
  <c r="AA395" i="1"/>
  <c r="AA593" i="1"/>
  <c r="AB593" i="1" s="1"/>
  <c r="AA564" i="1"/>
  <c r="AB564" i="1" s="1"/>
  <c r="AA810" i="1"/>
  <c r="AB810" i="1" s="1"/>
  <c r="AA316" i="1"/>
  <c r="AA240" i="1"/>
  <c r="AB240" i="1" s="1"/>
  <c r="AA835" i="1"/>
  <c r="AB835" i="1" s="1"/>
  <c r="AA681" i="1"/>
  <c r="AB681" i="1" s="1"/>
  <c r="AA885" i="1"/>
  <c r="AA599" i="1"/>
  <c r="AB599" i="1" s="1"/>
  <c r="AA581" i="1"/>
  <c r="AB581" i="1" s="1"/>
  <c r="AA66" i="1"/>
  <c r="AB66" i="1" s="1"/>
  <c r="AA131" i="1"/>
  <c r="AB131" i="1" s="1"/>
  <c r="AA908" i="1"/>
  <c r="AA419" i="1"/>
  <c r="AB419" i="1" s="1"/>
  <c r="AA364" i="1"/>
  <c r="AA571" i="1"/>
  <c r="AA825" i="1"/>
  <c r="AA590" i="1"/>
  <c r="AB590" i="1" s="1"/>
  <c r="AA705" i="1"/>
  <c r="AB705" i="1" s="1"/>
  <c r="AA702" i="1"/>
  <c r="AB702" i="1" s="1"/>
  <c r="AA765" i="1"/>
  <c r="AB765" i="1" s="1"/>
  <c r="AA398" i="1"/>
  <c r="AB398" i="1" s="1"/>
  <c r="AA425" i="1"/>
  <c r="AB425" i="1" s="1"/>
  <c r="AA511" i="1"/>
  <c r="AB511" i="1" s="1"/>
  <c r="AA393" i="1"/>
  <c r="AB393" i="1" s="1"/>
  <c r="AA703" i="1"/>
  <c r="AB703" i="1" s="1"/>
  <c r="AA899" i="1"/>
  <c r="AB899" i="1" s="1"/>
  <c r="AA53" i="1"/>
  <c r="AB53" i="1" s="1"/>
  <c r="AA700" i="1"/>
  <c r="AB700" i="1" s="1"/>
  <c r="AA382" i="1"/>
  <c r="AB382" i="1" s="1"/>
  <c r="AA380" i="1"/>
  <c r="AB380" i="1" s="1"/>
  <c r="AA520" i="1"/>
  <c r="AB520" i="1" s="1"/>
  <c r="AA88" i="1"/>
  <c r="AB88" i="1" s="1"/>
  <c r="AA148" i="1"/>
  <c r="AB148" i="1" s="1"/>
  <c r="AA454" i="1"/>
  <c r="AB454" i="1" s="1"/>
  <c r="AA848" i="1"/>
  <c r="AB848" i="1" s="1"/>
  <c r="AA386" i="1"/>
  <c r="AB386" i="1" s="1"/>
  <c r="AA356" i="1"/>
  <c r="AB356" i="1" s="1"/>
  <c r="AA743" i="1"/>
  <c r="AB743" i="1" s="1"/>
  <c r="AA265" i="1"/>
  <c r="AB265" i="1" s="1"/>
  <c r="AA664" i="1"/>
  <c r="AB664" i="1" s="1"/>
  <c r="AA601" i="1"/>
  <c r="AB601" i="1" s="1"/>
  <c r="AA107" i="1"/>
  <c r="AB107" i="1" s="1"/>
  <c r="AA546" i="1"/>
  <c r="AB546" i="1" s="1"/>
  <c r="AA32" i="1"/>
  <c r="AB32" i="1" s="1"/>
  <c r="AA78" i="1"/>
  <c r="AB78" i="1" s="1"/>
  <c r="AA892" i="1"/>
  <c r="AB892" i="1" s="1"/>
  <c r="AA437" i="1"/>
  <c r="AB437" i="1" s="1"/>
  <c r="AA374" i="1"/>
  <c r="AB374" i="1" s="1"/>
  <c r="AA718" i="1"/>
  <c r="AB718" i="1" s="1"/>
  <c r="AA230" i="1"/>
  <c r="AB230" i="1" s="1"/>
  <c r="AA635" i="1"/>
  <c r="AB635" i="1" s="1"/>
  <c r="AA116" i="1"/>
  <c r="AB116" i="1" s="1"/>
  <c r="AA77" i="1"/>
  <c r="AB77" i="1" s="1"/>
  <c r="AA8" i="1"/>
  <c r="AB8" i="1" s="1"/>
  <c r="AA475" i="1"/>
  <c r="AB475" i="1" s="1"/>
  <c r="AA429" i="1"/>
  <c r="AB429" i="1" s="1"/>
  <c r="AA402" i="1"/>
  <c r="AB402" i="1" s="1"/>
  <c r="AA335" i="1"/>
  <c r="AB335" i="1" s="1"/>
  <c r="AA739" i="1"/>
  <c r="AB739" i="1" s="1"/>
  <c r="AA211" i="1"/>
  <c r="AB211" i="1" s="1"/>
  <c r="AA646" i="1"/>
  <c r="AB646" i="1" s="1"/>
  <c r="AA606" i="1"/>
  <c r="AB606" i="1" s="1"/>
  <c r="AA90" i="1"/>
  <c r="AB90" i="1" s="1"/>
  <c r="AA503" i="1"/>
  <c r="AB503" i="1" s="1"/>
  <c r="AA455" i="1"/>
  <c r="AB455" i="1" s="1"/>
  <c r="AA829" i="1"/>
  <c r="AB829" i="1" s="1"/>
  <c r="AA788" i="1"/>
  <c r="AB788" i="1" s="1"/>
  <c r="AA288" i="1"/>
  <c r="AB288" i="1" s="1"/>
  <c r="AA838" i="1"/>
  <c r="AB838" i="1" s="1"/>
  <c r="AA549" i="1"/>
  <c r="AB549" i="1" s="1"/>
  <c r="AA699" i="1"/>
  <c r="AB699" i="1" s="1"/>
  <c r="AA353" i="1"/>
  <c r="AB353" i="1" s="1"/>
  <c r="AA352" i="1"/>
  <c r="AB352" i="1" s="1"/>
  <c r="AA722" i="1"/>
  <c r="AB722" i="1" s="1"/>
  <c r="AA680" i="1"/>
  <c r="AB680" i="1" s="1"/>
  <c r="AA762" i="1"/>
  <c r="AB762" i="1" s="1"/>
  <c r="AA15" i="1"/>
  <c r="AB15" i="1" s="1"/>
  <c r="AA796" i="1"/>
  <c r="AB796" i="1" s="1"/>
  <c r="AA891" i="1"/>
  <c r="AB891" i="1" s="1"/>
  <c r="AA167" i="1"/>
  <c r="AB167" i="1" s="1"/>
  <c r="AA544" i="1"/>
  <c r="AB544" i="1" s="1"/>
  <c r="AA463" i="1"/>
  <c r="AB463" i="1" s="1"/>
  <c r="AA868" i="1"/>
  <c r="AB868" i="1" s="1"/>
  <c r="AA843" i="1"/>
  <c r="AB843" i="1" s="1"/>
  <c r="AA385" i="1"/>
  <c r="AB385" i="1" s="1"/>
  <c r="AA339" i="1"/>
  <c r="AB339" i="1" s="1"/>
  <c r="AA294" i="1"/>
  <c r="AB294" i="1" s="1"/>
  <c r="AA254" i="1"/>
  <c r="AB254" i="1" s="1"/>
  <c r="AA196" i="1"/>
  <c r="AB196" i="1" s="1"/>
  <c r="AA139" i="1"/>
  <c r="AB139" i="1" s="1"/>
  <c r="AA105" i="1"/>
  <c r="AB105" i="1" s="1"/>
  <c r="AA83" i="1"/>
  <c r="AB83" i="1" s="1"/>
  <c r="AA31" i="1"/>
  <c r="AB31" i="1" s="1"/>
  <c r="AA491" i="1"/>
  <c r="AB491" i="1" s="1"/>
  <c r="AA882" i="1"/>
  <c r="AB882" i="1" s="1"/>
  <c r="AA842" i="1"/>
  <c r="AB842" i="1" s="1"/>
  <c r="AA800" i="1"/>
  <c r="AB800" i="1" s="1"/>
  <c r="AA260" i="1"/>
  <c r="AB260" i="1" s="1"/>
  <c r="AA226" i="1"/>
  <c r="AB226" i="1" s="1"/>
  <c r="AA577" i="1"/>
  <c r="AB577" i="1" s="1"/>
  <c r="AA55" i="1"/>
  <c r="AB55" i="1" s="1"/>
  <c r="AA5" i="1"/>
  <c r="AB5" i="1" s="1"/>
  <c r="AA889" i="1"/>
  <c r="AB889" i="1" s="1"/>
  <c r="AA427" i="1"/>
  <c r="AB427" i="1" s="1"/>
  <c r="AA332" i="1"/>
  <c r="AB332" i="1" s="1"/>
  <c r="AA732" i="1"/>
  <c r="AB732" i="1" s="1"/>
  <c r="AA666" i="1"/>
  <c r="AB666" i="1" s="1"/>
  <c r="AA189" i="1"/>
  <c r="AB189" i="1" s="1"/>
  <c r="AA586" i="1"/>
  <c r="AB586" i="1" s="1"/>
  <c r="AA543" i="1"/>
  <c r="AB543" i="1" s="1"/>
  <c r="AA502" i="1"/>
  <c r="AB502" i="1" s="1"/>
  <c r="AA452" i="1"/>
  <c r="AB452" i="1" s="1"/>
  <c r="AA387" i="1"/>
  <c r="AB387" i="1" s="1"/>
  <c r="AA347" i="1"/>
  <c r="AB347" i="1" s="1"/>
  <c r="AA287" i="1"/>
  <c r="AB287" i="1" s="1"/>
  <c r="AA238" i="1"/>
  <c r="AB238" i="1" s="1"/>
  <c r="AA629" i="1"/>
  <c r="AB629" i="1" s="1"/>
  <c r="AA125" i="1"/>
  <c r="AB125" i="1" s="1"/>
  <c r="AA80" i="1"/>
  <c r="AB80" i="1" s="1"/>
  <c r="AA41" i="1"/>
  <c r="AB41" i="1" s="1"/>
  <c r="AA912" i="1"/>
  <c r="AB912" i="1" s="1"/>
  <c r="AA443" i="1"/>
  <c r="AB443" i="1" s="1"/>
  <c r="AA415" i="1"/>
  <c r="AB415" i="1" s="1"/>
  <c r="AA367" i="1"/>
  <c r="AB367" i="1" s="1"/>
  <c r="AA289" i="1"/>
  <c r="AB289" i="1" s="1"/>
  <c r="AA688" i="1"/>
  <c r="AB688" i="1" s="1"/>
  <c r="AA186" i="1"/>
  <c r="AB186" i="1" s="1"/>
  <c r="AA609" i="1"/>
  <c r="AB609" i="1" s="1"/>
  <c r="AA540" i="1"/>
  <c r="AB540" i="1" s="1"/>
  <c r="AA20" i="1"/>
  <c r="AB20" i="1" s="1"/>
  <c r="AA887" i="1"/>
  <c r="AB887" i="1" s="1"/>
  <c r="AA827" i="1"/>
  <c r="AB827" i="1" s="1"/>
  <c r="AA354" i="1"/>
  <c r="AB354" i="1" s="1"/>
  <c r="AA715" i="1"/>
  <c r="AB715" i="1" s="1"/>
  <c r="AA214" i="1"/>
  <c r="AB214" i="1" s="1"/>
  <c r="AA149" i="1"/>
  <c r="AB149" i="1" s="1"/>
  <c r="AA100" i="1"/>
  <c r="AB100" i="1" s="1"/>
  <c r="AA524" i="1"/>
  <c r="AB524" i="1" s="1"/>
  <c r="AA27" i="1"/>
  <c r="AB27" i="1" s="1"/>
  <c r="AA911" i="1"/>
  <c r="AB911" i="1" s="1"/>
  <c r="AA399" i="1"/>
  <c r="AB399" i="1" s="1"/>
  <c r="AA327" i="1"/>
  <c r="AB327" i="1" s="1"/>
  <c r="AA303" i="1"/>
  <c r="AB303" i="1" s="1"/>
  <c r="AA675" i="1"/>
  <c r="AB675" i="1" s="1"/>
  <c r="AA643" i="1"/>
  <c r="AB643" i="1" s="1"/>
  <c r="AA155" i="1"/>
  <c r="AB155" i="1" s="1"/>
  <c r="AA124" i="1"/>
  <c r="AB124" i="1" s="1"/>
  <c r="AA87" i="1"/>
  <c r="AB87" i="1" s="1"/>
  <c r="AA525" i="1"/>
  <c r="AB525" i="1" s="1"/>
  <c r="AA504" i="1"/>
  <c r="AB504" i="1" s="1"/>
  <c r="AA907" i="1"/>
  <c r="AB907" i="1" s="1"/>
  <c r="AA862" i="1"/>
  <c r="AB862" i="1" s="1"/>
  <c r="AA378" i="1"/>
  <c r="AB378" i="1" s="1"/>
  <c r="AA752" i="1"/>
  <c r="AB752" i="1" s="1"/>
  <c r="AA267" i="1"/>
  <c r="AB267" i="1" s="1"/>
  <c r="AA674" i="1"/>
  <c r="AB674" i="1" s="1"/>
  <c r="AA157" i="1"/>
  <c r="AB157" i="1" s="1"/>
  <c r="AA113" i="1"/>
  <c r="AB113" i="1" s="1"/>
  <c r="AA33" i="1"/>
  <c r="AB33" i="1" s="1"/>
  <c r="AA470" i="1"/>
  <c r="AB470" i="1" s="1"/>
  <c r="AA406" i="1"/>
  <c r="AB406" i="1" s="1"/>
  <c r="AA792" i="1"/>
  <c r="AB792" i="1" s="1"/>
  <c r="AA300" i="1"/>
  <c r="AB300" i="1" s="1"/>
  <c r="AA229" i="1"/>
  <c r="AB229" i="1" s="1"/>
  <c r="AA171" i="1"/>
  <c r="AB171" i="1" s="1"/>
  <c r="AA569" i="1"/>
  <c r="AB569" i="1" s="1"/>
  <c r="AA48" i="1"/>
  <c r="AB48" i="1" s="1"/>
  <c r="AA763" i="1"/>
  <c r="AB763" i="1" s="1"/>
  <c r="AA424" i="1"/>
  <c r="AB424" i="1" s="1"/>
  <c r="AA292" i="1"/>
  <c r="AB292" i="1" s="1"/>
  <c r="AA697" i="1"/>
  <c r="AB697" i="1" s="1"/>
  <c r="AA295" i="1"/>
  <c r="AB295" i="1" s="1"/>
  <c r="AA266" i="1"/>
  <c r="AB266" i="1" s="1"/>
  <c r="AA673" i="1"/>
  <c r="AB673" i="1" s="1"/>
  <c r="AA340" i="1"/>
  <c r="AB340" i="1" s="1"/>
  <c r="AA799" i="1"/>
  <c r="AB799" i="1" s="1"/>
  <c r="AA297" i="1"/>
  <c r="AB297" i="1" s="1"/>
  <c r="AA308" i="1"/>
  <c r="AB308" i="1" s="1"/>
  <c r="AA418" i="1"/>
  <c r="AB418" i="1" s="1"/>
  <c r="AA760" i="1"/>
  <c r="AB760" i="1" s="1"/>
  <c r="AA228" i="1"/>
  <c r="AB228" i="1" s="1"/>
  <c r="AA589" i="1"/>
  <c r="AB589" i="1" s="1"/>
  <c r="AA160" i="1"/>
  <c r="AB160" i="1" s="1"/>
  <c r="AA274" i="1"/>
  <c r="AB274" i="1" s="1"/>
  <c r="AA906" i="1"/>
  <c r="AB906" i="1" s="1"/>
  <c r="AA132" i="1"/>
  <c r="AB132" i="1" s="1"/>
  <c r="AA173" i="1"/>
  <c r="AB173" i="1" s="1"/>
  <c r="AA459" i="1"/>
  <c r="AB459" i="1" s="1"/>
  <c r="AA310" i="1"/>
  <c r="AB310" i="1" s="1"/>
  <c r="AA659" i="1"/>
  <c r="AB659" i="1" s="1"/>
  <c r="AA61" i="1"/>
  <c r="AB61" i="1" s="1"/>
  <c r="AA47" i="1"/>
  <c r="AB47" i="1" s="1"/>
  <c r="AA417" i="1"/>
  <c r="AB417" i="1" s="1"/>
  <c r="AA863" i="1"/>
  <c r="AB863" i="1" s="1"/>
  <c r="AA414" i="1"/>
  <c r="AB414" i="1" s="1"/>
  <c r="AA384" i="1"/>
  <c r="AB384" i="1" s="1"/>
  <c r="AA770" i="1"/>
  <c r="AB770" i="1" s="1"/>
  <c r="AA253" i="1"/>
  <c r="AB253" i="1" s="1"/>
  <c r="AA641" i="1"/>
  <c r="AB641" i="1" s="1"/>
  <c r="AA137" i="1"/>
  <c r="AB137" i="1" s="1"/>
  <c r="AA565" i="1"/>
  <c r="AB565" i="1" s="1"/>
  <c r="AA69" i="1"/>
  <c r="AB69" i="1" s="1"/>
  <c r="AA508" i="1"/>
  <c r="AB508" i="1" s="1"/>
  <c r="AA487" i="1"/>
  <c r="AB487" i="1" s="1"/>
  <c r="AA877" i="1"/>
  <c r="AB877" i="1" s="1"/>
  <c r="AA830" i="1"/>
  <c r="AB830" i="1" s="1"/>
  <c r="AA787" i="1"/>
  <c r="AB787" i="1" s="1"/>
  <c r="AA710" i="1"/>
  <c r="AB710" i="1" s="1"/>
  <c r="AA669" i="1"/>
  <c r="AB669" i="1" s="1"/>
  <c r="AA147" i="1"/>
  <c r="AB147" i="1" s="1"/>
  <c r="AA576" i="1"/>
  <c r="AB576" i="1" s="1"/>
  <c r="AA50" i="1"/>
  <c r="AB50" i="1" s="1"/>
  <c r="AA647" i="1"/>
  <c r="AB647" i="1" s="1"/>
  <c r="AA888" i="1"/>
  <c r="AB888" i="1" s="1"/>
  <c r="AA426" i="1"/>
  <c r="AB426" i="1" s="1"/>
  <c r="AA768" i="1"/>
  <c r="AB768" i="1" s="1"/>
  <c r="AA257" i="1"/>
  <c r="AB257" i="1" s="1"/>
  <c r="AA209" i="1"/>
  <c r="AB209" i="1" s="1"/>
  <c r="AA639" i="1"/>
  <c r="AB639" i="1" s="1"/>
  <c r="AA118" i="1"/>
  <c r="AB118" i="1" s="1"/>
  <c r="AA500" i="1"/>
  <c r="AB500" i="1" s="1"/>
  <c r="AA416" i="1"/>
  <c r="AB416" i="1" s="1"/>
  <c r="AA818" i="1"/>
  <c r="AB818" i="1" s="1"/>
  <c r="AA343" i="1"/>
  <c r="AB343" i="1" s="1"/>
  <c r="AA275" i="1"/>
  <c r="AB275" i="1" s="1"/>
  <c r="AA235" i="1"/>
  <c r="AB235" i="1" s="1"/>
  <c r="AA627" i="1"/>
  <c r="AB627" i="1" s="1"/>
  <c r="AA120" i="1"/>
  <c r="AB120" i="1" s="1"/>
  <c r="AA513" i="1"/>
  <c r="AB513" i="1" s="1"/>
  <c r="AA483" i="1"/>
  <c r="AB483" i="1" s="1"/>
  <c r="AA859" i="1"/>
  <c r="AB859" i="1" s="1"/>
  <c r="AA412" i="1"/>
  <c r="AB412" i="1" s="1"/>
  <c r="AA794" i="1"/>
  <c r="AB794" i="1" s="1"/>
  <c r="AA726" i="1"/>
  <c r="AB726" i="1" s="1"/>
  <c r="AA162" i="1"/>
  <c r="AB162" i="1" s="1"/>
  <c r="AA333" i="1"/>
  <c r="AB333" i="1" s="1"/>
  <c r="AA318" i="1"/>
  <c r="AB318" i="1" s="1"/>
  <c r="AA744" i="1"/>
  <c r="AB744" i="1" s="1"/>
  <c r="AA668" i="1"/>
  <c r="AB668" i="1" s="1"/>
  <c r="AA408" i="1"/>
  <c r="AB408" i="1" s="1"/>
  <c r="AA811" i="1"/>
  <c r="AB811" i="1" s="1"/>
  <c r="AA329" i="1"/>
  <c r="AB329" i="1" s="1"/>
  <c r="AA285" i="1"/>
  <c r="AB285" i="1" s="1"/>
  <c r="AA684" i="1"/>
  <c r="AB684" i="1" s="1"/>
  <c r="AA185" i="1"/>
  <c r="AB185" i="1" s="1"/>
  <c r="AA563" i="1"/>
  <c r="AB563" i="1" s="1"/>
  <c r="AA533" i="1"/>
  <c r="AB533" i="1" s="1"/>
  <c r="AA22" i="1"/>
  <c r="AB22" i="1" s="1"/>
  <c r="AA909" i="1"/>
  <c r="AB909" i="1" s="1"/>
  <c r="AA875" i="1"/>
  <c r="AB875" i="1" s="1"/>
  <c r="AA826" i="1"/>
  <c r="AB826" i="1" s="1"/>
  <c r="AA785" i="1"/>
  <c r="AB785" i="1" s="1"/>
  <c r="AA704" i="1"/>
  <c r="AB704" i="1" s="1"/>
  <c r="AA207" i="1"/>
  <c r="AB207" i="1" s="1"/>
  <c r="AA141" i="1"/>
  <c r="AB141" i="1" s="1"/>
  <c r="AA574" i="1"/>
  <c r="AB574" i="1" s="1"/>
  <c r="AA526" i="1"/>
  <c r="AB526" i="1" s="1"/>
  <c r="AA637" i="1"/>
  <c r="AB637" i="1" s="1"/>
  <c r="AA462" i="1"/>
  <c r="AB462" i="1" s="1"/>
  <c r="AA850" i="1"/>
  <c r="AB850" i="1" s="1"/>
  <c r="AA371" i="1"/>
  <c r="AB371" i="1" s="1"/>
  <c r="AA330" i="1"/>
  <c r="AB330" i="1" s="1"/>
  <c r="AA250" i="1"/>
  <c r="AB250" i="1" s="1"/>
  <c r="AA205" i="1"/>
  <c r="AB205" i="1" s="1"/>
  <c r="AA180" i="1"/>
  <c r="AB180" i="1" s="1"/>
  <c r="AA579" i="1"/>
  <c r="AB579" i="1" s="1"/>
  <c r="AA60" i="1"/>
  <c r="AB60" i="1" s="1"/>
  <c r="AA499" i="1"/>
  <c r="AB499" i="1" s="1"/>
  <c r="AA839" i="1"/>
  <c r="AB839" i="1" s="1"/>
  <c r="AA375" i="1"/>
  <c r="AB375" i="1" s="1"/>
  <c r="AA764" i="1"/>
  <c r="AB764" i="1" s="1"/>
  <c r="AA272" i="1"/>
  <c r="AB272" i="1" s="1"/>
  <c r="AA694" i="1"/>
  <c r="AB694" i="1" s="1"/>
  <c r="AA625" i="1"/>
  <c r="AB625" i="1" s="1"/>
  <c r="AA584" i="1"/>
  <c r="AB584" i="1" s="1"/>
  <c r="AA539" i="1"/>
  <c r="AB539" i="1" s="1"/>
  <c r="AA29" i="1"/>
  <c r="AB29" i="1" s="1"/>
  <c r="AA898" i="1"/>
  <c r="AB898" i="1" s="1"/>
  <c r="AA439" i="1"/>
  <c r="AB439" i="1" s="1"/>
  <c r="AA831" i="1"/>
  <c r="AB831" i="1" s="1"/>
  <c r="AA358" i="1"/>
  <c r="AB358" i="1" s="1"/>
  <c r="AA719" i="1"/>
  <c r="AB719" i="1" s="1"/>
  <c r="AA672" i="1"/>
  <c r="AB672" i="1" s="1"/>
  <c r="AA178" i="1"/>
  <c r="AB178" i="1" s="1"/>
  <c r="AA130" i="1"/>
  <c r="AB130" i="1" s="1"/>
  <c r="AA538" i="1"/>
  <c r="AB538" i="1" s="1"/>
  <c r="AA450" i="1"/>
  <c r="AB450" i="1" s="1"/>
  <c r="AA813" i="1"/>
  <c r="AB813" i="1" s="1"/>
  <c r="AA336" i="1"/>
  <c r="AB336" i="1" s="1"/>
  <c r="AA242" i="1"/>
  <c r="AB242" i="1" s="1"/>
  <c r="AA645" i="1"/>
  <c r="AB645" i="1" s="1"/>
  <c r="AA597" i="1"/>
  <c r="AB597" i="1" s="1"/>
  <c r="AA84" i="1"/>
  <c r="AB84" i="1" s="1"/>
  <c r="AA518" i="1"/>
  <c r="AB518" i="1" s="1"/>
  <c r="AA507" i="1"/>
  <c r="AB507" i="1" s="1"/>
  <c r="AA485" i="1"/>
  <c r="AB485" i="1" s="1"/>
  <c r="AA445" i="1"/>
  <c r="AB445" i="1" s="1"/>
  <c r="AA391" i="1"/>
  <c r="AB391" i="1" s="1"/>
  <c r="AA322" i="1"/>
  <c r="AB322" i="1" s="1"/>
  <c r="AA290" i="1"/>
  <c r="AB290" i="1" s="1"/>
  <c r="AA208" i="1"/>
  <c r="AB208" i="1" s="1"/>
  <c r="AA640" i="1"/>
  <c r="AB640" i="1" s="1"/>
  <c r="AA610" i="1"/>
  <c r="AB610" i="1" s="1"/>
  <c r="AA587" i="1"/>
  <c r="AB587" i="1" s="1"/>
  <c r="AA548" i="1"/>
  <c r="AB548" i="1" s="1"/>
  <c r="AA39" i="1"/>
  <c r="AB39" i="1" s="1"/>
  <c r="AA494" i="1"/>
  <c r="AB494" i="1" s="1"/>
  <c r="AA901" i="1"/>
  <c r="AB901" i="1" s="1"/>
  <c r="AA442" i="1"/>
  <c r="AB442" i="1" s="1"/>
  <c r="AA803" i="1"/>
  <c r="AB803" i="1" s="1"/>
  <c r="AA298" i="1"/>
  <c r="AB298" i="1" s="1"/>
  <c r="AA256" i="1"/>
  <c r="AB256" i="1" s="1"/>
  <c r="AA200" i="1"/>
  <c r="AB200" i="1" s="1"/>
  <c r="AA613" i="1"/>
  <c r="AB613" i="1" s="1"/>
  <c r="AA103" i="1"/>
  <c r="AB103" i="1" s="1"/>
  <c r="AA12" i="1"/>
  <c r="AB12" i="1" s="1"/>
  <c r="AA881" i="1"/>
  <c r="AB881" i="1" s="1"/>
  <c r="AA834" i="1"/>
  <c r="AB834" i="1" s="1"/>
  <c r="AA227" i="1"/>
  <c r="AB227" i="1" s="1"/>
  <c r="AA685" i="1"/>
  <c r="AB685" i="1" s="1"/>
  <c r="AA730" i="1"/>
  <c r="AB730" i="1" s="1"/>
  <c r="AA409" i="1"/>
  <c r="AB409" i="1" s="1"/>
  <c r="AA778" i="1"/>
  <c r="AB778" i="1" s="1"/>
  <c r="AA867" i="1"/>
  <c r="AB867" i="1" s="1"/>
  <c r="AA441" i="1"/>
  <c r="AB441" i="1" s="1"/>
  <c r="AA133" i="1"/>
  <c r="AB133" i="1" s="1"/>
  <c r="AA478" i="1"/>
  <c r="AB478" i="1" s="1"/>
  <c r="AA117" i="1"/>
  <c r="AB117" i="1" s="1"/>
  <c r="AA767" i="1"/>
  <c r="AB767" i="1" s="1"/>
  <c r="AA728" i="1"/>
  <c r="AB728" i="1" s="1"/>
  <c r="AA683" i="1"/>
  <c r="AB683" i="1" s="1"/>
  <c r="AA711" i="1"/>
  <c r="AB711" i="1" s="1"/>
  <c r="AA716" i="1"/>
  <c r="AB716" i="1" s="1"/>
  <c r="AA317" i="1"/>
  <c r="AB317" i="1" s="1"/>
  <c r="AA410" i="1"/>
  <c r="AB410" i="1" s="1"/>
  <c r="AA807" i="1"/>
  <c r="AB807" i="1" s="1"/>
  <c r="AA523" i="1"/>
  <c r="AB523" i="1" s="1"/>
  <c r="AA216" i="1"/>
  <c r="AB216" i="1" s="1"/>
  <c r="AA302" i="1"/>
  <c r="AB302" i="1" s="1"/>
  <c r="AA484" i="1"/>
  <c r="AB484" i="1" s="1"/>
  <c r="AA434" i="1"/>
  <c r="AB434" i="1" s="1"/>
  <c r="AA405" i="1"/>
  <c r="AB405" i="1" s="1"/>
  <c r="AA809" i="1"/>
  <c r="AB809" i="1" s="1"/>
  <c r="AA326" i="1"/>
  <c r="AB326" i="1" s="1"/>
  <c r="AA278" i="1"/>
  <c r="AB278" i="1" s="1"/>
  <c r="AA223" i="1"/>
  <c r="AB223" i="1" s="1"/>
  <c r="AA166" i="1"/>
  <c r="AB166" i="1" s="1"/>
  <c r="AA127" i="1"/>
  <c r="AB127" i="1" s="1"/>
  <c r="AA556" i="1"/>
  <c r="AB556" i="1" s="1"/>
  <c r="AA57" i="1"/>
  <c r="AB57" i="1" s="1"/>
  <c r="AA505" i="1"/>
  <c r="AB505" i="1" s="1"/>
  <c r="AA904" i="1"/>
  <c r="AB904" i="1" s="1"/>
  <c r="AA874" i="1"/>
  <c r="AB874" i="1" s="1"/>
  <c r="AA389" i="1"/>
  <c r="AB389" i="1" s="1"/>
  <c r="AA344" i="1"/>
  <c r="AB344" i="1" s="1"/>
  <c r="AA241" i="1"/>
  <c r="AB241" i="1" s="1"/>
  <c r="AA660" i="1"/>
  <c r="AB660" i="1" s="1"/>
  <c r="AA111" i="1"/>
  <c r="AB111" i="1" s="1"/>
  <c r="AA515" i="1"/>
  <c r="AB515" i="1" s="1"/>
  <c r="AA190" i="1"/>
  <c r="AB190" i="1" s="1"/>
  <c r="AA880" i="1"/>
  <c r="AB880" i="1" s="1"/>
  <c r="AA847" i="1"/>
  <c r="AB847" i="1" s="1"/>
  <c r="AA359" i="1"/>
  <c r="AB359" i="1" s="1"/>
  <c r="AA323" i="1"/>
  <c r="AB323" i="1" s="1"/>
  <c r="AA695" i="1"/>
  <c r="AB695" i="1" s="1"/>
  <c r="AA657" i="1"/>
  <c r="AB657" i="1" s="1"/>
  <c r="AA636" i="1"/>
  <c r="AB636" i="1" s="1"/>
  <c r="AA568" i="1"/>
  <c r="AB568" i="1" s="1"/>
  <c r="AA52" i="1"/>
  <c r="AB52" i="1" s="1"/>
  <c r="AA895" i="1"/>
  <c r="AB895" i="1" s="1"/>
  <c r="AA407" i="1"/>
  <c r="AB407" i="1" s="1"/>
  <c r="AA805" i="1"/>
  <c r="AB805" i="1" s="1"/>
  <c r="AA319" i="1"/>
  <c r="AB319" i="1" s="1"/>
  <c r="AA262" i="1"/>
  <c r="AB262" i="1" s="1"/>
  <c r="AA218" i="1"/>
  <c r="AB218" i="1" s="1"/>
  <c r="AA161" i="1"/>
  <c r="AB161" i="1" s="1"/>
  <c r="AA115" i="1"/>
  <c r="AB115" i="1" s="1"/>
  <c r="AA532" i="1"/>
  <c r="AB532" i="1" s="1"/>
  <c r="AA23" i="1"/>
  <c r="AB23" i="1" s="1"/>
  <c r="AA464" i="1"/>
  <c r="AB464" i="1" s="1"/>
  <c r="AA851" i="1"/>
  <c r="AB851" i="1" s="1"/>
  <c r="AA823" i="1"/>
  <c r="AB823" i="1" s="1"/>
  <c r="AA784" i="1"/>
  <c r="AB784" i="1" s="1"/>
  <c r="AA268" i="1"/>
  <c r="AB268" i="1" s="1"/>
  <c r="AA212" i="1"/>
  <c r="AB212" i="1" s="1"/>
  <c r="AA176" i="1"/>
  <c r="AB176" i="1" s="1"/>
  <c r="AA109" i="1"/>
  <c r="AB109" i="1" s="1"/>
  <c r="AA535" i="1"/>
  <c r="AB535" i="1" s="1"/>
  <c r="AA498" i="1"/>
  <c r="AB498" i="1" s="1"/>
  <c r="AA431" i="1"/>
  <c r="AB431" i="1" s="1"/>
  <c r="AA376" i="1"/>
  <c r="AB376" i="1" s="1"/>
  <c r="AA769" i="1"/>
  <c r="AB769" i="1" s="1"/>
  <c r="AA693" i="1"/>
  <c r="AB693" i="1" s="1"/>
  <c r="AA181" i="1"/>
  <c r="AB181" i="1" s="1"/>
  <c r="AA585" i="1"/>
  <c r="AB585" i="1" s="1"/>
  <c r="AA545" i="1"/>
  <c r="AB545" i="1" s="1"/>
  <c r="AA46" i="1"/>
  <c r="AB46" i="1" s="1"/>
  <c r="AA21" i="1"/>
  <c r="AB21" i="1" s="1"/>
  <c r="AA890" i="1"/>
  <c r="AB890" i="1" s="1"/>
  <c r="AA440" i="1"/>
  <c r="AB440" i="1" s="1"/>
  <c r="AA362" i="1"/>
  <c r="AB362" i="1" s="1"/>
  <c r="AA315" i="1"/>
  <c r="AB315" i="1" s="1"/>
  <c r="AA277" i="1"/>
  <c r="AB277" i="1" s="1"/>
  <c r="AA663" i="1"/>
  <c r="AB663" i="1" s="1"/>
  <c r="AA638" i="1"/>
  <c r="AB638" i="1" s="1"/>
  <c r="AA146" i="1"/>
  <c r="AB146" i="1" s="1"/>
  <c r="AA119" i="1"/>
  <c r="AB119" i="1" s="1"/>
  <c r="AA82" i="1"/>
  <c r="AB82" i="1" s="1"/>
  <c r="AA37" i="1"/>
  <c r="AB37" i="1" s="1"/>
  <c r="AA2" i="1"/>
  <c r="AB2" i="1" s="1"/>
  <c r="AA423" i="1"/>
  <c r="AB423" i="1" s="1"/>
  <c r="AA735" i="1"/>
  <c r="AB735" i="1" s="1"/>
  <c r="AA706" i="1"/>
  <c r="AB706" i="1" s="1"/>
  <c r="AA184" i="1"/>
  <c r="AB184" i="1" s="1"/>
  <c r="AA144" i="1"/>
  <c r="AB144" i="1" s="1"/>
  <c r="AA101" i="1"/>
  <c r="AB101" i="1" s="1"/>
  <c r="AA864" i="1"/>
  <c r="AB864" i="1" s="1"/>
  <c r="AA394" i="1"/>
  <c r="AB394" i="1" s="1"/>
  <c r="AA780" i="1"/>
  <c r="AB780" i="1" s="1"/>
  <c r="AA282" i="1"/>
  <c r="AB282" i="1" s="1"/>
  <c r="AA197" i="1"/>
  <c r="AB197" i="1" s="1"/>
  <c r="AA152" i="1"/>
  <c r="AB152" i="1" s="1"/>
  <c r="AA94" i="1"/>
  <c r="AB94" i="1" s="1"/>
  <c r="AA871" i="1"/>
  <c r="AB871" i="1" s="1"/>
  <c r="AA773" i="1"/>
  <c r="AB773" i="1" s="1"/>
  <c r="AA531" i="1"/>
  <c r="AB531" i="1" s="1"/>
  <c r="AA616" i="1"/>
  <c r="AB616" i="1" s="1"/>
  <c r="AA479" i="1"/>
  <c r="AB479" i="1" s="1"/>
  <c r="AA745" i="1"/>
  <c r="AB745" i="1" s="1"/>
  <c r="AA806" i="1"/>
  <c r="AB806" i="1" s="1"/>
  <c r="AA163" i="1"/>
  <c r="AB163" i="1" s="1"/>
  <c r="AA661" i="1"/>
  <c r="AB661" i="1" s="1"/>
  <c r="AA153" i="1"/>
  <c r="AB153" i="1" s="1"/>
  <c r="AA263" i="1"/>
  <c r="AB263" i="1" s="1"/>
  <c r="AA712" i="1"/>
  <c r="AB712" i="1" s="1"/>
  <c r="AA552" i="1"/>
  <c r="AB552" i="1" s="1"/>
  <c r="AA790" i="1"/>
  <c r="AB790" i="1" s="1"/>
  <c r="AA789" i="1"/>
  <c r="AB789" i="1" s="1"/>
  <c r="AA558" i="1"/>
  <c r="AB558" i="1" s="1"/>
  <c r="AA720" i="1"/>
  <c r="AB720" i="1" s="1"/>
  <c r="AA361" i="1"/>
  <c r="AB361" i="1" s="1"/>
  <c r="AA213" i="1"/>
  <c r="AB213" i="1" s="1"/>
  <c r="AA779" i="1"/>
  <c r="AB779" i="1" s="1"/>
  <c r="AA490" i="1"/>
  <c r="AB490" i="1" s="1"/>
  <c r="AA89" i="1"/>
  <c r="AB89" i="1" s="1"/>
  <c r="AA269" i="1"/>
  <c r="AB269" i="1" s="1"/>
  <c r="AA481" i="1"/>
  <c r="AB481" i="1" s="1"/>
  <c r="AA430" i="1"/>
  <c r="AB430" i="1" s="1"/>
  <c r="AA400" i="1"/>
  <c r="AB400" i="1" s="1"/>
  <c r="AA802" i="1"/>
  <c r="AB802" i="1" s="1"/>
  <c r="AA751" i="1"/>
  <c r="AB751" i="1" s="1"/>
  <c r="AA723" i="1"/>
  <c r="AB723" i="1" s="1"/>
  <c r="AA678" i="1"/>
  <c r="AB678" i="1" s="1"/>
  <c r="AA618" i="1"/>
  <c r="AB618" i="1" s="1"/>
  <c r="AA122" i="1"/>
  <c r="AB122" i="1" s="1"/>
  <c r="AA95" i="1"/>
  <c r="AB95" i="1" s="1"/>
  <c r="AA54" i="1"/>
  <c r="AB54" i="1" s="1"/>
  <c r="AA17" i="1"/>
  <c r="AB17" i="1" s="1"/>
  <c r="AA902" i="1"/>
  <c r="AB902" i="1" s="1"/>
  <c r="AA866" i="1"/>
  <c r="AB866" i="1" s="1"/>
  <c r="AA383" i="1"/>
  <c r="AB383" i="1" s="1"/>
  <c r="AA293" i="1"/>
  <c r="AB293" i="1" s="1"/>
  <c r="AA237" i="1"/>
  <c r="AB237" i="1" s="1"/>
  <c r="AA203" i="1"/>
  <c r="AB203" i="1" s="1"/>
  <c r="AA591" i="1"/>
  <c r="AB591" i="1" s="1"/>
  <c r="AA572" i="1"/>
  <c r="AB572" i="1" s="1"/>
  <c r="AA13" i="1"/>
  <c r="AB13" i="1" s="1"/>
  <c r="AA488" i="1"/>
  <c r="AB488" i="1" s="1"/>
  <c r="AA458" i="1"/>
  <c r="AB458" i="1" s="1"/>
  <c r="AA845" i="1"/>
  <c r="AB845" i="1" s="1"/>
  <c r="AA786" i="1"/>
  <c r="AB786" i="1" s="1"/>
  <c r="AA755" i="1"/>
  <c r="AB755" i="1" s="1"/>
  <c r="AA231" i="1"/>
  <c r="AB231" i="1" s="1"/>
  <c r="AA655" i="1"/>
  <c r="AB655" i="1" s="1"/>
  <c r="AA175" i="1"/>
  <c r="AB175" i="1" s="1"/>
  <c r="AA98" i="1"/>
  <c r="AB98" i="1" s="1"/>
  <c r="AA521" i="1"/>
  <c r="AB521" i="1" s="1"/>
  <c r="AA467" i="1"/>
  <c r="AB467" i="1" s="1"/>
  <c r="AA104" i="1"/>
  <c r="AB104" i="1" s="1"/>
  <c r="AA341" i="1"/>
  <c r="AB341" i="1" s="1"/>
  <c r="AA239" i="1"/>
  <c r="AB239" i="1" s="1"/>
  <c r="AA777" i="1"/>
  <c r="AB777" i="1" s="1"/>
  <c r="AA742" i="1"/>
  <c r="AB742" i="1" s="1"/>
  <c r="AA314" i="1"/>
  <c r="AB314" i="1" s="1"/>
  <c r="AA194" i="1"/>
  <c r="AB194" i="1" s="1"/>
  <c r="AA198" i="1"/>
  <c r="AB198" i="1" s="1"/>
  <c r="AA312" i="1"/>
  <c r="AB312" i="1" s="1"/>
  <c r="AA360" i="1"/>
  <c r="AB360" i="1" s="1"/>
  <c r="AA677" i="1"/>
  <c r="AB677" i="1" s="1"/>
  <c r="AA771" i="1"/>
  <c r="AB771" i="1" s="1"/>
  <c r="AA331" i="1"/>
  <c r="AB331" i="1" s="1"/>
  <c r="AA733" i="1"/>
  <c r="AB733" i="1" s="1"/>
  <c r="AA202" i="1"/>
  <c r="AB202" i="1" s="1"/>
  <c r="AA472" i="1"/>
  <c r="AB472" i="1" s="1"/>
  <c r="AA853" i="1"/>
  <c r="AB853" i="1" s="1"/>
  <c r="AA396" i="1"/>
  <c r="AB396" i="1" s="1"/>
  <c r="AA801" i="1"/>
  <c r="AB801" i="1" s="1"/>
  <c r="AA309" i="1"/>
  <c r="AB309" i="1" s="1"/>
  <c r="AA271" i="1"/>
  <c r="AB271" i="1" s="1"/>
  <c r="AA671" i="1"/>
  <c r="AB671" i="1" s="1"/>
  <c r="AA617" i="1"/>
  <c r="AB617" i="1" s="1"/>
  <c r="AA583" i="1"/>
  <c r="AB583" i="1" s="1"/>
  <c r="AA93" i="1"/>
  <c r="AB93" i="1" s="1"/>
  <c r="AA40" i="1"/>
  <c r="AB40" i="1" s="1"/>
  <c r="AA11" i="1"/>
  <c r="AB11" i="1" s="1"/>
  <c r="AA900" i="1"/>
  <c r="AB900" i="1" s="1"/>
  <c r="AA865" i="1"/>
  <c r="AB865" i="1" s="1"/>
  <c r="AA381" i="1"/>
  <c r="AB381" i="1" s="1"/>
  <c r="AA729" i="1"/>
  <c r="AB729" i="1" s="1"/>
  <c r="AA236" i="1"/>
  <c r="AB236" i="1" s="1"/>
  <c r="AA649" i="1"/>
  <c r="AB649" i="1" s="1"/>
  <c r="AA121" i="1"/>
  <c r="AB121" i="1" s="1"/>
  <c r="AA86" i="1"/>
  <c r="AB86" i="1" s="1"/>
  <c r="AA10" i="1"/>
  <c r="AB10" i="1" s="1"/>
  <c r="AA480" i="1"/>
  <c r="AB480" i="1" s="1"/>
  <c r="AA860" i="1"/>
  <c r="AB860" i="1" s="1"/>
  <c r="AA837" i="1"/>
  <c r="AB837" i="1" s="1"/>
  <c r="AA350" i="1"/>
  <c r="AB350" i="1" s="1"/>
  <c r="AA747" i="1"/>
  <c r="AB747" i="1" s="1"/>
  <c r="AA686" i="1"/>
  <c r="AB686" i="1" s="1"/>
  <c r="AA653" i="1"/>
  <c r="AB653" i="1" s="1"/>
  <c r="AA628" i="1"/>
  <c r="AB628" i="1" s="1"/>
  <c r="AA554" i="1"/>
  <c r="AB554" i="1" s="1"/>
  <c r="AA514" i="1"/>
  <c r="AB514" i="1" s="1"/>
  <c r="AA461" i="1"/>
  <c r="AB461" i="1" s="1"/>
  <c r="AA397" i="1"/>
  <c r="AB397" i="1" s="1"/>
  <c r="AA793" i="1"/>
  <c r="AB793" i="1" s="1"/>
  <c r="AA305" i="1"/>
  <c r="AB305" i="1" s="1"/>
  <c r="AA246" i="1"/>
  <c r="AB246" i="1" s="1"/>
  <c r="AA204" i="1"/>
  <c r="AB204" i="1" s="1"/>
  <c r="AA605" i="1"/>
  <c r="AB605" i="1" s="1"/>
  <c r="AA573" i="1"/>
  <c r="AB573" i="1" s="1"/>
  <c r="AA56" i="1"/>
  <c r="AB56" i="1" s="1"/>
  <c r="AA495" i="1"/>
  <c r="AB495" i="1" s="1"/>
  <c r="AA876" i="1"/>
  <c r="AB876" i="1" s="1"/>
  <c r="AA422" i="1"/>
  <c r="AB422" i="1" s="1"/>
  <c r="AA388" i="1"/>
  <c r="AB388" i="1" s="1"/>
  <c r="AA756" i="1"/>
  <c r="AB756" i="1" s="1"/>
  <c r="AA698" i="1"/>
  <c r="AB698" i="1" s="1"/>
  <c r="AA624" i="1"/>
  <c r="AB624" i="1" s="1"/>
  <c r="AA553" i="1"/>
  <c r="AB553" i="1" s="1"/>
  <c r="AA49" i="1"/>
  <c r="AB49" i="1" s="1"/>
  <c r="AA528" i="1"/>
  <c r="AB528" i="1" s="1"/>
  <c r="AA421" i="1"/>
  <c r="AB421" i="1" s="1"/>
  <c r="AA370" i="1"/>
  <c r="AB370" i="1" s="1"/>
  <c r="AA324" i="1"/>
  <c r="AB324" i="1" s="1"/>
  <c r="AA172" i="1"/>
  <c r="AB172" i="1" s="1"/>
  <c r="AA70" i="1"/>
  <c r="AB70" i="1" s="1"/>
  <c r="AA38" i="1"/>
  <c r="AB38" i="1" s="1"/>
  <c r="AA7" i="1"/>
  <c r="AB7" i="1" s="1"/>
  <c r="AA466" i="1"/>
  <c r="AB466" i="1" s="1"/>
  <c r="AA435" i="1"/>
  <c r="AB435" i="1" s="1"/>
  <c r="AA349" i="1"/>
  <c r="AB349" i="1" s="1"/>
  <c r="AA311" i="1"/>
  <c r="AB311" i="1" s="1"/>
  <c r="AA261" i="1"/>
  <c r="AB261" i="1" s="1"/>
  <c r="AA656" i="1"/>
  <c r="AB656" i="1" s="1"/>
  <c r="AA634" i="1"/>
  <c r="AB634" i="1" s="1"/>
  <c r="AA140" i="1"/>
  <c r="AB140" i="1" s="1"/>
  <c r="AA102" i="1"/>
  <c r="AB102" i="1" s="1"/>
  <c r="AA67" i="1"/>
  <c r="AB67" i="1" s="1"/>
  <c r="AA30" i="1"/>
  <c r="AB30" i="1" s="1"/>
  <c r="AA913" i="1"/>
  <c r="AB913" i="1" s="1"/>
  <c r="AA411" i="1"/>
  <c r="AB411" i="1" s="1"/>
  <c r="AA337" i="1"/>
  <c r="AB337" i="1" s="1"/>
  <c r="AA286" i="1"/>
  <c r="AB286" i="1" s="1"/>
  <c r="AA696" i="1"/>
  <c r="AB696" i="1" s="1"/>
  <c r="AA621" i="1"/>
  <c r="AB621" i="1" s="1"/>
  <c r="AA129" i="1"/>
  <c r="AB129" i="1" s="1"/>
  <c r="AA74" i="1"/>
  <c r="AB74" i="1" s="1"/>
  <c r="AA903" i="1"/>
  <c r="AB903" i="1" s="1"/>
  <c r="AA433" i="1"/>
  <c r="AB433" i="1" s="1"/>
  <c r="AA816" i="1"/>
  <c r="AB816" i="1" s="1"/>
  <c r="AA772" i="1"/>
  <c r="AB772" i="1" s="1"/>
  <c r="AA258" i="1"/>
  <c r="AB258" i="1" s="1"/>
  <c r="AA195" i="1"/>
  <c r="AB195" i="1" s="1"/>
  <c r="AA128" i="1"/>
  <c r="AB128" i="1" s="1"/>
  <c r="AA75" i="1"/>
  <c r="AB75" i="1" s="1"/>
  <c r="AA598" i="1"/>
  <c r="AB598" i="1" s="1"/>
  <c r="AA377" i="1"/>
  <c r="AB377" i="1" s="1"/>
  <c r="AA713" i="1"/>
  <c r="AB713" i="1" s="1"/>
  <c r="AA758" i="1"/>
  <c r="AB758" i="1" s="1"/>
  <c r="AA689" i="1"/>
  <c r="AB689" i="1" s="1"/>
  <c r="AA251" i="1"/>
  <c r="AB251" i="1" s="1"/>
  <c r="AA296" i="1"/>
  <c r="AB296" i="1" s="1"/>
  <c r="AA73" i="1"/>
  <c r="AB73" i="1" s="1"/>
  <c r="AA281" i="1"/>
  <c r="AB281" i="1" s="1"/>
  <c r="AA456" i="1"/>
  <c r="AB456" i="1" s="1"/>
  <c r="AA869" i="1"/>
  <c r="AB869" i="1" s="1"/>
  <c r="AA750" i="1"/>
  <c r="AB750" i="1" s="1"/>
  <c r="AA164" i="1"/>
  <c r="AB164" i="1" s="1"/>
  <c r="AA247" i="1"/>
  <c r="AB247" i="1" s="1"/>
  <c r="AA861" i="1"/>
  <c r="AB861" i="1" s="1"/>
  <c r="AA884" i="1"/>
  <c r="AB884" i="1" s="1"/>
  <c r="AA852" i="1"/>
  <c r="AB852" i="1" s="1"/>
  <c r="AA824" i="1"/>
  <c r="AB824" i="1" s="1"/>
  <c r="AA797" i="1"/>
  <c r="AB797" i="1" s="1"/>
  <c r="AA307" i="1"/>
  <c r="AB307" i="1" s="1"/>
  <c r="AA270" i="1"/>
  <c r="AB270" i="1" s="1"/>
  <c r="AA667" i="1"/>
  <c r="AB667" i="1" s="1"/>
  <c r="AA615" i="1"/>
  <c r="AB615" i="1" s="1"/>
  <c r="AA108" i="1"/>
  <c r="AB108" i="1" s="1"/>
  <c r="AA547" i="1"/>
  <c r="AB547" i="1" s="1"/>
  <c r="AA512" i="1"/>
  <c r="AB512" i="1" s="1"/>
  <c r="AA497" i="1"/>
  <c r="AB497" i="1" s="1"/>
  <c r="AA476" i="1"/>
  <c r="AB476" i="1" s="1"/>
  <c r="AA858" i="1"/>
  <c r="AB858" i="1" s="1"/>
  <c r="AA814" i="1"/>
  <c r="AB814" i="1" s="1"/>
  <c r="AA721" i="1"/>
  <c r="AB721" i="1" s="1"/>
  <c r="AA692" i="1"/>
  <c r="AB692" i="1" s="1"/>
  <c r="AA644" i="1"/>
  <c r="AB644" i="1" s="1"/>
  <c r="AA588" i="1"/>
  <c r="AB588" i="1" s="1"/>
  <c r="AA542" i="1"/>
  <c r="AB542" i="1" s="1"/>
  <c r="AA9" i="1"/>
  <c r="AB9" i="1" s="1"/>
  <c r="AA477" i="1"/>
  <c r="AB477" i="1" s="1"/>
  <c r="AA438" i="1"/>
  <c r="AB438" i="1" s="1"/>
  <c r="AA836" i="1"/>
  <c r="AB836" i="1" s="1"/>
  <c r="AA338" i="1"/>
  <c r="AB338" i="1" s="1"/>
  <c r="AA299" i="1"/>
  <c r="AB299" i="1" s="1"/>
  <c r="AA676" i="1"/>
  <c r="AB676" i="1" s="1"/>
  <c r="AA648" i="1"/>
  <c r="AB648" i="1" s="1"/>
  <c r="AA620" i="1"/>
  <c r="AB620" i="1" s="1"/>
  <c r="AA551" i="1"/>
  <c r="AB551" i="1" s="1"/>
  <c r="AA35" i="1"/>
  <c r="AB35" i="1" s="1"/>
  <c r="AA878" i="1"/>
  <c r="AB878" i="1" s="1"/>
  <c r="AA328" i="1"/>
  <c r="AB328" i="1" s="1"/>
  <c r="AA607" i="1"/>
  <c r="AB607" i="1" s="1"/>
  <c r="AA401" i="1"/>
  <c r="AB401" i="1" s="1"/>
  <c r="AA369" i="1"/>
  <c r="AB369" i="1" s="1"/>
  <c r="AA662" i="1"/>
  <c r="AB662" i="1" s="1"/>
  <c r="AB578" i="1"/>
  <c r="AA530" i="1"/>
  <c r="AB530" i="1" s="1"/>
  <c r="AB19" i="1"/>
  <c r="AA849" i="1"/>
  <c r="AB849" i="1" s="1"/>
  <c r="AA759" i="1"/>
  <c r="AB759" i="1" s="1"/>
  <c r="AA252" i="1"/>
  <c r="AB252" i="1" s="1"/>
  <c r="AA210" i="1"/>
  <c r="AB210" i="1" s="1"/>
  <c r="AA630" i="1"/>
  <c r="AB630" i="1" s="1"/>
  <c r="AA62" i="1"/>
  <c r="AB62" i="1" s="1"/>
  <c r="AA854" i="1"/>
  <c r="AB854" i="1" s="1"/>
  <c r="AA325" i="1"/>
  <c r="AB325" i="1" s="1"/>
  <c r="AA687" i="1"/>
  <c r="AB687" i="1" s="1"/>
  <c r="AA177" i="1"/>
  <c r="AB177" i="1" s="1"/>
  <c r="AA114" i="1"/>
  <c r="AB114" i="1" s="1"/>
  <c r="AA44" i="1"/>
  <c r="AB44" i="1" s="1"/>
  <c r="AA468" i="1"/>
  <c r="AB468" i="1" s="1"/>
  <c r="AA436" i="1"/>
  <c r="AB436" i="1" s="1"/>
  <c r="AA351" i="1"/>
  <c r="AB351" i="1" s="1"/>
  <c r="AA313" i="1"/>
  <c r="AB313" i="1" s="1"/>
  <c r="AA206" i="1"/>
  <c r="AB206" i="1" s="1"/>
  <c r="AA142" i="1"/>
  <c r="AB142" i="1" s="1"/>
  <c r="AA81" i="1"/>
  <c r="AB81" i="1" s="1"/>
  <c r="AA510" i="1"/>
  <c r="AB510" i="1" s="1"/>
  <c r="AA234" i="1"/>
  <c r="AB234" i="1" s="1"/>
  <c r="AA469" i="1"/>
  <c r="AB469" i="1" s="1"/>
  <c r="AA420" i="1"/>
  <c r="AB420" i="1" s="1"/>
  <c r="AA249" i="1"/>
  <c r="AB249" i="1" s="1"/>
  <c r="AA136" i="1"/>
  <c r="AB136" i="1" s="1"/>
  <c r="AA92" i="1"/>
  <c r="AB92" i="1" s="1"/>
  <c r="AA567" i="1"/>
  <c r="AB567" i="1" s="1"/>
  <c r="AA855" i="1"/>
  <c r="AB855" i="1" s="1"/>
  <c r="AA817" i="1"/>
  <c r="AB817" i="1" s="1"/>
  <c r="AA348" i="1"/>
  <c r="AB348" i="1" s="1"/>
  <c r="AA650" i="1"/>
  <c r="AB650" i="1" s="1"/>
  <c r="AA150" i="1"/>
  <c r="AB150" i="1" s="1"/>
  <c r="AA91" i="1"/>
  <c r="AB91" i="1" s="1"/>
  <c r="AA600" i="1"/>
  <c r="AB600" i="1" s="1"/>
  <c r="AA448" i="1"/>
  <c r="AB448" i="1" s="1"/>
  <c r="AA724" i="1"/>
  <c r="AB724" i="1" s="1"/>
  <c r="AA690" i="1"/>
  <c r="AB690" i="1" s="1"/>
  <c r="AA832" i="1"/>
  <c r="AB832" i="1" s="1"/>
  <c r="AA529" i="1"/>
  <c r="AB529" i="1" s="1"/>
  <c r="AA595" i="1"/>
  <c r="AB595" i="1" s="1"/>
  <c r="AA248" i="1"/>
  <c r="AB248" i="1" s="1"/>
  <c r="AA460" i="1"/>
  <c r="AB460" i="1" s="1"/>
  <c r="AA633" i="1"/>
  <c r="AB633" i="1" s="1"/>
  <c r="AA99" i="1"/>
  <c r="AB99" i="1" s="1"/>
  <c r="AB828" i="1"/>
  <c r="AA135" i="1"/>
  <c r="AB135" i="1" s="1"/>
  <c r="AA225" i="1"/>
  <c r="AB225" i="1" s="1"/>
  <c r="AA473" i="1"/>
  <c r="AB473" i="1" s="1"/>
  <c r="AB825" i="1"/>
  <c r="AA833" i="1"/>
  <c r="AB833" i="1" s="1"/>
  <c r="AA905" i="1"/>
  <c r="AB905" i="1" s="1"/>
  <c r="AA71" i="1"/>
  <c r="AB71" i="1" s="1"/>
  <c r="AA819" i="1"/>
  <c r="AB819" i="1" s="1"/>
  <c r="AA110" i="1"/>
  <c r="AB110" i="1" s="1"/>
  <c r="AB395" i="1"/>
  <c r="AA363" i="1"/>
  <c r="AB363" i="1" s="1"/>
  <c r="AA737" i="1"/>
  <c r="AB737" i="1" s="1"/>
  <c r="AA493" i="1"/>
  <c r="AB493" i="1" s="1"/>
  <c r="AA846" i="1"/>
  <c r="AB846" i="1" s="1"/>
  <c r="AB316" i="1"/>
  <c r="AA154" i="1"/>
  <c r="AB154" i="1" s="1"/>
  <c r="AA76" i="1"/>
  <c r="AB76" i="1" s="1"/>
  <c r="AA517" i="1"/>
  <c r="AB517" i="1" s="1"/>
  <c r="AA893" i="1"/>
  <c r="AB893" i="1" s="1"/>
  <c r="AA366" i="1"/>
  <c r="AB366" i="1" s="1"/>
  <c r="AA622" i="1"/>
  <c r="AB622" i="1" s="1"/>
  <c r="AA561" i="1"/>
  <c r="AB561" i="1" s="1"/>
  <c r="AA63" i="1"/>
  <c r="AB63" i="1" s="1"/>
  <c r="AA3" i="1"/>
  <c r="AB3" i="1" s="1"/>
  <c r="AB885" i="1"/>
  <c r="AA413" i="1"/>
  <c r="AB413" i="1" s="1"/>
  <c r="AA709" i="1"/>
  <c r="AB709" i="1" s="1"/>
  <c r="AA652" i="1"/>
  <c r="AB652" i="1" s="1"/>
  <c r="AA170" i="1"/>
  <c r="AB170" i="1" s="1"/>
  <c r="AA562" i="1"/>
  <c r="AB562" i="1" s="1"/>
  <c r="AA28" i="1"/>
  <c r="AB28" i="1" s="1"/>
  <c r="AA489" i="1"/>
  <c r="AB489" i="1" s="1"/>
  <c r="AA457" i="1"/>
  <c r="AB457" i="1" s="1"/>
  <c r="AA404" i="1"/>
  <c r="AB404" i="1" s="1"/>
  <c r="AA334" i="1"/>
  <c r="AB334" i="1" s="1"/>
  <c r="AA727" i="1"/>
  <c r="AB727" i="1" s="1"/>
  <c r="AA233" i="1"/>
  <c r="AB233" i="1" s="1"/>
  <c r="AA619" i="1"/>
  <c r="AB619" i="1" s="1"/>
  <c r="AA594" i="1"/>
  <c r="AB594" i="1" s="1"/>
  <c r="AA519" i="1"/>
  <c r="AB519" i="1" s="1"/>
  <c r="AA897" i="1"/>
  <c r="AB897" i="1" s="1"/>
  <c r="AA372" i="1"/>
  <c r="AB372" i="1" s="1"/>
  <c r="AA766" i="1"/>
  <c r="AB766" i="1" s="1"/>
  <c r="AA188" i="1"/>
  <c r="AB188" i="1" s="1"/>
  <c r="AA25" i="1"/>
  <c r="AB25" i="1" s="1"/>
  <c r="AA754" i="1"/>
  <c r="AB754" i="1" s="1"/>
  <c r="AA725" i="1"/>
  <c r="AB725" i="1" s="1"/>
  <c r="AA379" i="1"/>
  <c r="AB379" i="1" s="1"/>
  <c r="AA734" i="1"/>
  <c r="AB734" i="1" s="1"/>
  <c r="AA264" i="1"/>
  <c r="AB264" i="1" s="1"/>
  <c r="AA783" i="1"/>
  <c r="AB783" i="1" s="1"/>
  <c r="AA701" i="1"/>
  <c r="AB701" i="1" s="1"/>
  <c r="AA872" i="1"/>
  <c r="AB872" i="1" s="1"/>
  <c r="AA106" i="1"/>
  <c r="AB106" i="1" s="1"/>
  <c r="AA373" i="1"/>
  <c r="AB373" i="1" s="1"/>
  <c r="AA273" i="1"/>
  <c r="AB273" i="1" s="1"/>
  <c r="AA570" i="1"/>
  <c r="AB570" i="1" s="1"/>
  <c r="AA255" i="1"/>
  <c r="AB255" i="1" s="1"/>
  <c r="AA795" i="1"/>
  <c r="AB795" i="1" s="1"/>
  <c r="AA245" i="1"/>
  <c r="AB245" i="1" s="1"/>
  <c r="AB804" i="1"/>
  <c r="AA243" i="1"/>
  <c r="AB243" i="1" s="1"/>
  <c r="AA592" i="1"/>
  <c r="AB592" i="1" s="1"/>
  <c r="AB96" i="1"/>
  <c r="AA757" i="1"/>
  <c r="AB757" i="1" s="1"/>
  <c r="AB753" i="1"/>
  <c r="AA691" i="1"/>
  <c r="AB691" i="1" s="1"/>
  <c r="AA612" i="1"/>
  <c r="AB612" i="1" s="1"/>
  <c r="AA541" i="1"/>
  <c r="AB541" i="1" s="1"/>
  <c r="AA474" i="1"/>
  <c r="AB474" i="1" s="1"/>
  <c r="AA357" i="1"/>
  <c r="AB357" i="1" s="1"/>
  <c r="AA215" i="1"/>
  <c r="AB215" i="1" s="1"/>
  <c r="AA560" i="1"/>
  <c r="AB560" i="1" s="1"/>
  <c r="AA527" i="1"/>
  <c r="AB527" i="1" s="1"/>
  <c r="AA509" i="1"/>
  <c r="AB509" i="1" s="1"/>
  <c r="AA156" i="1"/>
  <c r="AB156" i="1" s="1"/>
  <c r="AB873" i="1"/>
  <c r="AA840" i="1"/>
  <c r="AB840" i="1" s="1"/>
  <c r="AA304" i="1"/>
  <c r="AB304" i="1" s="1"/>
  <c r="AA219" i="1"/>
  <c r="AB219" i="1" s="1"/>
  <c r="AA193" i="1"/>
  <c r="AB193" i="1" s="1"/>
  <c r="AA626" i="1"/>
  <c r="AB626" i="1" s="1"/>
  <c r="AA559" i="1"/>
  <c r="AB559" i="1" s="1"/>
  <c r="AA26" i="1"/>
  <c r="AB26" i="1" s="1"/>
  <c r="AB908" i="1"/>
  <c r="AA390" i="1"/>
  <c r="AB390" i="1" s="1"/>
  <c r="AA320" i="1"/>
  <c r="AB320" i="1" s="1"/>
  <c r="AA283" i="1"/>
  <c r="AB283" i="1" s="1"/>
  <c r="AA158" i="1"/>
  <c r="AB158" i="1" s="1"/>
  <c r="AA580" i="1"/>
  <c r="AB580" i="1" s="1"/>
  <c r="AA896" i="1"/>
  <c r="AB896" i="1" s="1"/>
  <c r="AB364" i="1"/>
  <c r="AA746" i="1"/>
  <c r="AB746" i="1" s="1"/>
  <c r="AA631" i="1"/>
  <c r="AB631" i="1" s="1"/>
  <c r="AB571" i="1"/>
  <c r="AA64" i="1"/>
  <c r="AB64" i="1" s="1"/>
  <c r="AA879" i="1"/>
  <c r="AB879" i="1" s="1"/>
  <c r="AA284" i="1"/>
  <c r="AB284" i="1" s="1"/>
  <c r="AA342" i="1"/>
  <c r="AB342" i="1" s="1"/>
  <c r="AA451" i="1"/>
  <c r="AB451" i="1" s="1"/>
  <c r="AA259" i="1"/>
  <c r="AB259" i="1" s="1"/>
  <c r="AA199" i="1"/>
  <c r="AB199" i="1" s="1"/>
  <c r="AA856" i="1"/>
  <c r="AB856" i="1" s="1"/>
  <c r="AA651" i="1"/>
  <c r="AB651" i="1" s="1"/>
  <c r="AA536" i="1"/>
  <c r="AB536" i="1" s="1"/>
  <c r="AA187" i="1"/>
  <c r="AB187" i="1" s="1"/>
  <c r="AA446" i="1"/>
  <c r="AB446" i="1" s="1"/>
  <c r="AA151" i="1"/>
  <c r="AB151" i="1" s="1"/>
  <c r="AA34" i="1"/>
  <c r="AB34" i="1" s="1"/>
  <c r="AA776" i="1"/>
  <c r="AB776" i="1" s="1"/>
  <c r="AA345" i="1"/>
  <c r="AB345" i="1" s="1"/>
  <c r="AA42" i="1"/>
  <c r="AB42" i="1" s="1"/>
  <c r="AA220" i="1"/>
  <c r="AB220" i="1" s="1"/>
  <c r="AA781" i="1"/>
  <c r="AB781" i="1" s="1"/>
  <c r="AA134" i="1"/>
  <c r="AB134" i="1" s="1"/>
  <c r="AA632" i="1"/>
  <c r="AB632" i="1" s="1"/>
  <c r="AA51" i="1"/>
  <c r="AB51" i="1" s="1"/>
  <c r="AA844" i="1"/>
  <c r="AB844" i="1" s="1"/>
  <c r="AA321" i="1"/>
  <c r="AB321" i="1" s="1"/>
  <c r="AA775" i="1"/>
  <c r="AB775" i="1" s="1"/>
  <c r="AA65" i="1"/>
  <c r="AB65" i="1" s="1"/>
  <c r="AA707" i="1"/>
  <c r="AB707" i="1" s="1"/>
  <c r="AA603" i="1"/>
  <c r="AB603" i="1" s="1"/>
  <c r="AA355" i="1"/>
  <c r="AB355" i="1" s="1"/>
  <c r="AA279" i="1"/>
  <c r="AB279" i="1" s="1"/>
  <c r="AA224" i="1"/>
  <c r="AB224" i="1" s="1"/>
  <c r="AA182" i="1"/>
  <c r="AB182" i="1" s="1"/>
  <c r="AB602" i="1"/>
  <c r="AA68" i="1"/>
  <c r="AB68" i="1" s="1"/>
  <c r="AB506" i="1"/>
  <c r="AA870" i="1"/>
  <c r="AB870" i="1" s="1"/>
  <c r="AA815" i="1"/>
  <c r="AB815" i="1" s="1"/>
  <c r="AA346" i="1"/>
  <c r="AB346" i="1" s="1"/>
  <c r="AB708" i="1"/>
  <c r="AB191" i="1"/>
  <c r="AA143" i="1"/>
  <c r="AB143" i="1" s="1"/>
  <c r="AB557" i="1"/>
  <c r="AA522" i="1"/>
  <c r="AB522" i="1" s="1"/>
  <c r="AA24" i="1"/>
  <c r="AB24" i="1" s="1"/>
  <c r="AA486" i="1"/>
  <c r="AB486" i="1" s="1"/>
  <c r="AA447" i="1"/>
  <c r="AB447" i="1" s="1"/>
  <c r="AB822" i="1"/>
  <c r="AA761" i="1"/>
  <c r="AB761" i="1" s="1"/>
  <c r="AB301" i="1"/>
  <c r="AA670" i="1"/>
  <c r="AB670" i="1" s="1"/>
  <c r="AB642" i="1"/>
  <c r="AA611" i="1"/>
  <c r="AB611" i="1" s="1"/>
  <c r="AA123" i="1"/>
  <c r="AB123" i="1" s="1"/>
  <c r="AA85" i="1"/>
  <c r="AB85" i="1" s="1"/>
  <c r="AA43" i="1"/>
  <c r="AB43" i="1" s="1"/>
  <c r="AA482" i="1"/>
  <c r="AB482" i="1" s="1"/>
  <c r="AB444" i="1"/>
  <c r="AA306" i="1"/>
  <c r="AB306" i="1" s="1"/>
  <c r="AA714" i="1"/>
  <c r="AB714" i="1" s="1"/>
  <c r="AA665" i="1"/>
  <c r="AB665" i="1" s="1"/>
  <c r="AA614" i="1"/>
  <c r="AB614" i="1" s="1"/>
  <c r="AA575" i="1"/>
  <c r="AB575" i="1" s="1"/>
  <c r="AA18" i="1"/>
  <c r="AB18" i="1" s="1"/>
  <c r="AA465" i="1"/>
  <c r="AB465" i="1" s="1"/>
  <c r="AA403" i="1"/>
  <c r="AB403" i="1" s="1"/>
  <c r="AA791" i="1"/>
  <c r="AB791" i="1" s="1"/>
  <c r="AA741" i="1"/>
  <c r="AB741" i="1" s="1"/>
  <c r="AA679" i="1"/>
  <c r="AB679" i="1" s="1"/>
  <c r="AA169" i="1"/>
  <c r="AB169" i="1" s="1"/>
  <c r="AA566" i="1"/>
  <c r="AB566" i="1" s="1"/>
  <c r="AA36" i="1"/>
  <c r="AB36" i="1" s="1"/>
  <c r="AA221" i="1"/>
  <c r="AB221" i="1" s="1"/>
  <c r="AA798" i="1"/>
  <c r="AB798" i="1" s="1"/>
  <c r="AA894" i="1"/>
  <c r="AB894" i="1" s="1"/>
  <c r="AA492" i="1"/>
  <c r="AB492" i="1" s="1"/>
  <c r="AA59" i="1"/>
  <c r="AB59" i="1" s="1"/>
  <c r="AA841" i="1"/>
  <c r="AB841" i="1" s="1"/>
  <c r="AA145" i="1"/>
  <c r="AB145" i="1" s="1"/>
  <c r="AA740" i="1"/>
  <c r="AB740" i="1" s="1"/>
  <c r="AA604" i="1"/>
  <c r="AB604" i="1" s="1"/>
  <c r="AA910" i="1"/>
  <c r="AB910" i="1" s="1"/>
  <c r="AA97" i="1"/>
  <c r="AB97" i="1" s="1"/>
  <c r="AA45" i="1"/>
  <c r="AB45" i="1" s="1"/>
  <c r="AA654" i="1"/>
  <c r="AB654" i="1" s="1"/>
  <c r="AA496" i="1"/>
  <c r="AB496" i="1" s="1"/>
  <c r="AA534" i="1"/>
  <c r="AB534" i="1" s="1"/>
  <c r="AA449" i="1"/>
  <c r="AB449" i="1" s="1"/>
  <c r="AA291" i="1"/>
  <c r="AB291" i="1" s="1"/>
  <c r="AA232" i="1"/>
  <c r="AB232" i="1" s="1"/>
  <c r="AA550" i="1"/>
  <c r="AB550" i="1" s="1"/>
  <c r="AB516" i="1"/>
  <c r="AA782" i="1"/>
  <c r="AB782" i="1" s="1"/>
  <c r="AA736" i="1"/>
  <c r="AB736" i="1" s="1"/>
  <c r="AA658" i="1"/>
  <c r="AB658" i="1" s="1"/>
  <c r="AA623" i="1"/>
  <c r="AB623" i="1" s="1"/>
  <c r="AA555" i="1"/>
  <c r="AB555" i="1" s="1"/>
  <c r="AA16" i="1"/>
  <c r="AB16" i="1" s="1"/>
  <c r="AA857" i="1"/>
  <c r="AB857" i="1" s="1"/>
  <c r="AA883" i="1"/>
  <c r="AB883" i="1" s="1"/>
  <c r="AA432" i="1"/>
  <c r="AB432" i="1" s="1"/>
  <c r="AA820" i="1"/>
  <c r="AB820" i="1" s="1"/>
  <c r="AA244" i="1"/>
  <c r="AB244" i="1" s="1"/>
  <c r="AA217" i="1"/>
  <c r="AB217" i="1" s="1"/>
  <c r="AA537" i="1"/>
  <c r="AB537" i="1" s="1"/>
  <c r="AA596" i="1"/>
  <c r="AB596" i="1" s="1"/>
  <c r="AA738" i="1"/>
  <c r="AB738" i="1" s="1"/>
  <c r="AA749" i="1"/>
  <c r="AB749" i="1" s="1"/>
  <c r="AA608" i="1"/>
  <c r="AB608" i="1" s="1"/>
  <c r="AA392" i="1"/>
  <c r="AB392" i="1" s="1"/>
  <c r="AA192" i="1"/>
  <c r="AB192" i="1" s="1"/>
  <c r="AA6" i="1"/>
  <c r="AB6" i="1" s="1"/>
  <c r="AA179" i="1"/>
  <c r="AB179" i="1" s="1"/>
  <c r="AA222" i="1"/>
  <c r="AB222" i="1" s="1"/>
  <c r="AA428" i="1"/>
  <c r="AB428" i="1" s="1"/>
  <c r="AA165" i="1"/>
  <c r="AB165" i="1" s="1"/>
</calcChain>
</file>

<file path=xl/sharedStrings.xml><?xml version="1.0" encoding="utf-8"?>
<sst xmlns="http://schemas.openxmlformats.org/spreadsheetml/2006/main" count="14995" uniqueCount="2812">
  <si>
    <t>order_id</t>
  </si>
  <si>
    <t>order_date</t>
  </si>
  <si>
    <t>ship_date</t>
  </si>
  <si>
    <t>customer_id</t>
  </si>
  <si>
    <t>customer_name</t>
  </si>
  <si>
    <t>segment</t>
  </si>
  <si>
    <t>region</t>
  </si>
  <si>
    <t>state</t>
  </si>
  <si>
    <t>city</t>
  </si>
  <si>
    <t>category</t>
  </si>
  <si>
    <t>sub_category</t>
  </si>
  <si>
    <t>product_name</t>
  </si>
  <si>
    <t>ship_mode</t>
  </si>
  <si>
    <t>quantity</t>
  </si>
  <si>
    <t>unit_price</t>
  </si>
  <si>
    <t>discount</t>
  </si>
  <si>
    <t>sales</t>
  </si>
  <si>
    <t>cost</t>
  </si>
  <si>
    <t>profit</t>
  </si>
  <si>
    <t>payment_status</t>
  </si>
  <si>
    <t>order_status</t>
  </si>
  <si>
    <t>ORD-2024-10001</t>
  </si>
  <si>
    <t>CUST-4655</t>
  </si>
  <si>
    <t>Karan Malhotra</t>
  </si>
  <si>
    <t>Consumer</t>
  </si>
  <si>
    <t>North</t>
  </si>
  <si>
    <t>Rajasthan</t>
  </si>
  <si>
    <t>Jaipur</t>
  </si>
  <si>
    <t>Office Supplies</t>
  </si>
  <si>
    <t>Paper</t>
  </si>
  <si>
    <t>Pro Paper 122</t>
  </si>
  <si>
    <t>Second Class</t>
  </si>
  <si>
    <t>Paid</t>
  </si>
  <si>
    <t>Completed</t>
  </si>
  <si>
    <t>ORD-2024-10002</t>
  </si>
  <si>
    <t>CUST-2054</t>
  </si>
  <si>
    <t>Mira Das</t>
  </si>
  <si>
    <t>Small Business</t>
  </si>
  <si>
    <t>East</t>
  </si>
  <si>
    <t>Odisha</t>
  </si>
  <si>
    <t>Bhubaneswar</t>
  </si>
  <si>
    <t>Furniture</t>
  </si>
  <si>
    <t>Tables</t>
  </si>
  <si>
    <t>Pro Tables 258</t>
  </si>
  <si>
    <t>Same Day</t>
  </si>
  <si>
    <t>ORD-2024-10003</t>
  </si>
  <si>
    <t>CUST-6843</t>
  </si>
  <si>
    <t>Isha Nair</t>
  </si>
  <si>
    <t>Art</t>
  </si>
  <si>
    <t>Elite Art 525</t>
  </si>
  <si>
    <t>First Class</t>
  </si>
  <si>
    <t>ORD-2024-10004</t>
  </si>
  <si>
    <t>CUST-3722</t>
  </si>
  <si>
    <t>Arjun Bose</t>
  </si>
  <si>
    <t>South</t>
  </si>
  <si>
    <t>Telangana</t>
  </si>
  <si>
    <t>Hyderabad</t>
  </si>
  <si>
    <t>Furnishings</t>
  </si>
  <si>
    <t>Smart Furnishings 294</t>
  </si>
  <si>
    <t>Standard Class</t>
  </si>
  <si>
    <t>ORD-2025-10005</t>
  </si>
  <si>
    <t>CUST-8130</t>
  </si>
  <si>
    <t>Ananya Rao</t>
  </si>
  <si>
    <t>West</t>
  </si>
  <si>
    <t>Maharashtra</t>
  </si>
  <si>
    <t>Mumbai</t>
  </si>
  <si>
    <t>Chairs</t>
  </si>
  <si>
    <t>Elite Chairs 543</t>
  </si>
  <si>
    <t>Cancelled</t>
  </si>
  <si>
    <t>ORD-2024-10006</t>
  </si>
  <si>
    <t>CUST-6056</t>
  </si>
  <si>
    <t>Vikram Iyer</t>
  </si>
  <si>
    <t>Madhya Pradesh</t>
  </si>
  <si>
    <t>Indore</t>
  </si>
  <si>
    <t>Technology</t>
  </si>
  <si>
    <t>Accessories</t>
  </si>
  <si>
    <t>Pro Accessories 821</t>
  </si>
  <si>
    <t>ORD-2025-10007</t>
  </si>
  <si>
    <t>CUST-3656</t>
  </si>
  <si>
    <t>Neha Gupta</t>
  </si>
  <si>
    <t>Copiers</t>
  </si>
  <si>
    <t>Eco Copiers 790</t>
  </si>
  <si>
    <t>ORD-2025-10008</t>
  </si>
  <si>
    <t>CUST-4683</t>
  </si>
  <si>
    <t>Andhra Pradesh</t>
  </si>
  <si>
    <t>Vijayawada</t>
  </si>
  <si>
    <t>Eco Art 848</t>
  </si>
  <si>
    <t>ORD-2024-10009</t>
  </si>
  <si>
    <t>CUST-2598</t>
  </si>
  <si>
    <t>Aditi Sen</t>
  </si>
  <si>
    <t>Corporate</t>
  </si>
  <si>
    <t>Labels</t>
  </si>
  <si>
    <t>Classic Labels 815</t>
  </si>
  <si>
    <t>ORD-2025-10010</t>
  </si>
  <si>
    <t>CUST-2483</t>
  </si>
  <si>
    <t>Home Office</t>
  </si>
  <si>
    <t>Pro Paper 622</t>
  </si>
  <si>
    <t>ORD-2025-10011</t>
  </si>
  <si>
    <t>CUST-8092</t>
  </si>
  <si>
    <t>West Bengal</t>
  </si>
  <si>
    <t>Kolkata</t>
  </si>
  <si>
    <t>Prime Labels 644</t>
  </si>
  <si>
    <t>Refunded</t>
  </si>
  <si>
    <t>Returned</t>
  </si>
  <si>
    <t>ORD-2024-10012</t>
  </si>
  <si>
    <t>CUST-6528</t>
  </si>
  <si>
    <t>Smart Accessories 603</t>
  </si>
  <si>
    <t>ORD-2024-10013</t>
  </si>
  <si>
    <t>CUST-2648</t>
  </si>
  <si>
    <t>Udaipur</t>
  </si>
  <si>
    <t>Pro Paper 481</t>
  </si>
  <si>
    <t>Pending</t>
  </si>
  <si>
    <t>ORD-2025-10014</t>
  </si>
  <si>
    <t>CUST-7482</t>
  </si>
  <si>
    <t>Priya Menon</t>
  </si>
  <si>
    <t>Smart Art 795</t>
  </si>
  <si>
    <t>ORD-2024-10015</t>
  </si>
  <si>
    <t>CUST-4912</t>
  </si>
  <si>
    <t>Rahul Verma</t>
  </si>
  <si>
    <t>Max Copiers 983</t>
  </si>
  <si>
    <t>ORD-2024-10016</t>
  </si>
  <si>
    <t>CUST-7656</t>
  </si>
  <si>
    <t>Punjab</t>
  </si>
  <si>
    <t>Ludhiana</t>
  </si>
  <si>
    <t>Storage</t>
  </si>
  <si>
    <t>Classic Storage 198</t>
  </si>
  <si>
    <t>ORD-2024-10017</t>
  </si>
  <si>
    <t>CUST-6214</t>
  </si>
  <si>
    <t>Aarav Sharma</t>
  </si>
  <si>
    <t>Basic Art 204</t>
  </si>
  <si>
    <t>ORD-2024-10018</t>
  </si>
  <si>
    <t>CUST-1626</t>
  </si>
  <si>
    <t>Sneha Kapoor</t>
  </si>
  <si>
    <t>Basic Furnishings 434</t>
  </si>
  <si>
    <t>ORD-2025-10019</t>
  </si>
  <si>
    <t>CUST-2110</t>
  </si>
  <si>
    <t>Uttar Pradesh</t>
  </si>
  <si>
    <t>Noida</t>
  </si>
  <si>
    <t>Eco Copiers 755</t>
  </si>
  <si>
    <t>ORD-2024-10020</t>
  </si>
  <si>
    <t>CUST-3186</t>
  </si>
  <si>
    <t>Rohan Mehta</t>
  </si>
  <si>
    <t>Prime Storage 121</t>
  </si>
  <si>
    <t>ORD-2025-10021</t>
  </si>
  <si>
    <t>CUST-3190</t>
  </si>
  <si>
    <t>Bihar</t>
  </si>
  <si>
    <t>Patna</t>
  </si>
  <si>
    <t>Elite Copiers 233</t>
  </si>
  <si>
    <t>ORD-2025-10022</t>
  </si>
  <si>
    <t>CUST-3036</t>
  </si>
  <si>
    <t>Eco Furnishings 897</t>
  </si>
  <si>
    <t>ORD-2025-10023</t>
  </si>
  <si>
    <t>CUST-3588</t>
  </si>
  <si>
    <t>Binders</t>
  </si>
  <si>
    <t>Max Binders 355</t>
  </si>
  <si>
    <t>Failed</t>
  </si>
  <si>
    <t>ORD-2025-10024</t>
  </si>
  <si>
    <t>CUST-7098</t>
  </si>
  <si>
    <t>Bookcases</t>
  </si>
  <si>
    <t>Pro Bookcases 394</t>
  </si>
  <si>
    <t>ORD-2024-10025</t>
  </si>
  <si>
    <t>CUST-1747</t>
  </si>
  <si>
    <t>Diya Patel</t>
  </si>
  <si>
    <t>Max Art 215</t>
  </si>
  <si>
    <t>ORD-2024-10026</t>
  </si>
  <si>
    <t>CUST-1731</t>
  </si>
  <si>
    <t>Assam</t>
  </si>
  <si>
    <t>Guwahati</t>
  </si>
  <si>
    <t>Classic Accessories 478</t>
  </si>
  <si>
    <t>ORD-2024-10027</t>
  </si>
  <si>
    <t>CUST-4401</t>
  </si>
  <si>
    <t>Phones</t>
  </si>
  <si>
    <t>Pro Phones 243</t>
  </si>
  <si>
    <t>ORD-2025-10028</t>
  </si>
  <si>
    <t>CUST-9875</t>
  </si>
  <si>
    <t>Karnataka</t>
  </si>
  <si>
    <t>Bengaluru</t>
  </si>
  <si>
    <t>Basic Paper 613</t>
  </si>
  <si>
    <t>ORD-2024-10029</t>
  </si>
  <si>
    <t>CUST-1569</t>
  </si>
  <si>
    <t>Gujarat</t>
  </si>
  <si>
    <t>Ahmedabad</t>
  </si>
  <si>
    <t>Prime Phones 698</t>
  </si>
  <si>
    <t>ORD-2025-10030</t>
  </si>
  <si>
    <t>CUST-5936</t>
  </si>
  <si>
    <t>Kerala</t>
  </si>
  <si>
    <t>Kochi</t>
  </si>
  <si>
    <t>Pro Phones 442</t>
  </si>
  <si>
    <t>ORD-2024-10031</t>
  </si>
  <si>
    <t>CUST-8759</t>
  </si>
  <si>
    <t>Goa</t>
  </si>
  <si>
    <t>Panaji</t>
  </si>
  <si>
    <t>Pro Labels 355</t>
  </si>
  <si>
    <t>ORD-2025-10032</t>
  </si>
  <si>
    <t>CUST-7867</t>
  </si>
  <si>
    <t>Pro Paper 959</t>
  </si>
  <si>
    <t>ORD-2024-10033</t>
  </si>
  <si>
    <t>CUST-6509</t>
  </si>
  <si>
    <t>Basic Phones 242</t>
  </si>
  <si>
    <t>ORD-2024-10034</t>
  </si>
  <si>
    <t>CUST-6660</t>
  </si>
  <si>
    <t>Max Tables 836</t>
  </si>
  <si>
    <t>ORD-2025-10035</t>
  </si>
  <si>
    <t>CUST-2392</t>
  </si>
  <si>
    <t>Elite Chairs 862</t>
  </si>
  <si>
    <t>ORD-2024-10036</t>
  </si>
  <si>
    <t>CUST-1611</t>
  </si>
  <si>
    <t>Prime Bookcases 414</t>
  </si>
  <si>
    <t>ORD-2024-10037</t>
  </si>
  <si>
    <t>CUST-8296</t>
  </si>
  <si>
    <t>Eco Bookcases 220</t>
  </si>
  <si>
    <t>ORD-2025-10038</t>
  </si>
  <si>
    <t>CUST-4646</t>
  </si>
  <si>
    <t>Pro Copiers 830</t>
  </si>
  <si>
    <t>ORD-2024-10039</t>
  </si>
  <si>
    <t>CUST-8235</t>
  </si>
  <si>
    <t>Prime Phones 507</t>
  </si>
  <si>
    <t>ORD-2024-10040</t>
  </si>
  <si>
    <t>CUST-5830</t>
  </si>
  <si>
    <t>Classic Copiers 590</t>
  </si>
  <si>
    <t>ORD-2024-10041</t>
  </si>
  <si>
    <t>CUST-7178</t>
  </si>
  <si>
    <t>Eco Copiers 865</t>
  </si>
  <si>
    <t>ORD-2024-10042</t>
  </si>
  <si>
    <t>CUST-3829</t>
  </si>
  <si>
    <t>Classic Bookcases 835</t>
  </si>
  <si>
    <t>ORD-2025-10043</t>
  </si>
  <si>
    <t>CUST-6708</t>
  </si>
  <si>
    <t>Jharkhand</t>
  </si>
  <si>
    <t>Ranchi</t>
  </si>
  <si>
    <t>Eco Phones 702</t>
  </si>
  <si>
    <t>ORD-2024-10044</t>
  </si>
  <si>
    <t>CUST-7119</t>
  </si>
  <si>
    <t>Smart Furnishings 956</t>
  </si>
  <si>
    <t>ORD-2024-10045</t>
  </si>
  <si>
    <t>CUST-3373</t>
  </si>
  <si>
    <t>Haryana</t>
  </si>
  <si>
    <t>Gurugram</t>
  </si>
  <si>
    <t>Max Chairs 393</t>
  </si>
  <si>
    <t>ORD-2024-10046</t>
  </si>
  <si>
    <t>CUST-8896</t>
  </si>
  <si>
    <t>Prime Art 221</t>
  </si>
  <si>
    <t>ORD-2024-10047</t>
  </si>
  <si>
    <t>CUST-8517</t>
  </si>
  <si>
    <t>Elite Bookcases 671</t>
  </si>
  <si>
    <t>ORD-2024-10048</t>
  </si>
  <si>
    <t>CUST-1987</t>
  </si>
  <si>
    <t>Tamil Nadu</t>
  </si>
  <si>
    <t>Chennai</t>
  </si>
  <si>
    <t>Max Storage 432</t>
  </si>
  <si>
    <t>ORD-2025-10049</t>
  </si>
  <si>
    <t>CUST-8183</t>
  </si>
  <si>
    <t>Basic Chairs 837</t>
  </si>
  <si>
    <t>ORD-2024-10050</t>
  </si>
  <si>
    <t>CUST-2380</t>
  </si>
  <si>
    <t>Classic Copiers 295</t>
  </si>
  <si>
    <t>ORD-2025-10051</t>
  </si>
  <si>
    <t>CUST-8787</t>
  </si>
  <si>
    <t>Pro Copiers 963</t>
  </si>
  <si>
    <t>ORD-2024-10052</t>
  </si>
  <si>
    <t>CUST-3557</t>
  </si>
  <si>
    <t>Pro Art 907</t>
  </si>
  <si>
    <t>ORD-2024-10053</t>
  </si>
  <si>
    <t>CUST-2778</t>
  </si>
  <si>
    <t>Kabir Singh</t>
  </si>
  <si>
    <t>Pro Chairs 526</t>
  </si>
  <si>
    <t>ORD-2025-10054</t>
  </si>
  <si>
    <t>CUST-7195</t>
  </si>
  <si>
    <t>Elite Storage 924</t>
  </si>
  <si>
    <t>ORD-2025-10055</t>
  </si>
  <si>
    <t>CUST-9039</t>
  </si>
  <si>
    <t>Pro Labels 957</t>
  </si>
  <si>
    <t>ORD-2025-10056</t>
  </si>
  <si>
    <t>CUST-9821</t>
  </si>
  <si>
    <t>Machines</t>
  </si>
  <si>
    <t>Classic Machines 310</t>
  </si>
  <si>
    <t>ORD-2025-10057</t>
  </si>
  <si>
    <t>CUST-8701</t>
  </si>
  <si>
    <t>Smart Binders 393</t>
  </si>
  <si>
    <t>ORD-2024-10058</t>
  </si>
  <si>
    <t>CUST-9941</t>
  </si>
  <si>
    <t>Max Chairs 813</t>
  </si>
  <si>
    <t>ORD-2024-10059</t>
  </si>
  <si>
    <t>CUST-3983</t>
  </si>
  <si>
    <t>Basic Storage 872</t>
  </si>
  <si>
    <t>ORD-2024-10060</t>
  </si>
  <si>
    <t>CUST-2418</t>
  </si>
  <si>
    <t>Smart Labels 655</t>
  </si>
  <si>
    <t>ORD-2024-10061</t>
  </si>
  <si>
    <t>CUST-2892</t>
  </si>
  <si>
    <t>Eco Labels 210</t>
  </si>
  <si>
    <t>ORD-2024-10062</t>
  </si>
  <si>
    <t>CUST-7008</t>
  </si>
  <si>
    <t>Classic Bookcases 296</t>
  </si>
  <si>
    <t>ORD-2024-10063</t>
  </si>
  <si>
    <t>CUST-4900</t>
  </si>
  <si>
    <t>Basic Phones 230</t>
  </si>
  <si>
    <t>ORD-2024-10064</t>
  </si>
  <si>
    <t>CUST-5382</t>
  </si>
  <si>
    <t>Pro Binders 690</t>
  </si>
  <si>
    <t>ORD-2024-10065</t>
  </si>
  <si>
    <t>CUST-2749</t>
  </si>
  <si>
    <t>Classic Paper 458</t>
  </si>
  <si>
    <t>ORD-2024-10066</t>
  </si>
  <si>
    <t>CUST-2463</t>
  </si>
  <si>
    <t>Pro Paper 552</t>
  </si>
  <si>
    <t>ORD-2025-10067</t>
  </si>
  <si>
    <t>CUST-1504</t>
  </si>
  <si>
    <t>Elite Accessories 187</t>
  </si>
  <si>
    <t>ORD-2025-10068</t>
  </si>
  <si>
    <t>CUST-8282</t>
  </si>
  <si>
    <t>Eco Paper 922</t>
  </si>
  <si>
    <t>ORD-2024-10069</t>
  </si>
  <si>
    <t>CUST-6054</t>
  </si>
  <si>
    <t>Pro Storage 975</t>
  </si>
  <si>
    <t>ORD-2024-10070</t>
  </si>
  <si>
    <t>CUST-5979</t>
  </si>
  <si>
    <t>Prime Machines 782</t>
  </si>
  <si>
    <t>ORD-2025-10071</t>
  </si>
  <si>
    <t>CUST-5582</t>
  </si>
  <si>
    <t>Max Phones 661</t>
  </si>
  <si>
    <t>ORD-2025-10072</t>
  </si>
  <si>
    <t>CUST-3308</t>
  </si>
  <si>
    <t>Elite Machines 836</t>
  </si>
  <si>
    <t>ORD-2024-10073</t>
  </si>
  <si>
    <t>CUST-5018</t>
  </si>
  <si>
    <t>Prime Tables 902</t>
  </si>
  <si>
    <t>ORD-2025-10074</t>
  </si>
  <si>
    <t>CUST-2342</t>
  </si>
  <si>
    <t>Smart Bookcases 167</t>
  </si>
  <si>
    <t>ORD-2025-10075</t>
  </si>
  <si>
    <t>CUST-6201</t>
  </si>
  <si>
    <t>Max Chairs 244</t>
  </si>
  <si>
    <t>ORD-2025-10076</t>
  </si>
  <si>
    <t>CUST-5808</t>
  </si>
  <si>
    <t>Eco Labels 653</t>
  </si>
  <si>
    <t>ORD-2024-10077</t>
  </si>
  <si>
    <t>CUST-2642</t>
  </si>
  <si>
    <t>Max Labels 617</t>
  </si>
  <si>
    <t>ORD-2025-10078</t>
  </si>
  <si>
    <t>CUST-4385</t>
  </si>
  <si>
    <t>Pro Furnishings 529</t>
  </si>
  <si>
    <t>ORD-2025-10079</t>
  </si>
  <si>
    <t>CUST-8043</t>
  </si>
  <si>
    <t>Smart Tables 561</t>
  </si>
  <si>
    <t>ORD-2025-10080</t>
  </si>
  <si>
    <t>CUST-9978</t>
  </si>
  <si>
    <t>Prime Chairs 838</t>
  </si>
  <si>
    <t>ORD-2024-10081</t>
  </si>
  <si>
    <t>CUST-2094</t>
  </si>
  <si>
    <t>Delhi</t>
  </si>
  <si>
    <t>New Delhi</t>
  </si>
  <si>
    <t>Elite Storage 371</t>
  </si>
  <si>
    <t>ORD-2025-10082</t>
  </si>
  <si>
    <t>CUST-7907</t>
  </si>
  <si>
    <t>Eco Labels 662</t>
  </si>
  <si>
    <t>ORD-2024-10083</t>
  </si>
  <si>
    <t>CUST-6516</t>
  </si>
  <si>
    <t>Smart Copiers 702</t>
  </si>
  <si>
    <t>ORD-2024-10084</t>
  </si>
  <si>
    <t>CUST-4989</t>
  </si>
  <si>
    <t>Elite Tables 362</t>
  </si>
  <si>
    <t>ORD-2024-10085</t>
  </si>
  <si>
    <t>CUST-3758</t>
  </si>
  <si>
    <t>Elite Phones 781</t>
  </si>
  <si>
    <t>ORD-2024-10086</t>
  </si>
  <si>
    <t>CUST-6702</t>
  </si>
  <si>
    <t>Eco Binders 456</t>
  </si>
  <si>
    <t>ORD-2024-10087</t>
  </si>
  <si>
    <t>CUST-9148</t>
  </si>
  <si>
    <t>Basic Copiers 525</t>
  </si>
  <si>
    <t>ORD-2024-10088</t>
  </si>
  <si>
    <t>CUST-5829</t>
  </si>
  <si>
    <t>Eco Binders 258</t>
  </si>
  <si>
    <t>ORD-2024-10089</t>
  </si>
  <si>
    <t>CUST-6059</t>
  </si>
  <si>
    <t>Max Bookcases 398</t>
  </si>
  <si>
    <t>ORD-2024-10090</t>
  </si>
  <si>
    <t>CUST-7744</t>
  </si>
  <si>
    <t>Smart Bookcases 857</t>
  </si>
  <si>
    <t>ORD-2025-10091</t>
  </si>
  <si>
    <t>CUST-5909</t>
  </si>
  <si>
    <t>Smart Copiers 556</t>
  </si>
  <si>
    <t>ORD-2025-10092</t>
  </si>
  <si>
    <t>CUST-6409</t>
  </si>
  <si>
    <t>Prime Copiers 575</t>
  </si>
  <si>
    <t>ORD-2025-10093</t>
  </si>
  <si>
    <t>CUST-3014</t>
  </si>
  <si>
    <t>Elite Paper 669</t>
  </si>
  <si>
    <t>ORD-2024-10094</t>
  </si>
  <si>
    <t>CUST-6106</t>
  </si>
  <si>
    <t>Eco Binders 780</t>
  </si>
  <si>
    <t>ORD-2024-10095</t>
  </si>
  <si>
    <t>CUST-1926</t>
  </si>
  <si>
    <t>Elite Phones 723</t>
  </si>
  <si>
    <t>ORD-2025-10096</t>
  </si>
  <si>
    <t>CUST-2687</t>
  </si>
  <si>
    <t>Classic Bookcases 988</t>
  </si>
  <si>
    <t>ORD-2024-10097</t>
  </si>
  <si>
    <t>CUST-7283</t>
  </si>
  <si>
    <t>Smart Copiers 547</t>
  </si>
  <si>
    <t>ORD-2025-10098</t>
  </si>
  <si>
    <t>CUST-8111</t>
  </si>
  <si>
    <t>Basic Storage 656</t>
  </si>
  <si>
    <t>ORD-2024-10099</t>
  </si>
  <si>
    <t>CUST-5434</t>
  </si>
  <si>
    <t>Elite Copiers 785</t>
  </si>
  <si>
    <t>ORD-2025-10100</t>
  </si>
  <si>
    <t>CUST-3865</t>
  </si>
  <si>
    <t>Smart Accessories 542</t>
  </si>
  <si>
    <t>ORD-2025-10101</t>
  </si>
  <si>
    <t>CUST-6015</t>
  </si>
  <si>
    <t>Eco Storage 936</t>
  </si>
  <si>
    <t>ORD-2024-10102</t>
  </si>
  <si>
    <t>CUST-7909</t>
  </si>
  <si>
    <t>Classic Furnishings 682</t>
  </si>
  <si>
    <t>ORD-2025-10103</t>
  </si>
  <si>
    <t>CUST-9603</t>
  </si>
  <si>
    <t>Classic Chairs 604</t>
  </si>
  <si>
    <t>ORD-2025-10104</t>
  </si>
  <si>
    <t>CUST-6263</t>
  </si>
  <si>
    <t>Prime Tables 377</t>
  </si>
  <si>
    <t>ORD-2025-10105</t>
  </si>
  <si>
    <t>CUST-1576</t>
  </si>
  <si>
    <t>Prime Labels 807</t>
  </si>
  <si>
    <t>ORD-2024-10106</t>
  </si>
  <si>
    <t>CUST-6540</t>
  </si>
  <si>
    <t>Eco Tables 575</t>
  </si>
  <si>
    <t>ORD-2024-10107</t>
  </si>
  <si>
    <t>CUST-4008</t>
  </si>
  <si>
    <t>Eco Paper 918</t>
  </si>
  <si>
    <t>ORD-2024-10108</t>
  </si>
  <si>
    <t>CUST-6604</t>
  </si>
  <si>
    <t>Prime Furnishings 952</t>
  </si>
  <si>
    <t>ORD-2024-10109</t>
  </si>
  <si>
    <t>CUST-4337</t>
  </si>
  <si>
    <t>Prime Bookcases 631</t>
  </si>
  <si>
    <t>ORD-2025-10110</t>
  </si>
  <si>
    <t>CUST-3740</t>
  </si>
  <si>
    <t>Classic Binders 660</t>
  </si>
  <si>
    <t>ORD-2024-10111</t>
  </si>
  <si>
    <t>CUST-7128</t>
  </si>
  <si>
    <t>Pro Labels 255</t>
  </si>
  <si>
    <t>ORD-2025-10112</t>
  </si>
  <si>
    <t>CUST-4743</t>
  </si>
  <si>
    <t>Basic Accessories 187</t>
  </si>
  <si>
    <t>ORD-2024-10113</t>
  </si>
  <si>
    <t>CUST-5213</t>
  </si>
  <si>
    <t>Max Accessories 451</t>
  </si>
  <si>
    <t>ORD-2024-10114</t>
  </si>
  <si>
    <t>Classic Tables 752</t>
  </si>
  <si>
    <t>ORD-2024-10115</t>
  </si>
  <si>
    <t>CUST-2927</t>
  </si>
  <si>
    <t>Eco Accessories 452</t>
  </si>
  <si>
    <t>ORD-2024-10116</t>
  </si>
  <si>
    <t>CUST-7764</t>
  </si>
  <si>
    <t>Classic Binders 203</t>
  </si>
  <si>
    <t>ORD-2025-10117</t>
  </si>
  <si>
    <t>CUST-3632</t>
  </si>
  <si>
    <t>Basic Binders 859</t>
  </si>
  <si>
    <t>ORD-2024-10118</t>
  </si>
  <si>
    <t>CUST-9608</t>
  </si>
  <si>
    <t>Elite Machines 705</t>
  </si>
  <si>
    <t>70%</t>
  </si>
  <si>
    <t>ORD-2024-10119</t>
  </si>
  <si>
    <t>CUST-9135</t>
  </si>
  <si>
    <t>Pro Copiers 208</t>
  </si>
  <si>
    <t>ORD-2024-10120</t>
  </si>
  <si>
    <t>CUST-7861</t>
  </si>
  <si>
    <t>Elite Chairs 921</t>
  </si>
  <si>
    <t>ORD-2024-10121</t>
  </si>
  <si>
    <t>CUST-6096</t>
  </si>
  <si>
    <t>Prime Phones 540</t>
  </si>
  <si>
    <t>ORD-2025-10122</t>
  </si>
  <si>
    <t>CUST-2044</t>
  </si>
  <si>
    <t>Max Machines 948</t>
  </si>
  <si>
    <t>ORD-2024-10123</t>
  </si>
  <si>
    <t>CUST-1721</t>
  </si>
  <si>
    <t>Max Chairs 786</t>
  </si>
  <si>
    <t>ORD-2024-10124</t>
  </si>
  <si>
    <t>CUST-1007</t>
  </si>
  <si>
    <t>NORTH</t>
  </si>
  <si>
    <t>Max Copiers 970</t>
  </si>
  <si>
    <t>ORD-2024-10125</t>
  </si>
  <si>
    <t>CUST-4450</t>
  </si>
  <si>
    <t>Pro Copiers 769</t>
  </si>
  <si>
    <t>ORD-2025-10126</t>
  </si>
  <si>
    <t>CUST-7924</t>
  </si>
  <si>
    <t>Basic Tables 753</t>
  </si>
  <si>
    <t>ORD-2025-10127</t>
  </si>
  <si>
    <t>CUST-1715</t>
  </si>
  <si>
    <t>Prime Copiers 651</t>
  </si>
  <si>
    <t>ORD-2025-10128</t>
  </si>
  <si>
    <t>CUST-6802</t>
  </si>
  <si>
    <t>Basic Storage 321</t>
  </si>
  <si>
    <t>ORD-2024-10129</t>
  </si>
  <si>
    <t>CUST-9328</t>
  </si>
  <si>
    <t>Prime Furnishings 710</t>
  </si>
  <si>
    <t>ORD-2024-10130</t>
  </si>
  <si>
    <t>CUST-2588</t>
  </si>
  <si>
    <t>Elite Binders 723</t>
  </si>
  <si>
    <t>ORD-2024-10131</t>
  </si>
  <si>
    <t>CUST-5435</t>
  </si>
  <si>
    <t>Smart Labels 878</t>
  </si>
  <si>
    <t>ORD-2025-10132</t>
  </si>
  <si>
    <t>CUST-7637</t>
  </si>
  <si>
    <t>Pro Paper 934</t>
  </si>
  <si>
    <t>ORD-2024-10133</t>
  </si>
  <si>
    <t>CUST-3602</t>
  </si>
  <si>
    <t>Classic Machines 886</t>
  </si>
  <si>
    <t>ORD-2024-10134</t>
  </si>
  <si>
    <t>CUST-9441</t>
  </si>
  <si>
    <t>Prime Phones 419</t>
  </si>
  <si>
    <t>ORD-2025-10135</t>
  </si>
  <si>
    <t>CUST-7361</t>
  </si>
  <si>
    <t>Elite Bookcases 266</t>
  </si>
  <si>
    <t>ORD-2025-10136</t>
  </si>
  <si>
    <t>CUST-1148</t>
  </si>
  <si>
    <t>Prime Bookcases 954</t>
  </si>
  <si>
    <t>ORD-2025-10137</t>
  </si>
  <si>
    <t>CUST-3350</t>
  </si>
  <si>
    <t>Max Binders 362</t>
  </si>
  <si>
    <t>ORD-2025-10138</t>
  </si>
  <si>
    <t>CUST-7932</t>
  </si>
  <si>
    <t>Prime Chairs 261</t>
  </si>
  <si>
    <t>ORD-2024-10139</t>
  </si>
  <si>
    <t>CUST-7173</t>
  </si>
  <si>
    <t>Basic Machines 185</t>
  </si>
  <si>
    <t>ORD-2025-10140</t>
  </si>
  <si>
    <t>CUST-4225</t>
  </si>
  <si>
    <t>Basic Labels 509</t>
  </si>
  <si>
    <t>ORD-2024-10141</t>
  </si>
  <si>
    <t>CUST-2149</t>
  </si>
  <si>
    <t>Elite Bookcases 696</t>
  </si>
  <si>
    <t>ORD-2024-10142</t>
  </si>
  <si>
    <t>CUST-3314</t>
  </si>
  <si>
    <t>Elite Bookcases 772</t>
  </si>
  <si>
    <t>ORD-2024-10143</t>
  </si>
  <si>
    <t>CUST-8944</t>
  </si>
  <si>
    <t>Classic Phones 142</t>
  </si>
  <si>
    <t>ORD-2024-10144</t>
  </si>
  <si>
    <t>CUST-3144</t>
  </si>
  <si>
    <t>Pro Paper 575</t>
  </si>
  <si>
    <t>ORD-2024-10145</t>
  </si>
  <si>
    <t>CUST-6747</t>
  </si>
  <si>
    <t>Elite Accessories 905</t>
  </si>
  <si>
    <t>ORD-2025-10146</t>
  </si>
  <si>
    <t>CUST-6161</t>
  </si>
  <si>
    <t>Smart Paper 899</t>
  </si>
  <si>
    <t>ORD-2025-10147</t>
  </si>
  <si>
    <t>CUST-1460</t>
  </si>
  <si>
    <t>Classic Storage 423</t>
  </si>
  <si>
    <t>ORD-2024-10148</t>
  </si>
  <si>
    <t>CUST-2692</t>
  </si>
  <si>
    <t>Classic Furnishings 743</t>
  </si>
  <si>
    <t>ORD-2025-10149</t>
  </si>
  <si>
    <t>CUST-2822</t>
  </si>
  <si>
    <t>Smart Phones 336</t>
  </si>
  <si>
    <t>ORD-2024-10150</t>
  </si>
  <si>
    <t>CUST-5876</t>
  </si>
  <si>
    <t>Eco Copiers 381</t>
  </si>
  <si>
    <t>ORD-2024-10151</t>
  </si>
  <si>
    <t>CUST-4661</t>
  </si>
  <si>
    <t>Max Bookcases 595</t>
  </si>
  <si>
    <t>ORD-2024-10152</t>
  </si>
  <si>
    <t>CUST-6011</t>
  </si>
  <si>
    <t>Max Copiers 992</t>
  </si>
  <si>
    <t>ORD-2024-10153</t>
  </si>
  <si>
    <t>CUST-6160</t>
  </si>
  <si>
    <t>Pro Tables 407</t>
  </si>
  <si>
    <t>ORD-2025-10154</t>
  </si>
  <si>
    <t>CUST-6971</t>
  </si>
  <si>
    <t>Prime Labels 559</t>
  </si>
  <si>
    <t>ORD-2024-10155</t>
  </si>
  <si>
    <t>Classic Bookcases 847</t>
  </si>
  <si>
    <t>ORD-2025-10156</t>
  </si>
  <si>
    <t>CUST-8327</t>
  </si>
  <si>
    <t>Classic Furnishings 655</t>
  </si>
  <si>
    <t>ORD-2025-10157</t>
  </si>
  <si>
    <t>CUST-4058</t>
  </si>
  <si>
    <t>Eco Machines 657</t>
  </si>
  <si>
    <t>ORD-2024-10158</t>
  </si>
  <si>
    <t>CUST-1142</t>
  </si>
  <si>
    <t>Pro Bookcases 430</t>
  </si>
  <si>
    <t>ORD-2024-10159</t>
  </si>
  <si>
    <t>CUST-2324</t>
  </si>
  <si>
    <t>Max Bookcases 881</t>
  </si>
  <si>
    <t>ORD-2025-10160</t>
  </si>
  <si>
    <t>CUST-7717</t>
  </si>
  <si>
    <t>Elite Chairs 998</t>
  </si>
  <si>
    <t>ORD-2025-10161</t>
  </si>
  <si>
    <t>CUST-4932</t>
  </si>
  <si>
    <t>Max Paper 113</t>
  </si>
  <si>
    <t>ORD-2025-10162</t>
  </si>
  <si>
    <t>CUST-2367</t>
  </si>
  <si>
    <t>Smart Binders 267</t>
  </si>
  <si>
    <t>ORD-2024-10163</t>
  </si>
  <si>
    <t>CUST-4830</t>
  </si>
  <si>
    <t>Pro Furnishings 108</t>
  </si>
  <si>
    <t>ORD-2025-10164</t>
  </si>
  <si>
    <t>CUST-2548</t>
  </si>
  <si>
    <t>Elite Tables 389</t>
  </si>
  <si>
    <t>ORD-2025-10165</t>
  </si>
  <si>
    <t>CUST-3833</t>
  </si>
  <si>
    <t>Pro Bookcases 595</t>
  </si>
  <si>
    <t>ORD-2024-10166</t>
  </si>
  <si>
    <t>CUST-4598</t>
  </si>
  <si>
    <t>Max Chairs 148</t>
  </si>
  <si>
    <t>ORD-2025-10167</t>
  </si>
  <si>
    <t>CUST-7215</t>
  </si>
  <si>
    <t>Basic Labels 671</t>
  </si>
  <si>
    <t>ORD-2025-10168</t>
  </si>
  <si>
    <t>CUST-7770</t>
  </si>
  <si>
    <t>Elite Storage 628</t>
  </si>
  <si>
    <t>ORD-2025-10169</t>
  </si>
  <si>
    <t>CUST-9756</t>
  </si>
  <si>
    <t>Eco Accessories 590</t>
  </si>
  <si>
    <t>ORD-2025-10170</t>
  </si>
  <si>
    <t>CUST-2261</t>
  </si>
  <si>
    <t>Pro Art 734</t>
  </si>
  <si>
    <t>ORD-2025-10171</t>
  </si>
  <si>
    <t>CUST-3734</t>
  </si>
  <si>
    <t>Eco Copiers 102</t>
  </si>
  <si>
    <t>ORD-2025-10172</t>
  </si>
  <si>
    <t>CUST-3436</t>
  </si>
  <si>
    <t>Basic Labels 876</t>
  </si>
  <si>
    <t>ORD-2025-10173</t>
  </si>
  <si>
    <t>CUST-4845</t>
  </si>
  <si>
    <t>Prime Furnishings 381</t>
  </si>
  <si>
    <t>ORD-2024-10174</t>
  </si>
  <si>
    <t>CUST-6153</t>
  </si>
  <si>
    <t>Prime Copiers 440</t>
  </si>
  <si>
    <t>ORD-2025-10175</t>
  </si>
  <si>
    <t>CUST-5475</t>
  </si>
  <si>
    <t>Pro Bookcases 319</t>
  </si>
  <si>
    <t>ORD-2024-10176</t>
  </si>
  <si>
    <t>CUST-5580</t>
  </si>
  <si>
    <t>Basic Machines 584</t>
  </si>
  <si>
    <t>ORD-2025-10177</t>
  </si>
  <si>
    <t>CUST-3027</t>
  </si>
  <si>
    <t>Pro Bookcases 612</t>
  </si>
  <si>
    <t>ORD-2024-10178</t>
  </si>
  <si>
    <t>CUST-4399</t>
  </si>
  <si>
    <t>Classic Art 573</t>
  </si>
  <si>
    <t>ORD-2024-10179</t>
  </si>
  <si>
    <t>CUST-3092</t>
  </si>
  <si>
    <t>Eco Art 854</t>
  </si>
  <si>
    <t>ORD-2024-10180</t>
  </si>
  <si>
    <t>CUST-1778</t>
  </si>
  <si>
    <t>Classic Furnishings 996</t>
  </si>
  <si>
    <t>ORD-2024-10181</t>
  </si>
  <si>
    <t>CUST-3787</t>
  </si>
  <si>
    <t>Prime Binders 735</t>
  </si>
  <si>
    <t>ORD-2025-10182</t>
  </si>
  <si>
    <t>CUST-5119</t>
  </si>
  <si>
    <t>Pro Art 587</t>
  </si>
  <si>
    <t>ORD-2024-10183</t>
  </si>
  <si>
    <t>CUST-4121</t>
  </si>
  <si>
    <t>Basic Machines 575</t>
  </si>
  <si>
    <t>ORD-2025-10184</t>
  </si>
  <si>
    <t>CUST-3366</t>
  </si>
  <si>
    <t>Elite Copiers 788</t>
  </si>
  <si>
    <t>ORD-2024-10185</t>
  </si>
  <si>
    <t>CUST-1358</t>
  </si>
  <si>
    <t>Max Bookcases 472</t>
  </si>
  <si>
    <t>ORD-2024-10186</t>
  </si>
  <si>
    <t>CUST-4968</t>
  </si>
  <si>
    <t>Smart Labels 475</t>
  </si>
  <si>
    <t>ORD-2024-10187</t>
  </si>
  <si>
    <t>Basic Tables 417</t>
  </si>
  <si>
    <t>ORD-2025-10188</t>
  </si>
  <si>
    <t>CUST-3109</t>
  </si>
  <si>
    <t>Pro Chairs 844</t>
  </si>
  <si>
    <t>ORD-2025-10189</t>
  </si>
  <si>
    <t>CUST-3422</t>
  </si>
  <si>
    <t>Elite Bookcases 883</t>
  </si>
  <si>
    <t>ORD-2025-10190</t>
  </si>
  <si>
    <t>CUST-3375</t>
  </si>
  <si>
    <t>Basic Bookcases 754</t>
  </si>
  <si>
    <t>ORD-2025-10191</t>
  </si>
  <si>
    <t>CUST-5138</t>
  </si>
  <si>
    <t>Eco Storage 158</t>
  </si>
  <si>
    <t>ORD-2024-10192</t>
  </si>
  <si>
    <t>CUST-7410</t>
  </si>
  <si>
    <t>Prime Bookcases 602</t>
  </si>
  <si>
    <t>ORD-2024-10193</t>
  </si>
  <si>
    <t>CUST-7115</t>
  </si>
  <si>
    <t>Eco Chairs 438</t>
  </si>
  <si>
    <t>ORD-2024-10194</t>
  </si>
  <si>
    <t>CUST-9853</t>
  </si>
  <si>
    <t>Prime Copiers 142</t>
  </si>
  <si>
    <t>ORD-2025-10195</t>
  </si>
  <si>
    <t>CUST-3637</t>
  </si>
  <si>
    <t>Prime Furnishings 433</t>
  </si>
  <si>
    <t>ORD-2025-10196</t>
  </si>
  <si>
    <t>CUST-4328</t>
  </si>
  <si>
    <t>Smart Furnishings 685</t>
  </si>
  <si>
    <t>ORD-2024-10197</t>
  </si>
  <si>
    <t>CUST-8028</t>
  </si>
  <si>
    <t>Elite Storage 915</t>
  </si>
  <si>
    <t>ORD-2025-10198</t>
  </si>
  <si>
    <t>Basic Storage 961</t>
  </si>
  <si>
    <t>ORD-2024-10199</t>
  </si>
  <si>
    <t>CUST-7820</t>
  </si>
  <si>
    <t>Classic Art 968</t>
  </si>
  <si>
    <t>ORD-2024-10200</t>
  </si>
  <si>
    <t>CUST-4536</t>
  </si>
  <si>
    <t>Prime Machines 806</t>
  </si>
  <si>
    <t>ORD-2025-10201</t>
  </si>
  <si>
    <t>CUST-7047</t>
  </si>
  <si>
    <t>Classic Copiers 479</t>
  </si>
  <si>
    <t>ORD-2025-10202</t>
  </si>
  <si>
    <t>CUST-8005</t>
  </si>
  <si>
    <t>Basic Labels 511</t>
  </si>
  <si>
    <t>ORD-2025-10203</t>
  </si>
  <si>
    <t>CUST-9378</t>
  </si>
  <si>
    <t>Prime Accessories 733</t>
  </si>
  <si>
    <t>ORD-2024-10204</t>
  </si>
  <si>
    <t>CUST-3384</t>
  </si>
  <si>
    <t>Max Accessories 186</t>
  </si>
  <si>
    <t>ORD-2025-10205</t>
  </si>
  <si>
    <t>CUST-1986</t>
  </si>
  <si>
    <t>Elite Tables 318</t>
  </si>
  <si>
    <t>ORD-2025-10206</t>
  </si>
  <si>
    <t>CUST-3338</t>
  </si>
  <si>
    <t>Smart Labels 354</t>
  </si>
  <si>
    <t>ORD-2025-10207</t>
  </si>
  <si>
    <t>CUST-2343</t>
  </si>
  <si>
    <t>Pro Furnishings 981</t>
  </si>
  <si>
    <t>ORD-2024-10208</t>
  </si>
  <si>
    <t>CUST-3362</t>
  </si>
  <si>
    <t>Eco Bookcases 671</t>
  </si>
  <si>
    <t>ORD-2025-10209</t>
  </si>
  <si>
    <t>CUST-3662</t>
  </si>
  <si>
    <t>Max Chairs 151</t>
  </si>
  <si>
    <t>ORD-2025-10210</t>
  </si>
  <si>
    <t>CUST-4947</t>
  </si>
  <si>
    <t>Prime Paper 903</t>
  </si>
  <si>
    <t>ORD-2024-10211</t>
  </si>
  <si>
    <t>CUST-3076</t>
  </si>
  <si>
    <t>Classic Machines 944</t>
  </si>
  <si>
    <t>ORD-2024-10212</t>
  </si>
  <si>
    <t>CUST-2222</t>
  </si>
  <si>
    <t>Basic Copiers 222</t>
  </si>
  <si>
    <t>ORD-2024-10213</t>
  </si>
  <si>
    <t>CUST-3610</t>
  </si>
  <si>
    <t>Max Phones 329</t>
  </si>
  <si>
    <t>ORD-2024-10214</t>
  </si>
  <si>
    <t>CUST-9136</t>
  </si>
  <si>
    <t>Classic Accessories 840</t>
  </si>
  <si>
    <t>ORD-2024-10215</t>
  </si>
  <si>
    <t>CUST-1301</t>
  </si>
  <si>
    <t>Classic Accessories 757</t>
  </si>
  <si>
    <t>ORD-2024-10216</t>
  </si>
  <si>
    <t>CUST-8603</t>
  </si>
  <si>
    <t>Prime Paper 286</t>
  </si>
  <si>
    <t>ORD-2025-10217</t>
  </si>
  <si>
    <t>CUST-4330</t>
  </si>
  <si>
    <t>Basic Tables 400</t>
  </si>
  <si>
    <t>ORD-2025-10218</t>
  </si>
  <si>
    <t>CUST-4533</t>
  </si>
  <si>
    <t>Basic Bookcases 405</t>
  </si>
  <si>
    <t>ORD-2025-10219</t>
  </si>
  <si>
    <t>CUST-8270</t>
  </si>
  <si>
    <t>Classic Bookcases 139</t>
  </si>
  <si>
    <t>ORD-2024-10220</t>
  </si>
  <si>
    <t>CUST-1472</t>
  </si>
  <si>
    <t>Elite Machines 290</t>
  </si>
  <si>
    <t>85%</t>
  </si>
  <si>
    <t>ORD-2024-10221</t>
  </si>
  <si>
    <t>CUST-1031</t>
  </si>
  <si>
    <t>Elite Storage 925</t>
  </si>
  <si>
    <t>ORD-2025-10222</t>
  </si>
  <si>
    <t>CUST-2495</t>
  </si>
  <si>
    <t>Classic Chairs 231</t>
  </si>
  <si>
    <t>ORD-2025-10223</t>
  </si>
  <si>
    <t>CUST-4583</t>
  </si>
  <si>
    <t>Prime Storage 818</t>
  </si>
  <si>
    <t>ORD-2025-10224</t>
  </si>
  <si>
    <t>CUST-5319</t>
  </si>
  <si>
    <t>Elite Furnishings 449</t>
  </si>
  <si>
    <t>ORD-2025-10225</t>
  </si>
  <si>
    <t>CUST-9871</t>
  </si>
  <si>
    <t>Classic Furnishings 109</t>
  </si>
  <si>
    <t>ORD-2024-10226</t>
  </si>
  <si>
    <t>CUST-1266</t>
  </si>
  <si>
    <t>Classic Phones 548</t>
  </si>
  <si>
    <t>ORD-2025-10227</t>
  </si>
  <si>
    <t>CUST-2545</t>
  </si>
  <si>
    <t>Max Copiers 363</t>
  </si>
  <si>
    <t>ORD-2024-10228</t>
  </si>
  <si>
    <t>CUST-2819</t>
  </si>
  <si>
    <t>Prime Binders 507</t>
  </si>
  <si>
    <t>ORD-2024-10229</t>
  </si>
  <si>
    <t>CUST-1076</t>
  </si>
  <si>
    <t>Smart Labels 914</t>
  </si>
  <si>
    <t>ORD-2025-10230</t>
  </si>
  <si>
    <t>CUST-1943</t>
  </si>
  <si>
    <t>Smart Bookcases 662</t>
  </si>
  <si>
    <t>ORD-2024-10231</t>
  </si>
  <si>
    <t>CUST-3434</t>
  </si>
  <si>
    <t>Eco Paper 937</t>
  </si>
  <si>
    <t>ORD-2024-10232</t>
  </si>
  <si>
    <t>CUST-9139</t>
  </si>
  <si>
    <t>Max Labels 370</t>
  </si>
  <si>
    <t>ORD-2025-10233</t>
  </si>
  <si>
    <t>CUST-5341</t>
  </si>
  <si>
    <t>Classic Phones 530</t>
  </si>
  <si>
    <t>ORD-2024-10234</t>
  </si>
  <si>
    <t>CUST-3710</t>
  </si>
  <si>
    <t>Smart Bookcases 328</t>
  </si>
  <si>
    <t>ORD-2024-10235</t>
  </si>
  <si>
    <t>CUST-9754</t>
  </si>
  <si>
    <t>Eco Furnishings 981</t>
  </si>
  <si>
    <t>ORD-2024-10236</t>
  </si>
  <si>
    <t>CUST-6256</t>
  </si>
  <si>
    <t>Basic Storage 195</t>
  </si>
  <si>
    <t>ORD-2024-10237</t>
  </si>
  <si>
    <t>CUST-7113</t>
  </si>
  <si>
    <t>Elite Bookcases 907</t>
  </si>
  <si>
    <t>ORD-2024-10238</t>
  </si>
  <si>
    <t>CUST-3827</t>
  </si>
  <si>
    <t>Smart Copiers 471</t>
  </si>
  <si>
    <t>ORD-2024-10239</t>
  </si>
  <si>
    <t>CUST-2375</t>
  </si>
  <si>
    <t>Prime Storage 625</t>
  </si>
  <si>
    <t>ORD-2024-10240</t>
  </si>
  <si>
    <t>CUST-2233</t>
  </si>
  <si>
    <t>Smart Machines 801</t>
  </si>
  <si>
    <t>ORD-2024-10241</t>
  </si>
  <si>
    <t>CUST-9778</t>
  </si>
  <si>
    <t>Max Binders 170</t>
  </si>
  <si>
    <t>ORD-2025-10242</t>
  </si>
  <si>
    <t>CUST-6949</t>
  </si>
  <si>
    <t>Basic Storage 737</t>
  </si>
  <si>
    <t>ORD-2025-10243</t>
  </si>
  <si>
    <t>CUST-3430</t>
  </si>
  <si>
    <t>Classic Art 126</t>
  </si>
  <si>
    <t>ORD-2025-10244</t>
  </si>
  <si>
    <t>CUST-6310</t>
  </si>
  <si>
    <t>Prime Accessories 243</t>
  </si>
  <si>
    <t>ORD-2024-10245</t>
  </si>
  <si>
    <t>CUST-6008</t>
  </si>
  <si>
    <t>Eco Bookcases 768</t>
  </si>
  <si>
    <t>ORD-2024-10246</t>
  </si>
  <si>
    <t>CUST-1704</t>
  </si>
  <si>
    <t>Pro Chairs 316</t>
  </si>
  <si>
    <t>ORD-2024-10247</t>
  </si>
  <si>
    <t>CUST-1827</t>
  </si>
  <si>
    <t>Classic Machines 819</t>
  </si>
  <si>
    <t>ORD-2024-10248</t>
  </si>
  <si>
    <t>CUST-6663</t>
  </si>
  <si>
    <t>Smart Accessories 572</t>
  </si>
  <si>
    <t>ORD-2024-10249</t>
  </si>
  <si>
    <t>CUST-6278</t>
  </si>
  <si>
    <t>Basic Labels 432</t>
  </si>
  <si>
    <t>ORD-2025-10250</t>
  </si>
  <si>
    <t>CUST-2305</t>
  </si>
  <si>
    <t>Classic Furnishings 378</t>
  </si>
  <si>
    <t>ORD-2024-10251</t>
  </si>
  <si>
    <t>CUST-5351</t>
  </si>
  <si>
    <t>Prime Furnishings 781</t>
  </si>
  <si>
    <t>ORD-2025-10252</t>
  </si>
  <si>
    <t>CUST-6268</t>
  </si>
  <si>
    <t>Prime Tables 263</t>
  </si>
  <si>
    <t>ORD-2025-10253</t>
  </si>
  <si>
    <t>CUST-2103</t>
  </si>
  <si>
    <t>Basic Storage 269</t>
  </si>
  <si>
    <t>ORD-2024-10254</t>
  </si>
  <si>
    <t>CUST-5394</t>
  </si>
  <si>
    <t>Classic Phones 442</t>
  </si>
  <si>
    <t>ORD-2025-10255</t>
  </si>
  <si>
    <t>CUST-6853</t>
  </si>
  <si>
    <t>Elite Accessories 978</t>
  </si>
  <si>
    <t>ORD-2025-10256</t>
  </si>
  <si>
    <t>CUST-1549</t>
  </si>
  <si>
    <t>Eco Phones 132</t>
  </si>
  <si>
    <t>ORD-2024-10257</t>
  </si>
  <si>
    <t>CUST-8411</t>
  </si>
  <si>
    <t>Prime Tables 481</t>
  </si>
  <si>
    <t>ORD-2025-10258</t>
  </si>
  <si>
    <t>CUST-5615</t>
  </si>
  <si>
    <t>Smart Accessories 180</t>
  </si>
  <si>
    <t>ORD-2024-10259</t>
  </si>
  <si>
    <t>CUST-8467</t>
  </si>
  <si>
    <t>Smart Tables 774</t>
  </si>
  <si>
    <t>ORD-2024-10260</t>
  </si>
  <si>
    <t>CUST-5174</t>
  </si>
  <si>
    <t>Prime Machines 793</t>
  </si>
  <si>
    <t>ORD-2025-10261</t>
  </si>
  <si>
    <t>CUST-3543</t>
  </si>
  <si>
    <t>Elite Binders 827</t>
  </si>
  <si>
    <t>ORD-2025-10262</t>
  </si>
  <si>
    <t>CUST-7623</t>
  </si>
  <si>
    <t>Prime Labels 326</t>
  </si>
  <si>
    <t>ORD-2025-10263</t>
  </si>
  <si>
    <t>Eco Phones 245</t>
  </si>
  <si>
    <t>ORD-2025-10264</t>
  </si>
  <si>
    <t>CUST-8265</t>
  </si>
  <si>
    <t>Smart Binders 905</t>
  </si>
  <si>
    <t>ORD-2024-10265</t>
  </si>
  <si>
    <t>CUST-4750</t>
  </si>
  <si>
    <t>Pro Copiers 599</t>
  </si>
  <si>
    <t>ORD-2024-10266</t>
  </si>
  <si>
    <t>CUST-3974</t>
  </si>
  <si>
    <t>Basic Bookcases 570</t>
  </si>
  <si>
    <t>ORD-2025-10267</t>
  </si>
  <si>
    <t>CUST-7114</t>
  </si>
  <si>
    <t>Classic Storage 926</t>
  </si>
  <si>
    <t>ORD-2025-10268</t>
  </si>
  <si>
    <t>CUST-4431</t>
  </si>
  <si>
    <t>Basic Furnishings 372</t>
  </si>
  <si>
    <t>ORD-2025-10269</t>
  </si>
  <si>
    <t>CUST-1488</t>
  </si>
  <si>
    <t>Prime Accessories 367</t>
  </si>
  <si>
    <t>ORD-2025-10270</t>
  </si>
  <si>
    <t>CUST-1586</t>
  </si>
  <si>
    <t>Max Tables 526</t>
  </si>
  <si>
    <t>ORD-2024-10271</t>
  </si>
  <si>
    <t>CUST-2487</t>
  </si>
  <si>
    <t>Prime Machines 794</t>
  </si>
  <si>
    <t>ORD-2024-10272</t>
  </si>
  <si>
    <t>CUST-8009</t>
  </si>
  <si>
    <t>Max Binders 927</t>
  </si>
  <si>
    <t>ORD-2024-10273</t>
  </si>
  <si>
    <t>CUST-7389</t>
  </si>
  <si>
    <t>Eco Chairs 314</t>
  </si>
  <si>
    <t>ORD-2025-10274</t>
  </si>
  <si>
    <t>CUST-8249</t>
  </si>
  <si>
    <t>Basic Paper 657</t>
  </si>
  <si>
    <t>ORD-2024-10275</t>
  </si>
  <si>
    <t>CUST-4202</t>
  </si>
  <si>
    <t>Pro Copiers 406</t>
  </si>
  <si>
    <t>ORD-2024-10276</t>
  </si>
  <si>
    <t>CUST-2875</t>
  </si>
  <si>
    <t>Eco Furnishings 678</t>
  </si>
  <si>
    <t>ORD-2024-10277</t>
  </si>
  <si>
    <t>CUST-7039</t>
  </si>
  <si>
    <t>Basic Chairs 141</t>
  </si>
  <si>
    <t>ORD-2025-10278</t>
  </si>
  <si>
    <t>Elite Accessories 291</t>
  </si>
  <si>
    <t>ORD-2025-10279</t>
  </si>
  <si>
    <t>CUST-8242</t>
  </si>
  <si>
    <t>Pro Accessories 207</t>
  </si>
  <si>
    <t>ORD-2024-10280</t>
  </si>
  <si>
    <t>CUST-4571</t>
  </si>
  <si>
    <t>Max Storage 564</t>
  </si>
  <si>
    <t>ORD-2024-10281</t>
  </si>
  <si>
    <t>CUST-4098</t>
  </si>
  <si>
    <t>Prime Copiers 961</t>
  </si>
  <si>
    <t>ORD-2025-10282</t>
  </si>
  <si>
    <t>CUST-2052</t>
  </si>
  <si>
    <t>Basic Binders 637</t>
  </si>
  <si>
    <t>ORD-2024-10283</t>
  </si>
  <si>
    <t>CUST-9445</t>
  </si>
  <si>
    <t>Classic Tables 811</t>
  </si>
  <si>
    <t>ORD-2025-10284</t>
  </si>
  <si>
    <t>CUST-6568</t>
  </si>
  <si>
    <t>Classic Furnishings 819</t>
  </si>
  <si>
    <t>ORD-2024-10285</t>
  </si>
  <si>
    <t>CUST-2076</t>
  </si>
  <si>
    <t>Prime Tables 542</t>
  </si>
  <si>
    <t>ORD-2025-10286</t>
  </si>
  <si>
    <t>CUST-5610</t>
  </si>
  <si>
    <t>Basic Storage 771</t>
  </si>
  <si>
    <t>ORD-2024-10287</t>
  </si>
  <si>
    <t>CUST-5823</t>
  </si>
  <si>
    <t>Pro Furnishings 848</t>
  </si>
  <si>
    <t>ORD-2024-10288</t>
  </si>
  <si>
    <t>CUST-7095</t>
  </si>
  <si>
    <t>Prime Copiers 924</t>
  </si>
  <si>
    <t>ORD-2024-10289</t>
  </si>
  <si>
    <t>CUST-4805</t>
  </si>
  <si>
    <t>Classic Binders 721</t>
  </si>
  <si>
    <t>ORD-2025-10290</t>
  </si>
  <si>
    <t>CUST-9114</t>
  </si>
  <si>
    <t>Basic Bookcases 823</t>
  </si>
  <si>
    <t>ORD-2025-10291</t>
  </si>
  <si>
    <t>CUST-8557</t>
  </si>
  <si>
    <t>Classic Tables 178</t>
  </si>
  <si>
    <t>ORD-2024-10292</t>
  </si>
  <si>
    <t>CUST-2860</t>
  </si>
  <si>
    <t>Eco Binders 153</t>
  </si>
  <si>
    <t>ORD-2025-10293</t>
  </si>
  <si>
    <t>CUST-7837</t>
  </si>
  <si>
    <t>Classic Art 183</t>
  </si>
  <si>
    <t>ORD-2024-10294</t>
  </si>
  <si>
    <t>CUST-7010</t>
  </si>
  <si>
    <t>Pro Phones 455</t>
  </si>
  <si>
    <t>ORD-2025-10295</t>
  </si>
  <si>
    <t>CUST-4755</t>
  </si>
  <si>
    <t>Basic Phones 326</t>
  </si>
  <si>
    <t>ORD-2025-10296</t>
  </si>
  <si>
    <t>CUST-6778</t>
  </si>
  <si>
    <t>Max Binders 587</t>
  </si>
  <si>
    <t>ORD-2025-10297</t>
  </si>
  <si>
    <t>CUST-7629</t>
  </si>
  <si>
    <t>Basic Furnishings 617</t>
  </si>
  <si>
    <t>ORD-2024-10298</t>
  </si>
  <si>
    <t>CUST-6724</t>
  </si>
  <si>
    <t>Prime Copiers 669</t>
  </si>
  <si>
    <t>ORD-2025-10299</t>
  </si>
  <si>
    <t>CUST-2141</t>
  </si>
  <si>
    <t>Eco Copiers 894</t>
  </si>
  <si>
    <t>ORD-2024-10300</t>
  </si>
  <si>
    <t>CUST-7264</t>
  </si>
  <si>
    <t>Max Accessories 145</t>
  </si>
  <si>
    <t>ORD-2024-10301</t>
  </si>
  <si>
    <t>CUST-2668</t>
  </si>
  <si>
    <t>Classic Accessories 126</t>
  </si>
  <si>
    <t>ORD-2025-10302</t>
  </si>
  <si>
    <t>CUST-5599</t>
  </si>
  <si>
    <t>Elite Phones 202</t>
  </si>
  <si>
    <t>ORD-2025-10303</t>
  </si>
  <si>
    <t>CUST-1623</t>
  </si>
  <si>
    <t>Elite Storage 535</t>
  </si>
  <si>
    <t>ORD-2024-10304</t>
  </si>
  <si>
    <t>CUST-9035</t>
  </si>
  <si>
    <t>Elite Chairs 107</t>
  </si>
  <si>
    <t>ORD-2024-10305</t>
  </si>
  <si>
    <t>CUST-6286</t>
  </si>
  <si>
    <t>Pro Furnishings 991</t>
  </si>
  <si>
    <t>ORD-2024-10306</t>
  </si>
  <si>
    <t>CUST-7246</t>
  </si>
  <si>
    <t>Eco Chairs 105</t>
  </si>
  <si>
    <t>ORD-2025-10307</t>
  </si>
  <si>
    <t>CUST-2589</t>
  </si>
  <si>
    <t>Pro Phones 530</t>
  </si>
  <si>
    <t>ORD-2025-10308</t>
  </si>
  <si>
    <t>CUST-4153</t>
  </si>
  <si>
    <t>Basic Tables 911</t>
  </si>
  <si>
    <t>ORD-2025-10309</t>
  </si>
  <si>
    <t>CUST-6727</t>
  </si>
  <si>
    <t>Classic Tables 224</t>
  </si>
  <si>
    <t>ORD-2024-10310</t>
  </si>
  <si>
    <t>CUST-8860</t>
  </si>
  <si>
    <t>Prime Tables 214</t>
  </si>
  <si>
    <t>ORD-2024-10311</t>
  </si>
  <si>
    <t>CUST-3784</t>
  </si>
  <si>
    <t>Max Machines 988</t>
  </si>
  <si>
    <t>ORD-2024-10312</t>
  </si>
  <si>
    <t>CUST-3545</t>
  </si>
  <si>
    <t>Max Binders 425</t>
  </si>
  <si>
    <t>ORD-2024-10313</t>
  </si>
  <si>
    <t>CUST-4851</t>
  </si>
  <si>
    <t>Elite Phones 679</t>
  </si>
  <si>
    <t>ORD-2025-10314</t>
  </si>
  <si>
    <t>CUST-4770</t>
  </si>
  <si>
    <t>Pro Phones 764</t>
  </si>
  <si>
    <t>ORD-2025-10315</t>
  </si>
  <si>
    <t>CUST-1945</t>
  </si>
  <si>
    <t>Elite Labels 544</t>
  </si>
  <si>
    <t>ORD-2024-10316</t>
  </si>
  <si>
    <t>CUST-7565</t>
  </si>
  <si>
    <t>Smart Paper 817</t>
  </si>
  <si>
    <t>ORD-2024-10317</t>
  </si>
  <si>
    <t>CUST-9913</t>
  </si>
  <si>
    <t>Classic Labels 466</t>
  </si>
  <si>
    <t>ORD-2025-10318</t>
  </si>
  <si>
    <t>CUST-7992</t>
  </si>
  <si>
    <t>Pro Tables 778</t>
  </si>
  <si>
    <t>ORD-2024-10319</t>
  </si>
  <si>
    <t>CUST-8877</t>
  </si>
  <si>
    <t>Basic Phones 789</t>
  </si>
  <si>
    <t>ORD-2024-10320</t>
  </si>
  <si>
    <t>CUST-4589</t>
  </si>
  <si>
    <t>Prime Binders 554</t>
  </si>
  <si>
    <t>ORD-2024-10321</t>
  </si>
  <si>
    <t>CUST-4667</t>
  </si>
  <si>
    <t>Classic Art 299</t>
  </si>
  <si>
    <t>ORD-2024-10322</t>
  </si>
  <si>
    <t>CUST-7821</t>
  </si>
  <si>
    <t>Eco Accessories 220</t>
  </si>
  <si>
    <t>ORD-2024-10323</t>
  </si>
  <si>
    <t>CUST-8579</t>
  </si>
  <si>
    <t>Max Phones 422</t>
  </si>
  <si>
    <t>ORD-2024-10324</t>
  </si>
  <si>
    <t>CUST-6909</t>
  </si>
  <si>
    <t>ORD-2025-10325</t>
  </si>
  <si>
    <t>CUST-7212</t>
  </si>
  <si>
    <t>Basic Labels 102</t>
  </si>
  <si>
    <t>ORD-2025-10326</t>
  </si>
  <si>
    <t>CUST-7980</t>
  </si>
  <si>
    <t>Prime Copiers 170</t>
  </si>
  <si>
    <t>ORD-2025-10327</t>
  </si>
  <si>
    <t>CUST-1966</t>
  </si>
  <si>
    <t>Smart Furnishings 533</t>
  </si>
  <si>
    <t>ORD-2024-10328</t>
  </si>
  <si>
    <t>CUST-6163</t>
  </si>
  <si>
    <t>Classic Accessories 489</t>
  </si>
  <si>
    <t>ORD-2025-10329</t>
  </si>
  <si>
    <t>CUST-7239</t>
  </si>
  <si>
    <t>Smart Storage 439</t>
  </si>
  <si>
    <t>ORD-2025-10330</t>
  </si>
  <si>
    <t>CUST-9718</t>
  </si>
  <si>
    <t>Prime Storage 232</t>
  </si>
  <si>
    <t>ORD-2024-10331</t>
  </si>
  <si>
    <t>CUST-1116</t>
  </si>
  <si>
    <t>Prime Accessories 335</t>
  </si>
  <si>
    <t>ORD-2024-10332</t>
  </si>
  <si>
    <t>CUST-9346</t>
  </si>
  <si>
    <t>Smart Binders 939</t>
  </si>
  <si>
    <t>ORD-2025-10333</t>
  </si>
  <si>
    <t>CUST-5332</t>
  </si>
  <si>
    <t>Basic Machines 601</t>
  </si>
  <si>
    <t>ORD-2025-10334</t>
  </si>
  <si>
    <t>CUST-8081</t>
  </si>
  <si>
    <t>Pro Phones 968</t>
  </si>
  <si>
    <t>ORD-2024-10335</t>
  </si>
  <si>
    <t>CUST-3062</t>
  </si>
  <si>
    <t>Pro Storage 563</t>
  </si>
  <si>
    <t>ORD-2025-10336</t>
  </si>
  <si>
    <t>CUST-3621</t>
  </si>
  <si>
    <t>Prime Paper 559</t>
  </si>
  <si>
    <t>ORD-2024-10337</t>
  </si>
  <si>
    <t>Pro Copiers 999</t>
  </si>
  <si>
    <t>ORD-2024-10338</t>
  </si>
  <si>
    <t>CUST-4599</t>
  </si>
  <si>
    <t>Classic Labels 206</t>
  </si>
  <si>
    <t>ORD-2024-10339</t>
  </si>
  <si>
    <t>CUST-3066</t>
  </si>
  <si>
    <t>Eco Accessories 315</t>
  </si>
  <si>
    <t>ORD-2025-10340</t>
  </si>
  <si>
    <t>CUST-2752</t>
  </si>
  <si>
    <t>Elite Bookcases 988</t>
  </si>
  <si>
    <t>ORD-2024-10341</t>
  </si>
  <si>
    <t>CUST-6291</t>
  </si>
  <si>
    <t>Smart Binders 414</t>
  </si>
  <si>
    <t>ORD-2025-10342</t>
  </si>
  <si>
    <t>CUST-9969</t>
  </si>
  <si>
    <t>Eco Chairs 552</t>
  </si>
  <si>
    <t>ORD-2025-10343</t>
  </si>
  <si>
    <t>CUST-3335</t>
  </si>
  <si>
    <t>Smart Binders 574</t>
  </si>
  <si>
    <t>ORD-2025-10344</t>
  </si>
  <si>
    <t>CUST-7358</t>
  </si>
  <si>
    <t>Pro Machines 444</t>
  </si>
  <si>
    <t>ORD-2024-10345</t>
  </si>
  <si>
    <t>CUST-8025</t>
  </si>
  <si>
    <t>Elite Bookcases 184</t>
  </si>
  <si>
    <t>ORD-2024-10346</t>
  </si>
  <si>
    <t>CUST-4634</t>
  </si>
  <si>
    <t>Elite Furnishings 138</t>
  </si>
  <si>
    <t>ORD-2025-10347</t>
  </si>
  <si>
    <t>CUST-3400</t>
  </si>
  <si>
    <t>Eco Chairs 369</t>
  </si>
  <si>
    <t>ORD-2024-10348</t>
  </si>
  <si>
    <t>CUST-1172</t>
  </si>
  <si>
    <t>Max Chairs 487</t>
  </si>
  <si>
    <t>ORD-2024-10349</t>
  </si>
  <si>
    <t>CUST-9517</t>
  </si>
  <si>
    <t>Classic Phones 989</t>
  </si>
  <si>
    <t>ORD-2025-10350</t>
  </si>
  <si>
    <t>CUST-6697</t>
  </si>
  <si>
    <t>Max Furnishings 628</t>
  </si>
  <si>
    <t>ORD-2024-10351</t>
  </si>
  <si>
    <t>CUST-7644</t>
  </si>
  <si>
    <t>Elite Furnishings 279</t>
  </si>
  <si>
    <t>ORD-2025-10352</t>
  </si>
  <si>
    <t>CUST-9963</t>
  </si>
  <si>
    <t>Pro Storage 847</t>
  </si>
  <si>
    <t>ORD-2025-10353</t>
  </si>
  <si>
    <t>CUST-6382</t>
  </si>
  <si>
    <t>Elite Copiers 706</t>
  </si>
  <si>
    <t>ORD-2025-10354</t>
  </si>
  <si>
    <t>CUST-3253</t>
  </si>
  <si>
    <t>Prime Art 978</t>
  </si>
  <si>
    <t>ORD-2024-10355</t>
  </si>
  <si>
    <t>CUST-1058</t>
  </si>
  <si>
    <t>Classic Furnishings 498</t>
  </si>
  <si>
    <t>ORD-2024-10356</t>
  </si>
  <si>
    <t>CUST-6414</t>
  </si>
  <si>
    <t>Max Tables 829</t>
  </si>
  <si>
    <t>ORD-2025-10357</t>
  </si>
  <si>
    <t>CUST-9268</t>
  </si>
  <si>
    <t>Eco Chairs 346</t>
  </si>
  <si>
    <t>ORD-2025-10358</t>
  </si>
  <si>
    <t>CUST-1363</t>
  </si>
  <si>
    <t>Max Machines 770</t>
  </si>
  <si>
    <t>ORD-2025-10359</t>
  </si>
  <si>
    <t>CUST-2477</t>
  </si>
  <si>
    <t>Smart Bookcases 134</t>
  </si>
  <si>
    <t>ORD-2024-10360</t>
  </si>
  <si>
    <t>CUST-9571</t>
  </si>
  <si>
    <t>Classic Phones 586</t>
  </si>
  <si>
    <t>ORD-2024-10361</t>
  </si>
  <si>
    <t>CUST-3690</t>
  </si>
  <si>
    <t>Elite Furnishings 634</t>
  </si>
  <si>
    <t>ORD-2025-10362</t>
  </si>
  <si>
    <t>CUST-2909</t>
  </si>
  <si>
    <t>Basic Chairs 113</t>
  </si>
  <si>
    <t>ORD-2024-10363</t>
  </si>
  <si>
    <t>CUST-6755</t>
  </si>
  <si>
    <t>Elite Machines 216</t>
  </si>
  <si>
    <t>ORD-2025-10364</t>
  </si>
  <si>
    <t>CUST-1832</t>
  </si>
  <si>
    <t>Smart Tables 943</t>
  </si>
  <si>
    <t>ORD-2025-10365</t>
  </si>
  <si>
    <t>CUST-4452</t>
  </si>
  <si>
    <t>Prime Chairs 101</t>
  </si>
  <si>
    <t>ORD-2024-10366</t>
  </si>
  <si>
    <t>CUST-2203</t>
  </si>
  <si>
    <t>Basic Accessories 774</t>
  </si>
  <si>
    <t>ORD-2025-10367</t>
  </si>
  <si>
    <t>CUST-5397</t>
  </si>
  <si>
    <t>Max Tables 478</t>
  </si>
  <si>
    <t>ORD-2024-10368</t>
  </si>
  <si>
    <t>CUST-4696</t>
  </si>
  <si>
    <t>Eco Art 646</t>
  </si>
  <si>
    <t>ORD-2025-10369</t>
  </si>
  <si>
    <t>CUST-8246</t>
  </si>
  <si>
    <t>Prime Accessories 962</t>
  </si>
  <si>
    <t>ORD-2025-10370</t>
  </si>
  <si>
    <t>CUST-5672</t>
  </si>
  <si>
    <t>Eco Labels 646</t>
  </si>
  <si>
    <t>ORD-2024-10371</t>
  </si>
  <si>
    <t>CUST-8521</t>
  </si>
  <si>
    <t>Classic Copiers 505</t>
  </si>
  <si>
    <t>ORD-2024-10372</t>
  </si>
  <si>
    <t>CUST-2204</t>
  </si>
  <si>
    <t>Pro Art 906</t>
  </si>
  <si>
    <t>ORD-2025-10373</t>
  </si>
  <si>
    <t>Max Chairs 181</t>
  </si>
  <si>
    <t>ORD-2025-10374</t>
  </si>
  <si>
    <t>CUST-8566</t>
  </si>
  <si>
    <t>Prime Storage 951</t>
  </si>
  <si>
    <t>ORD-2025-10375</t>
  </si>
  <si>
    <t>CUST-2358</t>
  </si>
  <si>
    <t>Smart Labels 668</t>
  </si>
  <si>
    <t>ORD-2024-10376</t>
  </si>
  <si>
    <t>CUST-2810</t>
  </si>
  <si>
    <t>Pro Chairs 364</t>
  </si>
  <si>
    <t>ORD-2024-10377</t>
  </si>
  <si>
    <t>CUST-5166</t>
  </si>
  <si>
    <t>Basic Chairs 248</t>
  </si>
  <si>
    <t>ORD-2025-10378</t>
  </si>
  <si>
    <t>CUST-4875</t>
  </si>
  <si>
    <t>Basic Storage 360</t>
  </si>
  <si>
    <t>ORD-2025-10379</t>
  </si>
  <si>
    <t>CUST-3154</t>
  </si>
  <si>
    <t>Basic Accessories 988</t>
  </si>
  <si>
    <t>ORD-2024-10380</t>
  </si>
  <si>
    <t>CUST-6405</t>
  </si>
  <si>
    <t>Max Paper 334</t>
  </si>
  <si>
    <t>ORD-2024-10381</t>
  </si>
  <si>
    <t>CUST-5779</t>
  </si>
  <si>
    <t>Prime Bookcases 952</t>
  </si>
  <si>
    <t>ORD-2025-10382</t>
  </si>
  <si>
    <t>CUST-9943</t>
  </si>
  <si>
    <t>Prime Binders 523</t>
  </si>
  <si>
    <t>ORD-2025-10383</t>
  </si>
  <si>
    <t>Pro Phones 538</t>
  </si>
  <si>
    <t>ORD-2025-10384</t>
  </si>
  <si>
    <t>CUST-7438</t>
  </si>
  <si>
    <t>Basic Art 608</t>
  </si>
  <si>
    <t>ORD-2024-10385</t>
  </si>
  <si>
    <t>CUST-8432</t>
  </si>
  <si>
    <t>Prime Copiers 820</t>
  </si>
  <si>
    <t>ORD-2025-10386</t>
  </si>
  <si>
    <t>CUST-2834</t>
  </si>
  <si>
    <t>Classic Labels 670</t>
  </si>
  <si>
    <t>ORD-2025-10387</t>
  </si>
  <si>
    <t>CUST-4222</t>
  </si>
  <si>
    <t>Prime Furnishings 597</t>
  </si>
  <si>
    <t>ORD-2025-10388</t>
  </si>
  <si>
    <t>CUST-1053</t>
  </si>
  <si>
    <t>Prime Chairs 196</t>
  </si>
  <si>
    <t>ORD-2024-10389</t>
  </si>
  <si>
    <t>CUST-1457</t>
  </si>
  <si>
    <t>Elite Chairs 639</t>
  </si>
  <si>
    <t>ORD-2024-10390</t>
  </si>
  <si>
    <t>CUST-3930</t>
  </si>
  <si>
    <t>Elite Machines 563</t>
  </si>
  <si>
    <t>ORD-2024-10391</t>
  </si>
  <si>
    <t>CUST-7853</t>
  </si>
  <si>
    <t>Pro Furnishings 281</t>
  </si>
  <si>
    <t>ORD-2025-10392</t>
  </si>
  <si>
    <t>CUST-2267</t>
  </si>
  <si>
    <t>Eco Storage 285</t>
  </si>
  <si>
    <t>ORD-2024-10393</t>
  </si>
  <si>
    <t>CUST-6866</t>
  </si>
  <si>
    <t>Classic Furnishings 746</t>
  </si>
  <si>
    <t>ORD-2024-10394</t>
  </si>
  <si>
    <t>CUST-3160</t>
  </si>
  <si>
    <t>Eco Labels 815</t>
  </si>
  <si>
    <t>ORD-2024-10395</t>
  </si>
  <si>
    <t>CUST-8444</t>
  </si>
  <si>
    <t>Prime Furnishings 879</t>
  </si>
  <si>
    <t>ORD-2024-10396</t>
  </si>
  <si>
    <t>CUST-4765</t>
  </si>
  <si>
    <t>Pro Tables 142</t>
  </si>
  <si>
    <t>ORD-2025-10397</t>
  </si>
  <si>
    <t>CUST-2280</t>
  </si>
  <si>
    <t>Prime Machines 267</t>
  </si>
  <si>
    <t>ORD-2025-10398</t>
  </si>
  <si>
    <t>CUST-3177</t>
  </si>
  <si>
    <t>Eco Tables 378</t>
  </si>
  <si>
    <t>ORD-2024-10399</t>
  </si>
  <si>
    <t>CUST-4718</t>
  </si>
  <si>
    <t>Elite Machines 523</t>
  </si>
  <si>
    <t>ORD-2025-10400</t>
  </si>
  <si>
    <t>CUST-5647</t>
  </si>
  <si>
    <t>Elite Paper 308</t>
  </si>
  <si>
    <t>ORD-2025-10401</t>
  </si>
  <si>
    <t>CUST-7150</t>
  </si>
  <si>
    <t>Prime Paper 851</t>
  </si>
  <si>
    <t>ORD-2025-10402</t>
  </si>
  <si>
    <t>CUST-6694</t>
  </si>
  <si>
    <t>Classic Tables 151</t>
  </si>
  <si>
    <t>ORD-2024-10403</t>
  </si>
  <si>
    <t>CUST-7680</t>
  </si>
  <si>
    <t>Smart Tables 829</t>
  </si>
  <si>
    <t>ORD-2024-10404</t>
  </si>
  <si>
    <t>CUST-2700</t>
  </si>
  <si>
    <t>Classic Paper 237</t>
  </si>
  <si>
    <t>ORD-2024-10405</t>
  </si>
  <si>
    <t>CUST-2904</t>
  </si>
  <si>
    <t>Prime Chairs 891</t>
  </si>
  <si>
    <t>ORD-2024-10406</t>
  </si>
  <si>
    <t>CUST-9961</t>
  </si>
  <si>
    <t>Max Bookcases 812</t>
  </si>
  <si>
    <t>ORD-2025-10407</t>
  </si>
  <si>
    <t>CUST-9909</t>
  </si>
  <si>
    <t>Basic Furnishings 164</t>
  </si>
  <si>
    <t>ORD-2024-10408</t>
  </si>
  <si>
    <t>CUST-8520</t>
  </si>
  <si>
    <t>Smart Labels 261</t>
  </si>
  <si>
    <t>ORD-2025-10409</t>
  </si>
  <si>
    <t>CUST-5036</t>
  </si>
  <si>
    <t>Max Chairs 765</t>
  </si>
  <si>
    <t>ORD-2025-10410</t>
  </si>
  <si>
    <t>CUST-7721</t>
  </si>
  <si>
    <t>Pro Accessories 686</t>
  </si>
  <si>
    <t>ORD-2024-10411</t>
  </si>
  <si>
    <t>CUST-9495</t>
  </si>
  <si>
    <t>Smart Tables 100</t>
  </si>
  <si>
    <t>ORD-2025-10412</t>
  </si>
  <si>
    <t>CUST-2855</t>
  </si>
  <si>
    <t>Basic Tables 615</t>
  </si>
  <si>
    <t>ORD-2024-10413</t>
  </si>
  <si>
    <t>CUST-4329</t>
  </si>
  <si>
    <t>Basic Chairs 790</t>
  </si>
  <si>
    <t>ORD-2025-10414</t>
  </si>
  <si>
    <t>CUST-5094</t>
  </si>
  <si>
    <t>Smart Accessories 226</t>
  </si>
  <si>
    <t>ORD-2024-10415</t>
  </si>
  <si>
    <t>CUST-4194</t>
  </si>
  <si>
    <t>Max Storage 692</t>
  </si>
  <si>
    <t>ORD-2024-10416</t>
  </si>
  <si>
    <t>CUST-7087</t>
  </si>
  <si>
    <t>Basic Storage 684</t>
  </si>
  <si>
    <t>ORD-2025-10417</t>
  </si>
  <si>
    <t>CUST-7608</t>
  </si>
  <si>
    <t>Smart Furnishings 152</t>
  </si>
  <si>
    <t>ORD-2025-10418</t>
  </si>
  <si>
    <t>CUST-5269</t>
  </si>
  <si>
    <t>Max Art 736</t>
  </si>
  <si>
    <t>ORD-2024-10419</t>
  </si>
  <si>
    <t>CUST-7925</t>
  </si>
  <si>
    <t>Elite Copiers 971</t>
  </si>
  <si>
    <t>ORD-2025-10420</t>
  </si>
  <si>
    <t>CUST-6552</t>
  </si>
  <si>
    <t>Classic Phones 940</t>
  </si>
  <si>
    <t>ORD-2025-10421</t>
  </si>
  <si>
    <t>CUST-7131</t>
  </si>
  <si>
    <t>Pro Machines 579</t>
  </si>
  <si>
    <t>ORD-2025-10422</t>
  </si>
  <si>
    <t>CUST-2779</t>
  </si>
  <si>
    <t>Elite Binders 943</t>
  </si>
  <si>
    <t>ORD-2025-10423</t>
  </si>
  <si>
    <t>CUST-6077</t>
  </si>
  <si>
    <t>Elite Copiers 474</t>
  </si>
  <si>
    <t>ORD-2024-10424</t>
  </si>
  <si>
    <t>CUST-6169</t>
  </si>
  <si>
    <t>Prime Accessories 236</t>
  </si>
  <si>
    <t>FIRST CLASS</t>
  </si>
  <si>
    <t>ORD-2024-10425</t>
  </si>
  <si>
    <t>CUST-8904</t>
  </si>
  <si>
    <t>Prime Phones 881</t>
  </si>
  <si>
    <t>ORD-2024-10426</t>
  </si>
  <si>
    <t>CUST-9586</t>
  </si>
  <si>
    <t>Pro Labels 903</t>
  </si>
  <si>
    <t>ORD-2024-10427</t>
  </si>
  <si>
    <t>CUST-5431</t>
  </si>
  <si>
    <t>Max Copiers 402</t>
  </si>
  <si>
    <t>ORD-2025-10428</t>
  </si>
  <si>
    <t>CUST-8843</t>
  </si>
  <si>
    <t>Prime Accessories 419</t>
  </si>
  <si>
    <t>ORD-2025-10429</t>
  </si>
  <si>
    <t>CUST-7626</t>
  </si>
  <si>
    <t>Elite Phones 488</t>
  </si>
  <si>
    <t>ORD-2025-10430</t>
  </si>
  <si>
    <t>CUST-8562</t>
  </si>
  <si>
    <t>Prime Copiers 109</t>
  </si>
  <si>
    <t>ORD-2024-10431</t>
  </si>
  <si>
    <t>CUST-2732</t>
  </si>
  <si>
    <t>Max Paper 576</t>
  </si>
  <si>
    <t>ORD-2024-10432</t>
  </si>
  <si>
    <t>CUST-3989</t>
  </si>
  <si>
    <t>Max Machines 412</t>
  </si>
  <si>
    <t>ORD-2024-10433</t>
  </si>
  <si>
    <t>CUST-3522</t>
  </si>
  <si>
    <t>Classic Bookcases 291</t>
  </si>
  <si>
    <t>ORD-2024-10434</t>
  </si>
  <si>
    <t>CUST-7066</t>
  </si>
  <si>
    <t>Elite Art 946</t>
  </si>
  <si>
    <t>ORD-2025-10435</t>
  </si>
  <si>
    <t>CUST-2351</t>
  </si>
  <si>
    <t>Eco Accessories 705</t>
  </si>
  <si>
    <t>ORD-2025-10436</t>
  </si>
  <si>
    <t>CUST-7291</t>
  </si>
  <si>
    <t>Max Machines 151</t>
  </si>
  <si>
    <t>ORD-2024-10437</t>
  </si>
  <si>
    <t>CUST-4492</t>
  </si>
  <si>
    <t>Max Furnishings 803</t>
  </si>
  <si>
    <t>ORD-2024-10438</t>
  </si>
  <si>
    <t>CUST-5029</t>
  </si>
  <si>
    <t>Max Accessories 423</t>
  </si>
  <si>
    <t>ORD-2025-10439</t>
  </si>
  <si>
    <t>CUST-7252</t>
  </si>
  <si>
    <t>Elite Phones 276</t>
  </si>
  <si>
    <t>ORD-2025-10440</t>
  </si>
  <si>
    <t>CUST-7346</t>
  </si>
  <si>
    <t>Smart Storage 287</t>
  </si>
  <si>
    <t>ORD-2024-10441</t>
  </si>
  <si>
    <t>Basic Machines 610</t>
  </si>
  <si>
    <t>ORD-2024-10442</t>
  </si>
  <si>
    <t>CUST-3975</t>
  </si>
  <si>
    <t>Elite Bookcases 393</t>
  </si>
  <si>
    <t>ORD-2025-10443</t>
  </si>
  <si>
    <t>CUST-6588</t>
  </si>
  <si>
    <t>Prime Tables 242</t>
  </si>
  <si>
    <t>ORD-2024-10444</t>
  </si>
  <si>
    <t>CUST-2207</t>
  </si>
  <si>
    <t>Basic Furnishings 563</t>
  </si>
  <si>
    <t>ORD-2025-10445</t>
  </si>
  <si>
    <t>CUST-4475</t>
  </si>
  <si>
    <t>Prime Accessories 482</t>
  </si>
  <si>
    <t>ORD-2024-10446</t>
  </si>
  <si>
    <t>CUST-1351</t>
  </si>
  <si>
    <t>Eco Bookcases 215</t>
  </si>
  <si>
    <t>ORD-2025-10447</t>
  </si>
  <si>
    <t>CUST-9295</t>
  </si>
  <si>
    <t>Eco Storage 793</t>
  </si>
  <si>
    <t>ORD-2025-10448</t>
  </si>
  <si>
    <t>CUST-3614</t>
  </si>
  <si>
    <t>Basic Bookcases 182</t>
  </si>
  <si>
    <t>ORD-2024-10449</t>
  </si>
  <si>
    <t>CUST-1932</t>
  </si>
  <si>
    <t>Prime Chairs 631</t>
  </si>
  <si>
    <t>ORD-2024-10450</t>
  </si>
  <si>
    <t>Basic Machines 808</t>
  </si>
  <si>
    <t>ORD-2025-10451</t>
  </si>
  <si>
    <t>CUST-8672</t>
  </si>
  <si>
    <t>Pro Chairs 302</t>
  </si>
  <si>
    <t>ORD-2024-10452</t>
  </si>
  <si>
    <t>CUST-3907</t>
  </si>
  <si>
    <t>Classic Paper 272</t>
  </si>
  <si>
    <t>ORD-2024-10453</t>
  </si>
  <si>
    <t>CUST-8796</t>
  </si>
  <si>
    <t>Smart Accessories 149</t>
  </si>
  <si>
    <t>ORD-2025-10454</t>
  </si>
  <si>
    <t>CUST-2317</t>
  </si>
  <si>
    <t>Elite Labels 322</t>
  </si>
  <si>
    <t>ORD-2025-10455</t>
  </si>
  <si>
    <t>CUST-8643</t>
  </si>
  <si>
    <t>Max Furnishings 821</t>
  </si>
  <si>
    <t>ORD-2024-10456</t>
  </si>
  <si>
    <t>CUST-1800</t>
  </si>
  <si>
    <t>Basic Art 556</t>
  </si>
  <si>
    <t>ORD-2024-10457</t>
  </si>
  <si>
    <t>CUST-7688</t>
  </si>
  <si>
    <t>Smart Accessories 265</t>
  </si>
  <si>
    <t>ORD-2024-10458</t>
  </si>
  <si>
    <t>CUST-4957</t>
  </si>
  <si>
    <t>Elite Tables 418</t>
  </si>
  <si>
    <t>ORD-2024-10459</t>
  </si>
  <si>
    <t>CUST-1263</t>
  </si>
  <si>
    <t>Pro Phones 907</t>
  </si>
  <si>
    <t>ORD-2024-10460</t>
  </si>
  <si>
    <t>CUST-4745</t>
  </si>
  <si>
    <t>Basic Paper 233</t>
  </si>
  <si>
    <t>ORD-2025-10461</t>
  </si>
  <si>
    <t>CUST-5551</t>
  </si>
  <si>
    <t>Eco Copiers 603</t>
  </si>
  <si>
    <t>ORD-2025-10462</t>
  </si>
  <si>
    <t>CUST-3659</t>
  </si>
  <si>
    <t>Max Paper 700</t>
  </si>
  <si>
    <t>ORD-2024-10463</t>
  </si>
  <si>
    <t>CUST-6594</t>
  </si>
  <si>
    <t>Pro Binders 404</t>
  </si>
  <si>
    <t>ORD-2025-10464</t>
  </si>
  <si>
    <t>CUST-2626</t>
  </si>
  <si>
    <t>Eco Phones 208</t>
  </si>
  <si>
    <t>ORD-2025-10465</t>
  </si>
  <si>
    <t>CUST-7362</t>
  </si>
  <si>
    <t>Elite Paper 106</t>
  </si>
  <si>
    <t>ORD-2024-10466</t>
  </si>
  <si>
    <t>CUST-1748</t>
  </si>
  <si>
    <t>Eco Labels 914</t>
  </si>
  <si>
    <t>ORD-2024-10467</t>
  </si>
  <si>
    <t>CUST-2725</t>
  </si>
  <si>
    <t>Max Accessories 486</t>
  </si>
  <si>
    <t>ORD-2024-10468</t>
  </si>
  <si>
    <t>CUST-9470</t>
  </si>
  <si>
    <t>Max Copiers 867</t>
  </si>
  <si>
    <t>ORD-2025-10469</t>
  </si>
  <si>
    <t>CUST-4176</t>
  </si>
  <si>
    <t>Pro Binders 555</t>
  </si>
  <si>
    <t>ORD-2024-10470</t>
  </si>
  <si>
    <t>CUST-3448</t>
  </si>
  <si>
    <t>Pro Copiers 971</t>
  </si>
  <si>
    <t>ORD-2024-10471</t>
  </si>
  <si>
    <t>CUST-4970</t>
  </si>
  <si>
    <t>Pro Tables 833</t>
  </si>
  <si>
    <t>ORD-2024-10472</t>
  </si>
  <si>
    <t>CUST-6147</t>
  </si>
  <si>
    <t>Prime Binders 497</t>
  </si>
  <si>
    <t>ORD-2024-10473</t>
  </si>
  <si>
    <t>CUST-7208</t>
  </si>
  <si>
    <t>Pro Storage 756</t>
  </si>
  <si>
    <t>ORD-2024-10474</t>
  </si>
  <si>
    <t>CUST-2794</t>
  </si>
  <si>
    <t>Max Copiers 829</t>
  </si>
  <si>
    <t>ORD-2024-10475</t>
  </si>
  <si>
    <t>CUST-6249</t>
  </si>
  <si>
    <t>Prime Furnishings 827</t>
  </si>
  <si>
    <t>ORD-2025-10476</t>
  </si>
  <si>
    <t>CUST-5712</t>
  </si>
  <si>
    <t>Eco Chairs 365</t>
  </si>
  <si>
    <t>ORD-2024-10477</t>
  </si>
  <si>
    <t>CUST-3004</t>
  </si>
  <si>
    <t>Classic Storage 545</t>
  </si>
  <si>
    <t>ORD-2025-10478</t>
  </si>
  <si>
    <t>CUST-6920</t>
  </si>
  <si>
    <t>Pro Chairs 186</t>
  </si>
  <si>
    <t>ORD-2024-10479</t>
  </si>
  <si>
    <t>CUST-4838</t>
  </si>
  <si>
    <t>Classic Machines 561</t>
  </si>
  <si>
    <t>ORD-2024-10480</t>
  </si>
  <si>
    <t>CUST-7520</t>
  </si>
  <si>
    <t>Max Chairs 594</t>
  </si>
  <si>
    <t>ORD-2025-10481</t>
  </si>
  <si>
    <t>CUST-9947</t>
  </si>
  <si>
    <t>Eco Storage 923</t>
  </si>
  <si>
    <t>ORD-2025-10482</t>
  </si>
  <si>
    <t>CUST-4403</t>
  </si>
  <si>
    <t>Classic Machines 287</t>
  </si>
  <si>
    <t>ORD-2024-10483</t>
  </si>
  <si>
    <t>CUST-3583</t>
  </si>
  <si>
    <t>Basic Accessories 518</t>
  </si>
  <si>
    <t>ORD-2024-10484</t>
  </si>
  <si>
    <t>CUST-9432</t>
  </si>
  <si>
    <t>Pro Copiers 984</t>
  </si>
  <si>
    <t>ORD-2024-10485</t>
  </si>
  <si>
    <t>CUST-1801</t>
  </si>
  <si>
    <t>Max Furnishings 297</t>
  </si>
  <si>
    <t>ORD-2025-10486</t>
  </si>
  <si>
    <t>CUST-1594</t>
  </si>
  <si>
    <t>Elite Bookcases 802</t>
  </si>
  <si>
    <t>ORD-2025-10487</t>
  </si>
  <si>
    <t>CUST-8132</t>
  </si>
  <si>
    <t>Pro Tables 257</t>
  </si>
  <si>
    <t>ORD-2025-10488</t>
  </si>
  <si>
    <t>CUST-7685</t>
  </si>
  <si>
    <t>Prime Furnishings 299</t>
  </si>
  <si>
    <t>ORD-2024-10489</t>
  </si>
  <si>
    <t>CUST-2183</t>
  </si>
  <si>
    <t>Eco Tables 487</t>
  </si>
  <si>
    <t>ORD-2024-10490</t>
  </si>
  <si>
    <t>CUST-1636</t>
  </si>
  <si>
    <t>Prime Accessories 960</t>
  </si>
  <si>
    <t>ORD-2024-10491</t>
  </si>
  <si>
    <t>CUST-1350</t>
  </si>
  <si>
    <t>Smart Binders 191</t>
  </si>
  <si>
    <t>ORD-2025-10492</t>
  </si>
  <si>
    <t>CUST-4101</t>
  </si>
  <si>
    <t>Prime Accessories 118</t>
  </si>
  <si>
    <t>ORD-2025-10493</t>
  </si>
  <si>
    <t>CUST-4679</t>
  </si>
  <si>
    <t>Elite Storage 331</t>
  </si>
  <si>
    <t>ORD-2025-10494</t>
  </si>
  <si>
    <t>CUST-3765</t>
  </si>
  <si>
    <t>Prime Paper 996</t>
  </si>
  <si>
    <t>ORD-2024-10495</t>
  </si>
  <si>
    <t>CUST-9056</t>
  </si>
  <si>
    <t>Smart Phones 125</t>
  </si>
  <si>
    <t>ORD-2024-10496</t>
  </si>
  <si>
    <t>CUST-9801</t>
  </si>
  <si>
    <t>Eco Phones 220</t>
  </si>
  <si>
    <t>ORD-2025-10497</t>
  </si>
  <si>
    <t>CUST-2038</t>
  </si>
  <si>
    <t>Eco Chairs 795</t>
  </si>
  <si>
    <t>ORD-2024-10498</t>
  </si>
  <si>
    <t>CUST-1567</t>
  </si>
  <si>
    <t>Smart Accessories 896</t>
  </si>
  <si>
    <t>ORD-2025-10499</t>
  </si>
  <si>
    <t>CUST-1190</t>
  </si>
  <si>
    <t>Basic Chairs 255</t>
  </si>
  <si>
    <t>ORD-2024-10500</t>
  </si>
  <si>
    <t>CUST-5604</t>
  </si>
  <si>
    <t>Eco Chairs 210</t>
  </si>
  <si>
    <t>ORD-2024-10501</t>
  </si>
  <si>
    <t>CUST-7661</t>
  </si>
  <si>
    <t>Prime Phones 533</t>
  </si>
  <si>
    <t>ORD-2024-10502</t>
  </si>
  <si>
    <t>Elite Art 325</t>
  </si>
  <si>
    <t>ORD-2024-10503</t>
  </si>
  <si>
    <t>CUST-1534</t>
  </si>
  <si>
    <t>Prime Copiers 557</t>
  </si>
  <si>
    <t>ORD-2024-10504</t>
  </si>
  <si>
    <t>CUST-7422</t>
  </si>
  <si>
    <t>Smart Phones 674</t>
  </si>
  <si>
    <t>ORD-2025-10505</t>
  </si>
  <si>
    <t>CUST-9693</t>
  </si>
  <si>
    <t>Elite Art 553</t>
  </si>
  <si>
    <t>ORD-2024-10506</t>
  </si>
  <si>
    <t>CUST-5458</t>
  </si>
  <si>
    <t>Classic Art 339</t>
  </si>
  <si>
    <t>ORD-2024-10507</t>
  </si>
  <si>
    <t>CUST-3011</t>
  </si>
  <si>
    <t>Smart Furnishings 352</t>
  </si>
  <si>
    <t>ORD-2025-10508</t>
  </si>
  <si>
    <t>CUST-1826</t>
  </si>
  <si>
    <t>Classic Binders 602</t>
  </si>
  <si>
    <t>ORD-2024-10509</t>
  </si>
  <si>
    <t>CUST-3333</t>
  </si>
  <si>
    <t>Smart Machines 853</t>
  </si>
  <si>
    <t>ORD-2025-10510</t>
  </si>
  <si>
    <t>CUST-7901</t>
  </si>
  <si>
    <t>Classic Machines 599</t>
  </si>
  <si>
    <t>ORD-2024-10511</t>
  </si>
  <si>
    <t>CUST-9759</t>
  </si>
  <si>
    <t>Pro Storage 373</t>
  </si>
  <si>
    <t>ORD-2024-10512</t>
  </si>
  <si>
    <t>CUST-7232</t>
  </si>
  <si>
    <t>Smart Bookcases 920</t>
  </si>
  <si>
    <t>ORD-2025-10513</t>
  </si>
  <si>
    <t>Pro Labels 849</t>
  </si>
  <si>
    <t>ORD-2025-10514</t>
  </si>
  <si>
    <t>CUST-8993</t>
  </si>
  <si>
    <t>Prime Accessories 849</t>
  </si>
  <si>
    <t>ORD-2024-10515</t>
  </si>
  <si>
    <t>CUST-7729</t>
  </si>
  <si>
    <t>Smart Accessories 388</t>
  </si>
  <si>
    <t>ORD-2025-10516</t>
  </si>
  <si>
    <t>CUST-9986</t>
  </si>
  <si>
    <t>Classic Paper 752</t>
  </si>
  <si>
    <t>ORD-2024-10517</t>
  </si>
  <si>
    <t>CUST-2731</t>
  </si>
  <si>
    <t>Classic Copiers 143</t>
  </si>
  <si>
    <t>ORD-2025-10518</t>
  </si>
  <si>
    <t>CUST-4235</t>
  </si>
  <si>
    <t>Basic Furnishings 386</t>
  </si>
  <si>
    <t>ORD-2025-10519</t>
  </si>
  <si>
    <t>CUST-3377</t>
  </si>
  <si>
    <t>Classic Tables 592</t>
  </si>
  <si>
    <t>ORD-2025-10520</t>
  </si>
  <si>
    <t>CUST-3258</t>
  </si>
  <si>
    <t>Pro Tables 412</t>
  </si>
  <si>
    <t>ORD-2024-10521</t>
  </si>
  <si>
    <t>CUST-2155</t>
  </si>
  <si>
    <t>Prime Machines 393</t>
  </si>
  <si>
    <t>ORD-2025-10522</t>
  </si>
  <si>
    <t>CUST-8012</t>
  </si>
  <si>
    <t>Classic Labels 776</t>
  </si>
  <si>
    <t>ORD-2025-10523</t>
  </si>
  <si>
    <t>CUST-2917</t>
  </si>
  <si>
    <t>Max Phones 612</t>
  </si>
  <si>
    <t>ORD-2024-10524</t>
  </si>
  <si>
    <t>CUST-4653</t>
  </si>
  <si>
    <t>Basic Paper 315</t>
  </si>
  <si>
    <t>ORD-2024-10525</t>
  </si>
  <si>
    <t>CUST-3311</t>
  </si>
  <si>
    <t>Basic Chairs 333</t>
  </si>
  <si>
    <t>ORD-2024-10526</t>
  </si>
  <si>
    <t>CUST-2924</t>
  </si>
  <si>
    <t>Prime Chairs 215</t>
  </si>
  <si>
    <t>ORD-2025-10527</t>
  </si>
  <si>
    <t>CUST-7198</t>
  </si>
  <si>
    <t>Elite Tables 815</t>
  </si>
  <si>
    <t>ORD-2025-10528</t>
  </si>
  <si>
    <t>CUST-3419</t>
  </si>
  <si>
    <t>Basic Paper 388</t>
  </si>
  <si>
    <t>ORD-2024-10529</t>
  </si>
  <si>
    <t>CUST-2390</t>
  </si>
  <si>
    <t>Eco Binders 855</t>
  </si>
  <si>
    <t>ORD-2024-10530</t>
  </si>
  <si>
    <t>Classic Bookcases 947</t>
  </si>
  <si>
    <t>ORD-2025-10531</t>
  </si>
  <si>
    <t>CUST-8177</t>
  </si>
  <si>
    <t>Eco Binders 352</t>
  </si>
  <si>
    <t>ORD-2024-10532</t>
  </si>
  <si>
    <t>CUST-6357</t>
  </si>
  <si>
    <t>Pro Storage 364</t>
  </si>
  <si>
    <t>ORD-2025-10533</t>
  </si>
  <si>
    <t>CUST-7690</t>
  </si>
  <si>
    <t>Classic Tables 213</t>
  </si>
  <si>
    <t>ORD-2024-10534</t>
  </si>
  <si>
    <t>CUST-4487</t>
  </si>
  <si>
    <t>Smart Tables 659</t>
  </si>
  <si>
    <t>ORD-2025-10535</t>
  </si>
  <si>
    <t>CUST-8204</t>
  </si>
  <si>
    <t>Classic Accessories 325</t>
  </si>
  <si>
    <t>ORD-2024-10536</t>
  </si>
  <si>
    <t>CUST-1729</t>
  </si>
  <si>
    <t>Eco Copiers 243</t>
  </si>
  <si>
    <t>ORD-2025-10537</t>
  </si>
  <si>
    <t>CUST-4269</t>
  </si>
  <si>
    <t>Elite Chairs 777</t>
  </si>
  <si>
    <t>ORD-2024-10538</t>
  </si>
  <si>
    <t>CUST-1370</t>
  </si>
  <si>
    <t>Classic Art 772</t>
  </si>
  <si>
    <t>ORD-2024-10539</t>
  </si>
  <si>
    <t>CUST-5381</t>
  </si>
  <si>
    <t>Elite Tables 888</t>
  </si>
  <si>
    <t>ORD-2025-10540</t>
  </si>
  <si>
    <t>CUST-3694</t>
  </si>
  <si>
    <t>Classic Chairs 666</t>
  </si>
  <si>
    <t>ORD-2024-10541</t>
  </si>
  <si>
    <t>CUST-7563</t>
  </si>
  <si>
    <t>Basic Furnishings 350</t>
  </si>
  <si>
    <t>ORD-2025-10542</t>
  </si>
  <si>
    <t>CUST-4188</t>
  </si>
  <si>
    <t>Elite Copiers 831</t>
  </si>
  <si>
    <t>ORD-2024-10543</t>
  </si>
  <si>
    <t>CUST-9376</t>
  </si>
  <si>
    <t>Eco Bookcases 759</t>
  </si>
  <si>
    <t>ORD-2024-10544</t>
  </si>
  <si>
    <t>CUST-9094</t>
  </si>
  <si>
    <t>Max Copiers 440</t>
  </si>
  <si>
    <t>ORD-2025-10545</t>
  </si>
  <si>
    <t>CUST-2366</t>
  </si>
  <si>
    <t>Smart Art 201</t>
  </si>
  <si>
    <t>ORD-2024-10546</t>
  </si>
  <si>
    <t>CUST-7168</t>
  </si>
  <si>
    <t>Classic Storage 755</t>
  </si>
  <si>
    <t>ORD-2025-10547</t>
  </si>
  <si>
    <t>CUST-8157</t>
  </si>
  <si>
    <t>Prime Paper 143</t>
  </si>
  <si>
    <t>ORD-2024-10548</t>
  </si>
  <si>
    <t>CUST-9146</t>
  </si>
  <si>
    <t>Max Copiers 607</t>
  </si>
  <si>
    <t>ORD-2024-10549</t>
  </si>
  <si>
    <t>CUST-5129</t>
  </si>
  <si>
    <t>Prime Bookcases 402</t>
  </si>
  <si>
    <t>ORD-2025-10550</t>
  </si>
  <si>
    <t>CUST-6028</t>
  </si>
  <si>
    <t>Pro Art 287</t>
  </si>
  <si>
    <t>ORD-2024-10551</t>
  </si>
  <si>
    <t>CUST-8687</t>
  </si>
  <si>
    <t>Max Accessories 591</t>
  </si>
  <si>
    <t>ORD-2024-10552</t>
  </si>
  <si>
    <t>CUST-8172</t>
  </si>
  <si>
    <t>Elite Chairs 314</t>
  </si>
  <si>
    <t>ORD-2025-10553</t>
  </si>
  <si>
    <t>CUST-8861</t>
  </si>
  <si>
    <t>Pro Copiers 246</t>
  </si>
  <si>
    <t>ORD-2025-10554</t>
  </si>
  <si>
    <t>CUST-9241</t>
  </si>
  <si>
    <t>Pro Storage 128</t>
  </si>
  <si>
    <t>ORD-2024-10555</t>
  </si>
  <si>
    <t>CUST-2126</t>
  </si>
  <si>
    <t>Prime Furnishings 892</t>
  </si>
  <si>
    <t>ORD-2025-10556</t>
  </si>
  <si>
    <t>CUST-7513</t>
  </si>
  <si>
    <t>Prime Storage 689</t>
  </si>
  <si>
    <t>ORD-2024-10557</t>
  </si>
  <si>
    <t>CUST-1992</t>
  </si>
  <si>
    <t>Classic Tables 769</t>
  </si>
  <si>
    <t>ORD-2024-10558</t>
  </si>
  <si>
    <t>CUST-8848</t>
  </si>
  <si>
    <t>Prime Phones 503</t>
  </si>
  <si>
    <t>ORD-2025-10559</t>
  </si>
  <si>
    <t>CUST-9368</t>
  </si>
  <si>
    <t>Basic Machines 136</t>
  </si>
  <si>
    <t>ORD-2025-10560</t>
  </si>
  <si>
    <t>CUST-6797</t>
  </si>
  <si>
    <t>Basic Copiers 512</t>
  </si>
  <si>
    <t>ORD-2024-10561</t>
  </si>
  <si>
    <t>CUST-9333</t>
  </si>
  <si>
    <t>Smart Storage 767</t>
  </si>
  <si>
    <t>ORD-2025-10562</t>
  </si>
  <si>
    <t>CUST-6654</t>
  </si>
  <si>
    <t>Eco Copiers 954</t>
  </si>
  <si>
    <t>ORD-2024-10563</t>
  </si>
  <si>
    <t>CUST-8622</t>
  </si>
  <si>
    <t>Elite Binders 143</t>
  </si>
  <si>
    <t>ORD-2024-10564</t>
  </si>
  <si>
    <t>CUST-8776</t>
  </si>
  <si>
    <t>Classic Tables 560</t>
  </si>
  <si>
    <t>ORD-2024-10565</t>
  </si>
  <si>
    <t>CUST-9100</t>
  </si>
  <si>
    <t>Basic Tables 759</t>
  </si>
  <si>
    <t>ORD-2025-10566</t>
  </si>
  <si>
    <t>CUST-5601</t>
  </si>
  <si>
    <t>Prime Phones 564</t>
  </si>
  <si>
    <t>ORD-2024-10567</t>
  </si>
  <si>
    <t>CUST-5246</t>
  </si>
  <si>
    <t>Smart Paper 807</t>
  </si>
  <si>
    <t>ORD-2024-10568</t>
  </si>
  <si>
    <t>CUST-3128</t>
  </si>
  <si>
    <t>ORD-2024-10569</t>
  </si>
  <si>
    <t>CUST-4604</t>
  </si>
  <si>
    <t>Classic Machines 522</t>
  </si>
  <si>
    <t>ORD-2025-10570</t>
  </si>
  <si>
    <t>CUST-2586</t>
  </si>
  <si>
    <t>Elite Furnishings 822</t>
  </si>
  <si>
    <t>ORD-2025-10571</t>
  </si>
  <si>
    <t>CUST-6585</t>
  </si>
  <si>
    <t>Max Furnishings 647</t>
  </si>
  <si>
    <t>ORD-2025-10572</t>
  </si>
  <si>
    <t>CUST-3425</t>
  </si>
  <si>
    <t>Prime Phones 895</t>
  </si>
  <si>
    <t>ORD-2024-10573</t>
  </si>
  <si>
    <t>CUST-8633</t>
  </si>
  <si>
    <t>Eco Phones 368</t>
  </si>
  <si>
    <t>ORD-2025-10574</t>
  </si>
  <si>
    <t>CUST-8243</t>
  </si>
  <si>
    <t>Pro Phones 644</t>
  </si>
  <si>
    <t>ORD-2024-10575</t>
  </si>
  <si>
    <t>Smart Machines 566</t>
  </si>
  <si>
    <t>ORD-2025-10576</t>
  </si>
  <si>
    <t>CUST-5496</t>
  </si>
  <si>
    <t>Elite Furnishings 173</t>
  </si>
  <si>
    <t>ORD-2024-10577</t>
  </si>
  <si>
    <t>CUST-2228</t>
  </si>
  <si>
    <t>Smart Binders 417</t>
  </si>
  <si>
    <t>ORD-2025-10578</t>
  </si>
  <si>
    <t>CUST-4151</t>
  </si>
  <si>
    <t>Smart Furnishings 714</t>
  </si>
  <si>
    <t>ORD-2024-10579</t>
  </si>
  <si>
    <t>Elite Copiers 682</t>
  </si>
  <si>
    <t>ORD-2024-10580</t>
  </si>
  <si>
    <t>CUST-9617</t>
  </si>
  <si>
    <t>Pro Storage 482</t>
  </si>
  <si>
    <t>ORD-2025-10581</t>
  </si>
  <si>
    <t>CUST-7958</t>
  </si>
  <si>
    <t>Pro Chairs 888</t>
  </si>
  <si>
    <t>ORD-2025-10582</t>
  </si>
  <si>
    <t>CUST-9931</t>
  </si>
  <si>
    <t>Classic Art 611</t>
  </si>
  <si>
    <t>ORD-2024-10583</t>
  </si>
  <si>
    <t>CUST-2088</t>
  </si>
  <si>
    <t>Basic Art 174</t>
  </si>
  <si>
    <t>ORD-2024-10584</t>
  </si>
  <si>
    <t>CUST-1686</t>
  </si>
  <si>
    <t>Classic Storage 451</t>
  </si>
  <si>
    <t>ORD-2024-10585</t>
  </si>
  <si>
    <t>CUST-4894</t>
  </si>
  <si>
    <t>Pro Art 172</t>
  </si>
  <si>
    <t>ORD-2025-10586</t>
  </si>
  <si>
    <t>CUST-5201</t>
  </si>
  <si>
    <t>Prime Phones 744</t>
  </si>
  <si>
    <t>ORD-2025-10587</t>
  </si>
  <si>
    <t>CUST-8626</t>
  </si>
  <si>
    <t>Prime Binders 249</t>
  </si>
  <si>
    <t>ORD-2025-10588</t>
  </si>
  <si>
    <t>CUST-1013</t>
  </si>
  <si>
    <t>Eco Accessories 948</t>
  </si>
  <si>
    <t>ORD-2025-10589</t>
  </si>
  <si>
    <t>CUST-3601</t>
  </si>
  <si>
    <t>Classic Accessories 458</t>
  </si>
  <si>
    <t>ORD-2024-10590</t>
  </si>
  <si>
    <t>CUST-7846</t>
  </si>
  <si>
    <t>Max Phones 318</t>
  </si>
  <si>
    <t>ORD-2024-10591</t>
  </si>
  <si>
    <t>CUST-3433</t>
  </si>
  <si>
    <t>Elite Chairs 372</t>
  </si>
  <si>
    <t>ORD-2024-10592</t>
  </si>
  <si>
    <t>CUST-2423</t>
  </si>
  <si>
    <t>Eco Copiers 324</t>
  </si>
  <si>
    <t>ORD-2024-10593</t>
  </si>
  <si>
    <t>CUST-3559</t>
  </si>
  <si>
    <t>Classic Accessories 131</t>
  </si>
  <si>
    <t>ORD-2025-10594</t>
  </si>
  <si>
    <t>Eco Tables 550</t>
  </si>
  <si>
    <t>ORD-2024-10595</t>
  </si>
  <si>
    <t>CUST-6850</t>
  </si>
  <si>
    <t>Basic Chairs 932</t>
  </si>
  <si>
    <t>ORD-2025-10596</t>
  </si>
  <si>
    <t>CUST-5566</t>
  </si>
  <si>
    <t>Classic Phones 294</t>
  </si>
  <si>
    <t>ORD-2024-10597</t>
  </si>
  <si>
    <t>CUST-2593</t>
  </si>
  <si>
    <t>Elite Chairs 700</t>
  </si>
  <si>
    <t>ORD-2025-10598</t>
  </si>
  <si>
    <t>CUST-6957</t>
  </si>
  <si>
    <t>Prime Copiers 969</t>
  </si>
  <si>
    <t>ORD-2024-10599</t>
  </si>
  <si>
    <t>CUST-8498</t>
  </si>
  <si>
    <t>Eco Copiers 268</t>
  </si>
  <si>
    <t>ORD-2024-10600</t>
  </si>
  <si>
    <t>CUST-2612</t>
  </si>
  <si>
    <t>Pro Phones 588</t>
  </si>
  <si>
    <t>ORD-2025-10601</t>
  </si>
  <si>
    <t>CUST-6013</t>
  </si>
  <si>
    <t>Prime Storage 432</t>
  </si>
  <si>
    <t>ORD-2024-10602</t>
  </si>
  <si>
    <t>CUST-8289</t>
  </si>
  <si>
    <t>Basic Paper 452</t>
  </si>
  <si>
    <t>ORD-2024-10603</t>
  </si>
  <si>
    <t>CUST-5668</t>
  </si>
  <si>
    <t>Max Copiers 477</t>
  </si>
  <si>
    <t>ORD-2025-10604</t>
  </si>
  <si>
    <t>Prime Accessories 300</t>
  </si>
  <si>
    <t>ORD-2025-10605</t>
  </si>
  <si>
    <t>CUST-4526</t>
  </si>
  <si>
    <t>Max Binders 547</t>
  </si>
  <si>
    <t>ORD-2025-10606</t>
  </si>
  <si>
    <t>CUST-4447</t>
  </si>
  <si>
    <t>Pro Furnishings 267</t>
  </si>
  <si>
    <t>ORD-2025-10607</t>
  </si>
  <si>
    <t>CUST-2698</t>
  </si>
  <si>
    <t>Max Copiers 520</t>
  </si>
  <si>
    <t>ORD-2025-10608</t>
  </si>
  <si>
    <t>CUST-6297</t>
  </si>
  <si>
    <t>Max Storage 424</t>
  </si>
  <si>
    <t>ORD-2024-10609</t>
  </si>
  <si>
    <t>Elite Furnishings 706</t>
  </si>
  <si>
    <t>ORD-2025-10610</t>
  </si>
  <si>
    <t>CUST-4380</t>
  </si>
  <si>
    <t>Pro Chairs 908</t>
  </si>
  <si>
    <t>ORD-2024-10611</t>
  </si>
  <si>
    <t>Pro Chairs 712</t>
  </si>
  <si>
    <t>ORD-2025-10612</t>
  </si>
  <si>
    <t>CUST-6108</t>
  </si>
  <si>
    <t>Max Binders 785</t>
  </si>
  <si>
    <t>ORD-2025-10613</t>
  </si>
  <si>
    <t>CUST-5663</t>
  </si>
  <si>
    <t>Elite Phones 239</t>
  </si>
  <si>
    <t>ORD-2024-10614</t>
  </si>
  <si>
    <t>CUST-9311</t>
  </si>
  <si>
    <t>Basic Machines 413</t>
  </si>
  <si>
    <t>ORD-2024-10615</t>
  </si>
  <si>
    <t>CUST-8154</t>
  </si>
  <si>
    <t>Elite Chairs 140</t>
  </si>
  <si>
    <t>ORD-2024-10616</t>
  </si>
  <si>
    <t>CUST-4462</t>
  </si>
  <si>
    <t>Basic Art 771</t>
  </si>
  <si>
    <t>ORD-2024-10617</t>
  </si>
  <si>
    <t>CUST-4660</t>
  </si>
  <si>
    <t>Prime Paper 664</t>
  </si>
  <si>
    <t>ORD-2024-10618</t>
  </si>
  <si>
    <t>CUST-9002</t>
  </si>
  <si>
    <t>Pro Phones 226</t>
  </si>
  <si>
    <t>ORD-2024-10619</t>
  </si>
  <si>
    <t>CUST-1057</t>
  </si>
  <si>
    <t>Basic Tables 684</t>
  </si>
  <si>
    <t>ORD-2024-10620</t>
  </si>
  <si>
    <t>CUST-9596</t>
  </si>
  <si>
    <t>Prime Binders 938</t>
  </si>
  <si>
    <t>ORD-2024-10621</t>
  </si>
  <si>
    <t>CUST-6947</t>
  </si>
  <si>
    <t>Classic Machines 337</t>
  </si>
  <si>
    <t>ORD-2024-10622</t>
  </si>
  <si>
    <t>CUST-7236</t>
  </si>
  <si>
    <t>Max Chairs 748</t>
  </si>
  <si>
    <t>ORD-2025-10623</t>
  </si>
  <si>
    <t>CUST-1127</t>
  </si>
  <si>
    <t>Basic Storage 934</t>
  </si>
  <si>
    <t>ORD-2024-10624</t>
  </si>
  <si>
    <t>CUST-6262</t>
  </si>
  <si>
    <t>Pro Storage 509</t>
  </si>
  <si>
    <t>ORD-2024-10625</t>
  </si>
  <si>
    <t>CUST-5070</t>
  </si>
  <si>
    <t>Prime Chairs 765</t>
  </si>
  <si>
    <t>ORD-2024-10626</t>
  </si>
  <si>
    <t>CUST-7946</t>
  </si>
  <si>
    <t>Elite Chairs 358</t>
  </si>
  <si>
    <t>ORD-2025-10627</t>
  </si>
  <si>
    <t>CUST-1793</t>
  </si>
  <si>
    <t>Elite Machines 971</t>
  </si>
  <si>
    <t>ORD-2025-10628</t>
  </si>
  <si>
    <t>CUST-8839</t>
  </si>
  <si>
    <t>Max Phones 825</t>
  </si>
  <si>
    <t>ORD-2025-10629</t>
  </si>
  <si>
    <t>CUST-6725</t>
  </si>
  <si>
    <t>Eco Accessories 933</t>
  </si>
  <si>
    <t>ORD-2025-10630</t>
  </si>
  <si>
    <t>CUST-3793</t>
  </si>
  <si>
    <t>Max Tables 908</t>
  </si>
  <si>
    <t>ORD-2024-10631</t>
  </si>
  <si>
    <t>CUST-6075</t>
  </si>
  <si>
    <t>Elite Paper 239</t>
  </si>
  <si>
    <t>ORD-2024-10632</t>
  </si>
  <si>
    <t>CUST-6381</t>
  </si>
  <si>
    <t>Eco Chairs 452</t>
  </si>
  <si>
    <t>ORD-2025-10633</t>
  </si>
  <si>
    <t>CUST-4593</t>
  </si>
  <si>
    <t>Smart Furnishings 721</t>
  </si>
  <si>
    <t>ORD-2025-10634</t>
  </si>
  <si>
    <t>CUST-5043</t>
  </si>
  <si>
    <t>Basic Accessories 729</t>
  </si>
  <si>
    <t>ORD-2025-10635</t>
  </si>
  <si>
    <t>CUST-4722</t>
  </si>
  <si>
    <t>Classic Chairs 220</t>
  </si>
  <si>
    <t>ORD-2024-10636</t>
  </si>
  <si>
    <t>CUST-7931</t>
  </si>
  <si>
    <t>Max Chairs 305</t>
  </si>
  <si>
    <t>ORD-2024-10637</t>
  </si>
  <si>
    <t>CUST-7221</t>
  </si>
  <si>
    <t>Smart Paper 872</t>
  </si>
  <si>
    <t>ORD-2024-10638</t>
  </si>
  <si>
    <t>CUST-2594</t>
  </si>
  <si>
    <t>Max Copiers 994</t>
  </si>
  <si>
    <t>ORD-2024-10639</t>
  </si>
  <si>
    <t>CUST-2111</t>
  </si>
  <si>
    <t>Pro Storage 744</t>
  </si>
  <si>
    <t>ORD-2024-10640</t>
  </si>
  <si>
    <t>CUST-6829</t>
  </si>
  <si>
    <t>Elite Chairs 744</t>
  </si>
  <si>
    <t>ORD-2025-10641</t>
  </si>
  <si>
    <t>CUST-5061</t>
  </si>
  <si>
    <t>Basic Storage 973</t>
  </si>
  <si>
    <t>ORD-2025-10642</t>
  </si>
  <si>
    <t>CUST-7915</t>
  </si>
  <si>
    <t>Smart Furnishings 783</t>
  </si>
  <si>
    <t>ORD-2024-10643</t>
  </si>
  <si>
    <t>CUST-1940</t>
  </si>
  <si>
    <t>Prime Binders 287</t>
  </si>
  <si>
    <t>ORD-2024-10644</t>
  </si>
  <si>
    <t>Elite Labels 654</t>
  </si>
  <si>
    <t>ORD-2025-10645</t>
  </si>
  <si>
    <t>CUST-5549</t>
  </si>
  <si>
    <t>Pro Chairs 812</t>
  </si>
  <si>
    <t>ORD-2024-10646</t>
  </si>
  <si>
    <t>CUST-2314</t>
  </si>
  <si>
    <t>Basic Chairs 480</t>
  </si>
  <si>
    <t>ORD-2024-10647</t>
  </si>
  <si>
    <t>CUST-6360</t>
  </si>
  <si>
    <t>Elite Machines 955</t>
  </si>
  <si>
    <t>ORD-2025-10648</t>
  </si>
  <si>
    <t>CUST-9942</t>
  </si>
  <si>
    <t>Prime Art 461</t>
  </si>
  <si>
    <t>ORD-2024-10649</t>
  </si>
  <si>
    <t>CUST-1808</t>
  </si>
  <si>
    <t>Prime Art 301</t>
  </si>
  <si>
    <t>ORD-2025-10650</t>
  </si>
  <si>
    <t>CUST-7277</t>
  </si>
  <si>
    <t>Classic Accessories 354</t>
  </si>
  <si>
    <t>ORD-2024-10651</t>
  </si>
  <si>
    <t>Basic Accessories 210</t>
  </si>
  <si>
    <t>ORD-2025-10652</t>
  </si>
  <si>
    <t>CUST-2660</t>
  </si>
  <si>
    <t>Smart Paper 364</t>
  </si>
  <si>
    <t>ORD-2025-10653</t>
  </si>
  <si>
    <t>Smart Binders 999</t>
  </si>
  <si>
    <t>ORD-2025-10654</t>
  </si>
  <si>
    <t>CUST-3970</t>
  </si>
  <si>
    <t>Max Copiers 356</t>
  </si>
  <si>
    <t>ORD-2025-10655</t>
  </si>
  <si>
    <t>Classic Machines 639</t>
  </si>
  <si>
    <t>ORD-2025-10656</t>
  </si>
  <si>
    <t>CUST-8039</t>
  </si>
  <si>
    <t>Smart Furnishings 748</t>
  </si>
  <si>
    <t>ORD-2024-10657</t>
  </si>
  <si>
    <t>CUST-4446</t>
  </si>
  <si>
    <t>Pro Machines 589</t>
  </si>
  <si>
    <t>ORD-2025-10658</t>
  </si>
  <si>
    <t>CUST-7787</t>
  </si>
  <si>
    <t>Eco Storage 316</t>
  </si>
  <si>
    <t>ORD-2025-10659</t>
  </si>
  <si>
    <t>CUST-9074</t>
  </si>
  <si>
    <t>Eco Art 763</t>
  </si>
  <si>
    <t>ORD-2025-10660</t>
  </si>
  <si>
    <t>CUST-8330</t>
  </si>
  <si>
    <t>Pro Phones 356</t>
  </si>
  <si>
    <t>ORD-2025-10661</t>
  </si>
  <si>
    <t>CUST-5638</t>
  </si>
  <si>
    <t>Basic Phones 865</t>
  </si>
  <si>
    <t>ORD-2024-10662</t>
  </si>
  <si>
    <t>CUST-4537</t>
  </si>
  <si>
    <t>Max Machines 595</t>
  </si>
  <si>
    <t>ORD-2024-10663</t>
  </si>
  <si>
    <t>CUST-3181</t>
  </si>
  <si>
    <t>Elite Machines 367</t>
  </si>
  <si>
    <t>ORD-2024-10664</t>
  </si>
  <si>
    <t>CUST-1015</t>
  </si>
  <si>
    <t>Basic Copiers 787</t>
  </si>
  <si>
    <t>ORD-2024-10665</t>
  </si>
  <si>
    <t>CUST-2709</t>
  </si>
  <si>
    <t>Max Accessories 903</t>
  </si>
  <si>
    <t>ORD-2025-10666</t>
  </si>
  <si>
    <t>CUST-1197</t>
  </si>
  <si>
    <t>Max Art 660</t>
  </si>
  <si>
    <t>ORD-2024-10667</t>
  </si>
  <si>
    <t>CUST-7758</t>
  </si>
  <si>
    <t>Classic Copiers 908</t>
  </si>
  <si>
    <t>ORD-2025-10668</t>
  </si>
  <si>
    <t>CUST-3912</t>
  </si>
  <si>
    <t>Pro Machines 706</t>
  </si>
  <si>
    <t>ORD-2024-10669</t>
  </si>
  <si>
    <t>CUST-4190</t>
  </si>
  <si>
    <t>Pro Paper 187</t>
  </si>
  <si>
    <t>ORD-2024-10670</t>
  </si>
  <si>
    <t>CUST-7568</t>
  </si>
  <si>
    <t>Classic Tables 606</t>
  </si>
  <si>
    <t>ORD-2025-10671</t>
  </si>
  <si>
    <t>Smart Tables 835</t>
  </si>
  <si>
    <t>ORD-2024-10672</t>
  </si>
  <si>
    <t>CUST-3293</t>
  </si>
  <si>
    <t>Classic Copiers 583</t>
  </si>
  <si>
    <t>ORD-2024-10673</t>
  </si>
  <si>
    <t>CUST-8180</t>
  </si>
  <si>
    <t>Classic Chairs 460</t>
  </si>
  <si>
    <t>ORD-2025-10674</t>
  </si>
  <si>
    <t>CUST-2807</t>
  </si>
  <si>
    <t>Classic Bookcases 488</t>
  </si>
  <si>
    <t>ORD-2024-10675</t>
  </si>
  <si>
    <t>CUST-4081</t>
  </si>
  <si>
    <t>Basic Accessories 944</t>
  </si>
  <si>
    <t>ORD-2025-10676</t>
  </si>
  <si>
    <t>Eco Furnishings 217</t>
  </si>
  <si>
    <t>ORD-2025-10677</t>
  </si>
  <si>
    <t>CUST-9212</t>
  </si>
  <si>
    <t>Smart Phones 967</t>
  </si>
  <si>
    <t>ORD-2024-10678</t>
  </si>
  <si>
    <t>Smart Chairs 610</t>
  </si>
  <si>
    <t>ORD-2024-10679</t>
  </si>
  <si>
    <t>CUST-1674</t>
  </si>
  <si>
    <t>Prime Tables 123</t>
  </si>
  <si>
    <t>ORD-2025-10680</t>
  </si>
  <si>
    <t>CUST-2897</t>
  </si>
  <si>
    <t>Smart Copiers 579</t>
  </si>
  <si>
    <t>ORD-2024-10681</t>
  </si>
  <si>
    <t>CUST-1136</t>
  </si>
  <si>
    <t>Eco Accessories 658</t>
  </si>
  <si>
    <t>ORD-2024-10682</t>
  </si>
  <si>
    <t>CUST-1376</t>
  </si>
  <si>
    <t>Smart Tables 777</t>
  </si>
  <si>
    <t>ORD-2025-10683</t>
  </si>
  <si>
    <t>CUST-1553</t>
  </si>
  <si>
    <t>Eco Storage 861</t>
  </si>
  <si>
    <t>ORD-2025-10684</t>
  </si>
  <si>
    <t>CUST-5704</t>
  </si>
  <si>
    <t>Eco Furnishings 875</t>
  </si>
  <si>
    <t>ORD-2025-10685</t>
  </si>
  <si>
    <t>CUST-6738</t>
  </si>
  <si>
    <t>Prime Bookcases 784</t>
  </si>
  <si>
    <t>ORD-2025-10686</t>
  </si>
  <si>
    <t>Classic Art 380</t>
  </si>
  <si>
    <t>ORD-2024-10687</t>
  </si>
  <si>
    <t>CUST-3127</t>
  </si>
  <si>
    <t>Pro Copiers 502</t>
  </si>
  <si>
    <t>ORD-2025-10688</t>
  </si>
  <si>
    <t>CUST-9347</t>
  </si>
  <si>
    <t>Prime Tables 604</t>
  </si>
  <si>
    <t>ORD-2025-10689</t>
  </si>
  <si>
    <t>CUST-8575</t>
  </si>
  <si>
    <t>Basic Art 798</t>
  </si>
  <si>
    <t>ORD-2024-10690</t>
  </si>
  <si>
    <t>CUST-4382</t>
  </si>
  <si>
    <t>Elite Tables 717</t>
  </si>
  <si>
    <t>ORD-2024-10691</t>
  </si>
  <si>
    <t>CUST-6815</t>
  </si>
  <si>
    <t>Max Art 725</t>
  </si>
  <si>
    <t>ORD-2024-10692</t>
  </si>
  <si>
    <t>CUST-7309</t>
  </si>
  <si>
    <t>Smart Copiers 456</t>
  </si>
  <si>
    <t>ORD-2025-10693</t>
  </si>
  <si>
    <t>CUST-9531</t>
  </si>
  <si>
    <t>Prime Furnishings 883</t>
  </si>
  <si>
    <t>ORD-2025-10694</t>
  </si>
  <si>
    <t>CUST-6032</t>
  </si>
  <si>
    <t>Smart Bookcases 828</t>
  </si>
  <si>
    <t>ORD-2025-10695</t>
  </si>
  <si>
    <t>Classic Storage 291</t>
  </si>
  <si>
    <t>ORD-2024-10696</t>
  </si>
  <si>
    <t>CUST-6257</t>
  </si>
  <si>
    <t>Prime Machines 102</t>
  </si>
  <si>
    <t>ORD-2025-10697</t>
  </si>
  <si>
    <t>CUST-7812</t>
  </si>
  <si>
    <t>Classic Phones 842</t>
  </si>
  <si>
    <t>ORD-2025-10698</t>
  </si>
  <si>
    <t>CUST-6205</t>
  </si>
  <si>
    <t>Max Labels 970</t>
  </si>
  <si>
    <t>ORD-2024-10699</t>
  </si>
  <si>
    <t>CUST-5357</t>
  </si>
  <si>
    <t>Classic Machines 648</t>
  </si>
  <si>
    <t>ORD-2024-10700</t>
  </si>
  <si>
    <t>CUST-9802</t>
  </si>
  <si>
    <t>Max Bookcases 565</t>
  </si>
  <si>
    <t>ORD-2024-10701</t>
  </si>
  <si>
    <t>CUST-5646</t>
  </si>
  <si>
    <t>Basic Machines 220</t>
  </si>
  <si>
    <t>ORD-2024-10702</t>
  </si>
  <si>
    <t>CUST-7171</t>
  </si>
  <si>
    <t>Pro Art 151</t>
  </si>
  <si>
    <t>ORD-2025-10703</t>
  </si>
  <si>
    <t>CUST-5231</t>
  </si>
  <si>
    <t>Pro Tables 980</t>
  </si>
  <si>
    <t>ORD-2024-10704</t>
  </si>
  <si>
    <t>CUST-8734</t>
  </si>
  <si>
    <t>Classic Tables 997</t>
  </si>
  <si>
    <t>ORD-2024-10705</t>
  </si>
  <si>
    <t>CUST-4916</t>
  </si>
  <si>
    <t>Max Bookcases 738</t>
  </si>
  <si>
    <t>ORD-2024-10706</t>
  </si>
  <si>
    <t>CUST-3289</t>
  </si>
  <si>
    <t>Max Binders 411</t>
  </si>
  <si>
    <t>ORD-2024-10707</t>
  </si>
  <si>
    <t>CUST-4928</t>
  </si>
  <si>
    <t>Max Paper 343</t>
  </si>
  <si>
    <t>ORD-2025-10708</t>
  </si>
  <si>
    <t>CUST-4902</t>
  </si>
  <si>
    <t>Pro Accessories 485</t>
  </si>
  <si>
    <t>ORD-2025-10709</t>
  </si>
  <si>
    <t>CUST-6504</t>
  </si>
  <si>
    <t>Elite Bookcases 113</t>
  </si>
  <si>
    <t>ORD-2025-10710</t>
  </si>
  <si>
    <t>CUST-8036</t>
  </si>
  <si>
    <t>Eco Phones 787</t>
  </si>
  <si>
    <t>ORD-2024-10711</t>
  </si>
  <si>
    <t>CUST-7199</t>
  </si>
  <si>
    <t>Smart Art 279</t>
  </si>
  <si>
    <t>ORD-2025-10712</t>
  </si>
  <si>
    <t>CUST-6176</t>
  </si>
  <si>
    <t>Basic Machines 172</t>
  </si>
  <si>
    <t>ORD-2024-10713</t>
  </si>
  <si>
    <t>CUST-5127</t>
  </si>
  <si>
    <t>Smart Chairs 259</t>
  </si>
  <si>
    <t>ORD-2025-10714</t>
  </si>
  <si>
    <t>Pro Machines 987</t>
  </si>
  <si>
    <t>ORD-2025-10715</t>
  </si>
  <si>
    <t>CUST-9902</t>
  </si>
  <si>
    <t>Pro Copiers 206</t>
  </si>
  <si>
    <t>ORD-2025-10716</t>
  </si>
  <si>
    <t>CUST-7446</t>
  </si>
  <si>
    <t>Max Chairs 372</t>
  </si>
  <si>
    <t>ORD-2025-10717</t>
  </si>
  <si>
    <t>CUST-7540</t>
  </si>
  <si>
    <t>Basic Phones 496</t>
  </si>
  <si>
    <t>ORD-2025-10718</t>
  </si>
  <si>
    <t>CUST-8351</t>
  </si>
  <si>
    <t>Prime Machines 612</t>
  </si>
  <si>
    <t>ORD-2024-10719</t>
  </si>
  <si>
    <t>CUST-3918</t>
  </si>
  <si>
    <t>Smart Art 866</t>
  </si>
  <si>
    <t>ORD-2025-10720</t>
  </si>
  <si>
    <t>Pro Art 447</t>
  </si>
  <si>
    <t>ORD-2024-10721</t>
  </si>
  <si>
    <t>CUST-1991</t>
  </si>
  <si>
    <t>Smart Copiers 196</t>
  </si>
  <si>
    <t>ORD-2025-10722</t>
  </si>
  <si>
    <t>CUST-7606</t>
  </si>
  <si>
    <t>Pro Copiers 532</t>
  </si>
  <si>
    <t>ORD-2024-10723</t>
  </si>
  <si>
    <t>CUST-8844</t>
  </si>
  <si>
    <t>Eco Chairs 442</t>
  </si>
  <si>
    <t>ORD-2025-10724</t>
  </si>
  <si>
    <t>CUST-4335</t>
  </si>
  <si>
    <t>Eco Accessories 364</t>
  </si>
  <si>
    <t>ORD-2024-10725</t>
  </si>
  <si>
    <t>CUST-5891</t>
  </si>
  <si>
    <t>Elite Furnishings 921</t>
  </si>
  <si>
    <t>ORD-2025-10726</t>
  </si>
  <si>
    <t>CUST-6371</t>
  </si>
  <si>
    <t>Max Tables 309</t>
  </si>
  <si>
    <t>ORD-2024-10727</t>
  </si>
  <si>
    <t>CUST-6655</t>
  </si>
  <si>
    <t>Pro Phones 857</t>
  </si>
  <si>
    <t>ORD-2024-10728</t>
  </si>
  <si>
    <t>CUST-6492</t>
  </si>
  <si>
    <t>Max Accessories 567</t>
  </si>
  <si>
    <t>ORD-2024-10729</t>
  </si>
  <si>
    <t>CUST-1154</t>
  </si>
  <si>
    <t>Max Machines 200</t>
  </si>
  <si>
    <t>ORD-2025-10730</t>
  </si>
  <si>
    <t>CUST-8713</t>
  </si>
  <si>
    <t>Pro Machines 563</t>
  </si>
  <si>
    <t>ORD-2025-10731</t>
  </si>
  <si>
    <t>CUST-6765</t>
  </si>
  <si>
    <t>Elite Art 696</t>
  </si>
  <si>
    <t>ORD-2024-10732</t>
  </si>
  <si>
    <t>CUST-6849</t>
  </si>
  <si>
    <t>Eco Binders 178</t>
  </si>
  <si>
    <t>ORD-2024-10733</t>
  </si>
  <si>
    <t>CUST-4973</t>
  </si>
  <si>
    <t>Max Phones 678</t>
  </si>
  <si>
    <t>ORD-2024-10734</t>
  </si>
  <si>
    <t>CUST-2394</t>
  </si>
  <si>
    <t>Classic Furnishings 582</t>
  </si>
  <si>
    <t>ORD-2024-10735</t>
  </si>
  <si>
    <t>CUST-5406</t>
  </si>
  <si>
    <t>Classic Accessories 981</t>
  </si>
  <si>
    <t>ORD-2024-10736</t>
  </si>
  <si>
    <t>CUST-1963</t>
  </si>
  <si>
    <t>Classic Tables 534</t>
  </si>
  <si>
    <t>ORD-2024-10737</t>
  </si>
  <si>
    <t>CUST-9017</t>
  </si>
  <si>
    <t>Pro Chairs 383</t>
  </si>
  <si>
    <t>ORD-2024-10738</t>
  </si>
  <si>
    <t>CUST-7967</t>
  </si>
  <si>
    <t>Max Chairs 845</t>
  </si>
  <si>
    <t>ORD-2025-10739</t>
  </si>
  <si>
    <t>CUST-5334</t>
  </si>
  <si>
    <t>Prime Paper 307</t>
  </si>
  <si>
    <t>ORD-2024-10740</t>
  </si>
  <si>
    <t>CUST-5846</t>
  </si>
  <si>
    <t>Basic Phones 859</t>
  </si>
  <si>
    <t>ORD-2024-10741</t>
  </si>
  <si>
    <t>Eco Chairs 883</t>
  </si>
  <si>
    <t>ORD-2025-10742</t>
  </si>
  <si>
    <t>CUST-3285</t>
  </si>
  <si>
    <t>Max Chairs 706</t>
  </si>
  <si>
    <t>ORD-2024-10743</t>
  </si>
  <si>
    <t>CUST-6368</t>
  </si>
  <si>
    <t>Prime Paper 768</t>
  </si>
  <si>
    <t>ORD-2025-10744</t>
  </si>
  <si>
    <t>CUST-6231</t>
  </si>
  <si>
    <t>Basic Art 764</t>
  </si>
  <si>
    <t>ORD-2025-10745</t>
  </si>
  <si>
    <t>CUST-2021</t>
  </si>
  <si>
    <t>Prime Binders 181</t>
  </si>
  <si>
    <t>ORD-2024-10746</t>
  </si>
  <si>
    <t>CUST-1493</t>
  </si>
  <si>
    <t>Max Copiers 866</t>
  </si>
  <si>
    <t>ORD-2025-10747</t>
  </si>
  <si>
    <t>Pro Paper 662</t>
  </si>
  <si>
    <t>ORD-2024-10748</t>
  </si>
  <si>
    <t>CUST-8416</t>
  </si>
  <si>
    <t>Classic Paper 388</t>
  </si>
  <si>
    <t>ORD-2024-10749</t>
  </si>
  <si>
    <t>CUST-3103</t>
  </si>
  <si>
    <t>Pro Phones 765</t>
  </si>
  <si>
    <t>ORD-2024-10750</t>
  </si>
  <si>
    <t>CUST-4457</t>
  </si>
  <si>
    <t>Classic Machines 543</t>
  </si>
  <si>
    <t>ORD-2025-10751</t>
  </si>
  <si>
    <t>CUST-7036</t>
  </si>
  <si>
    <t>Max Accessories 291</t>
  </si>
  <si>
    <t>ORD-2025-10752</t>
  </si>
  <si>
    <t>CUST-8512</t>
  </si>
  <si>
    <t>Eco Machines 414</t>
  </si>
  <si>
    <t>ORD-2024-10753</t>
  </si>
  <si>
    <t>CUST-6345</t>
  </si>
  <si>
    <t>Basic Storage 273</t>
  </si>
  <si>
    <t>ORD-2024-10754</t>
  </si>
  <si>
    <t>CUST-4505</t>
  </si>
  <si>
    <t>Elite Furnishings 588</t>
  </si>
  <si>
    <t>ORD-2025-10755</t>
  </si>
  <si>
    <t>CUST-7960</t>
  </si>
  <si>
    <t>Elite Storage 857</t>
  </si>
  <si>
    <t>ORD-2025-10756</t>
  </si>
  <si>
    <t>CUST-3365</t>
  </si>
  <si>
    <t>Prime Storage 183</t>
  </si>
  <si>
    <t>ORD-2024-10757</t>
  </si>
  <si>
    <t>CUST-1557</t>
  </si>
  <si>
    <t>Smart Accessories 362</t>
  </si>
  <si>
    <t>ORD-2025-10758</t>
  </si>
  <si>
    <t>CUST-3058</t>
  </si>
  <si>
    <t>Classic Bookcases 310</t>
  </si>
  <si>
    <t>ORD-2024-10759</t>
  </si>
  <si>
    <t>CUST-6076</t>
  </si>
  <si>
    <t>Prime Chairs 721</t>
  </si>
  <si>
    <t>ORD-2024-10760</t>
  </si>
  <si>
    <t>CUST-2098</t>
  </si>
  <si>
    <t>Prime Tables 797</t>
  </si>
  <si>
    <t>ORD-2024-10761</t>
  </si>
  <si>
    <t>CUST-7193</t>
  </si>
  <si>
    <t>Max Art 926</t>
  </si>
  <si>
    <t>ORD-2025-10762</t>
  </si>
  <si>
    <t>CUST-8948</t>
  </si>
  <si>
    <t>Max Machines 364</t>
  </si>
  <si>
    <t>ORD-2024-10763</t>
  </si>
  <si>
    <t>CUST-6921</t>
  </si>
  <si>
    <t>Classic Machines 122</t>
  </si>
  <si>
    <t>ORD-2025-10764</t>
  </si>
  <si>
    <t>CUST-4086</t>
  </si>
  <si>
    <t>Elite Furnishings 169</t>
  </si>
  <si>
    <t>ORD-2025-10765</t>
  </si>
  <si>
    <t>Pro Bookcases 615</t>
  </si>
  <si>
    <t>ORD-2025-10766</t>
  </si>
  <si>
    <t>CUST-8747</t>
  </si>
  <si>
    <t>Max Labels 136</t>
  </si>
  <si>
    <t>ORD-2024-10767</t>
  </si>
  <si>
    <t>CUST-3156</t>
  </si>
  <si>
    <t>Prime Art 380</t>
  </si>
  <si>
    <t>ORD-2024-10768</t>
  </si>
  <si>
    <t>CUST-2043</t>
  </si>
  <si>
    <t>Classic Binders 234</t>
  </si>
  <si>
    <t>ORD-2025-10769</t>
  </si>
  <si>
    <t>CUST-8808</t>
  </si>
  <si>
    <t>Classic Paper 280</t>
  </si>
  <si>
    <t>ORD-2024-10770</t>
  </si>
  <si>
    <t>CUST-1293</t>
  </si>
  <si>
    <t>Classic Bookcases 922</t>
  </si>
  <si>
    <t>ORD-2024-10771</t>
  </si>
  <si>
    <t>CUST-8384</t>
  </si>
  <si>
    <t>Eco Copiers 396</t>
  </si>
  <si>
    <t>ORD-2024-10772</t>
  </si>
  <si>
    <t>Basic Machines 401</t>
  </si>
  <si>
    <t>ORD-2025-10773</t>
  </si>
  <si>
    <t>CUST-8422</t>
  </si>
  <si>
    <t>Basic Chairs 279</t>
  </si>
  <si>
    <t>ORD-2025-10774</t>
  </si>
  <si>
    <t>CUST-4766</t>
  </si>
  <si>
    <t>Basic Phones 753</t>
  </si>
  <si>
    <t>ORD-2025-10775</t>
  </si>
  <si>
    <t>CUST-1182</t>
  </si>
  <si>
    <t>Smart Machines 789</t>
  </si>
  <si>
    <t>ORD-2024-10776</t>
  </si>
  <si>
    <t>CUST-4461</t>
  </si>
  <si>
    <t>Elite Accessories 312</t>
  </si>
  <si>
    <t>ORD-2025-10777</t>
  </si>
  <si>
    <t>CUST-9690</t>
  </si>
  <si>
    <t>Eco Copiers 528</t>
  </si>
  <si>
    <t>ORD-2024-10778</t>
  </si>
  <si>
    <t>CUST-6879</t>
  </si>
  <si>
    <t>Elite Accessories 226</t>
  </si>
  <si>
    <t>ORD-2024-10779</t>
  </si>
  <si>
    <t>CUST-4714</t>
  </si>
  <si>
    <t>Pro Copiers 298</t>
  </si>
  <si>
    <t>ORD-2024-10780</t>
  </si>
  <si>
    <t>CUST-7547</t>
  </si>
  <si>
    <t>Prime Chairs 331</t>
  </si>
  <si>
    <t>ORD-2024-10781</t>
  </si>
  <si>
    <t>CUST-3288</t>
  </si>
  <si>
    <t>Classic Chairs 798</t>
  </si>
  <si>
    <t>ORD-2024-10782</t>
  </si>
  <si>
    <t>CUST-8597</t>
  </si>
  <si>
    <t>Classic Labels 204</t>
  </si>
  <si>
    <t>ORD-2025-10783</t>
  </si>
  <si>
    <t>CUST-9085</t>
  </si>
  <si>
    <t>Basic Copiers 254</t>
  </si>
  <si>
    <t>ORD-2024-10784</t>
  </si>
  <si>
    <t>CUST-7746</t>
  </si>
  <si>
    <t>Basic Art 709</t>
  </si>
  <si>
    <t>ORD-2025-10785</t>
  </si>
  <si>
    <t>CUST-3119</t>
  </si>
  <si>
    <t>Max Copiers 551</t>
  </si>
  <si>
    <t>ORD-2024-10786</t>
  </si>
  <si>
    <t>CUST-7518</t>
  </si>
  <si>
    <t>Eco Storage 183</t>
  </si>
  <si>
    <t>ORD-2025-10787</t>
  </si>
  <si>
    <t>CUST-1343</t>
  </si>
  <si>
    <t>Pro Furnishings 233</t>
  </si>
  <si>
    <t>ORD-2024-10788</t>
  </si>
  <si>
    <t>CUST-7548</t>
  </si>
  <si>
    <t>Prime Paper 878</t>
  </si>
  <si>
    <t>ORD-2024-10789</t>
  </si>
  <si>
    <t>CUST-3631</t>
  </si>
  <si>
    <t>Smart Chairs 353</t>
  </si>
  <si>
    <t>ORD-2025-10790</t>
  </si>
  <si>
    <t>CUST-1453</t>
  </si>
  <si>
    <t>Smart Copiers 408</t>
  </si>
  <si>
    <t>ORD-2024-10791</t>
  </si>
  <si>
    <t>CUST-1951</t>
  </si>
  <si>
    <t>Classic Art 781</t>
  </si>
  <si>
    <t>ORD-2024-10792</t>
  </si>
  <si>
    <t>CUST-6300</t>
  </si>
  <si>
    <t>Eco Bookcases 144</t>
  </si>
  <si>
    <t>ORD-2025-10793</t>
  </si>
  <si>
    <t>CUST-1417</t>
  </si>
  <si>
    <t>Elite Furnishings 852</t>
  </si>
  <si>
    <t>ORD-2024-10794</t>
  </si>
  <si>
    <t>CUST-5421</t>
  </si>
  <si>
    <t>Basic Copiers 238</t>
  </si>
  <si>
    <t>ORD-2025-10795</t>
  </si>
  <si>
    <t>CUST-2829</t>
  </si>
  <si>
    <t>Elite Paper 847</t>
  </si>
  <si>
    <t>ORD-2024-10796</t>
  </si>
  <si>
    <t>CUST-6529</t>
  </si>
  <si>
    <t>Pro Copiers 653</t>
  </si>
  <si>
    <t>ORD-2024-10797</t>
  </si>
  <si>
    <t>CUST-3126</t>
  </si>
  <si>
    <t>Elite Machines 459</t>
  </si>
  <si>
    <t>ORD-2024-10798</t>
  </si>
  <si>
    <t>CUST-3991</t>
  </si>
  <si>
    <t>Elite Binders 764</t>
  </si>
  <si>
    <t>ORD-2025-10799</t>
  </si>
  <si>
    <t>CUST-7553</t>
  </si>
  <si>
    <t>Classic Furnishings 348</t>
  </si>
  <si>
    <t>ORD-2024-10800</t>
  </si>
  <si>
    <t>CUST-8527</t>
  </si>
  <si>
    <t>Smart Accessories 487</t>
  </si>
  <si>
    <t>ORD-2024-10801</t>
  </si>
  <si>
    <t>CUST-5015</t>
  </si>
  <si>
    <t>Elite Storage 825</t>
  </si>
  <si>
    <t>ORD-2025-10802</t>
  </si>
  <si>
    <t>CUST-3344</t>
  </si>
  <si>
    <t>Pro Accessories 500</t>
  </si>
  <si>
    <t>ORD-2025-10803</t>
  </si>
  <si>
    <t>CUST-5866</t>
  </si>
  <si>
    <t>Pro Furnishings 909</t>
  </si>
  <si>
    <t>ORD-2024-10804</t>
  </si>
  <si>
    <t>CUST-7180</t>
  </si>
  <si>
    <t>Basic Labels 359</t>
  </si>
  <si>
    <t>ORD-2025-10805</t>
  </si>
  <si>
    <t>CUST-8745</t>
  </si>
  <si>
    <t>Eco Furnishings 541</t>
  </si>
  <si>
    <t>ORD-2025-10806</t>
  </si>
  <si>
    <t>Classic Binders 103</t>
  </si>
  <si>
    <t>ORD-2024-10807</t>
  </si>
  <si>
    <t>CUST-3704</t>
  </si>
  <si>
    <t>Max Copiers 560</t>
  </si>
  <si>
    <t>ORD-2025-10808</t>
  </si>
  <si>
    <t>CUST-5884</t>
  </si>
  <si>
    <t>Smart Labels 436</t>
  </si>
  <si>
    <t>ORD-2025-10809</t>
  </si>
  <si>
    <t>CUST-7503</t>
  </si>
  <si>
    <t>Pro Furnishings 386</t>
  </si>
  <si>
    <t>ORD-2025-10810</t>
  </si>
  <si>
    <t>CUST-6973</t>
  </si>
  <si>
    <t>Eco Binders 601</t>
  </si>
  <si>
    <t>ORD-2024-10811</t>
  </si>
  <si>
    <t>Pro Copiers 867</t>
  </si>
  <si>
    <t>ORD-2024-10812</t>
  </si>
  <si>
    <t>CUST-3303</t>
  </si>
  <si>
    <t>Eco Accessories 122</t>
  </si>
  <si>
    <t>ORD-2024-10813</t>
  </si>
  <si>
    <t>CUST-5754</t>
  </si>
  <si>
    <t>Basic Tables 127</t>
  </si>
  <si>
    <t>ORD-2025-10814</t>
  </si>
  <si>
    <t>CUST-7848</t>
  </si>
  <si>
    <t>ORD-2025-10815</t>
  </si>
  <si>
    <t>CUST-9048</t>
  </si>
  <si>
    <t>Smart Labels 126</t>
  </si>
  <si>
    <t>ORD-2024-10816</t>
  </si>
  <si>
    <t>CUST-2951</t>
  </si>
  <si>
    <t>Max Machines 569</t>
  </si>
  <si>
    <t>ORD-2024-10817</t>
  </si>
  <si>
    <t>CUST-3072</t>
  </si>
  <si>
    <t>Basic Furnishings 306</t>
  </si>
  <si>
    <t>ORD-2025-10818</t>
  </si>
  <si>
    <t>CUST-2221</t>
  </si>
  <si>
    <t>Classic Binders 873</t>
  </si>
  <si>
    <t>ORD-2024-10819</t>
  </si>
  <si>
    <t>CUST-3943</t>
  </si>
  <si>
    <t>Pro Labels 611</t>
  </si>
  <si>
    <t>ORD-2024-10820</t>
  </si>
  <si>
    <t>CUST-7510</t>
  </si>
  <si>
    <t>Prime Machines 524</t>
  </si>
  <si>
    <t>ORD-2025-10821</t>
  </si>
  <si>
    <t>CUST-2041</t>
  </si>
  <si>
    <t>Classic Bookcases 882</t>
  </si>
  <si>
    <t>ORD-2024-10822</t>
  </si>
  <si>
    <t>CUST-4466</t>
  </si>
  <si>
    <t>Classic Accessories 471</t>
  </si>
  <si>
    <t>ORD-2024-10823</t>
  </si>
  <si>
    <t>CUST-3188</t>
  </si>
  <si>
    <t>Smart Furnishings 175</t>
  </si>
  <si>
    <t>ORD-2025-10824</t>
  </si>
  <si>
    <t>CUST-6638</t>
  </si>
  <si>
    <t>Basic Paper 899</t>
  </si>
  <si>
    <t>ORD-2025-10825</t>
  </si>
  <si>
    <t>CUST-3540</t>
  </si>
  <si>
    <t>Pro Paper 267</t>
  </si>
  <si>
    <t>ORD-2025-10826</t>
  </si>
  <si>
    <t>CUST-3351</t>
  </si>
  <si>
    <t>Basic Machines 832</t>
  </si>
  <si>
    <t>ORD-2025-10827</t>
  </si>
  <si>
    <t>CUST-4375</t>
  </si>
  <si>
    <t>Elite Accessories 790</t>
  </si>
  <si>
    <t>ORD-2024-10828</t>
  </si>
  <si>
    <t>CUST-5125</t>
  </si>
  <si>
    <t>Basic Paper 707</t>
  </si>
  <si>
    <t>ORD-2025-10829</t>
  </si>
  <si>
    <t>CUST-6010</t>
  </si>
  <si>
    <t>Elite Chairs 979</t>
  </si>
  <si>
    <t>ORD-2024-10830</t>
  </si>
  <si>
    <t>CUST-9036</t>
  </si>
  <si>
    <t>Pro Furnishings 192</t>
  </si>
  <si>
    <t>ORD-2025-10831</t>
  </si>
  <si>
    <t>CUST-7929</t>
  </si>
  <si>
    <t>Smart Machines 951</t>
  </si>
  <si>
    <t>ORD-2025-10832</t>
  </si>
  <si>
    <t>CUST-1106</t>
  </si>
  <si>
    <t>Smart Chairs 794</t>
  </si>
  <si>
    <t>ORD-2025-10833</t>
  </si>
  <si>
    <t>CUST-9557</t>
  </si>
  <si>
    <t>Max Phones 919</t>
  </si>
  <si>
    <t>ORD-2024-10834</t>
  </si>
  <si>
    <t>CUST-2689</t>
  </si>
  <si>
    <t>Basic Bookcases 499</t>
  </si>
  <si>
    <t>ORD-2024-10835</t>
  </si>
  <si>
    <t>CUST-2879</t>
  </si>
  <si>
    <t>Basic Art 143</t>
  </si>
  <si>
    <t>ORD-2025-10836</t>
  </si>
  <si>
    <t>CUST-5150</t>
  </si>
  <si>
    <t>Prime Phones 338</t>
  </si>
  <si>
    <t>ORD-2024-10837</t>
  </si>
  <si>
    <t>CUST-9776</t>
  </si>
  <si>
    <t>Smart Labels 814</t>
  </si>
  <si>
    <t>ORD-2025-10838</t>
  </si>
  <si>
    <t>CUST-2551</t>
  </si>
  <si>
    <t>Prime Paper 812</t>
  </si>
  <si>
    <t>ORD-2025-10839</t>
  </si>
  <si>
    <t>CUST-4708</t>
  </si>
  <si>
    <t>Pro Paper 355</t>
  </si>
  <si>
    <t>ORD-2024-10840</t>
  </si>
  <si>
    <t>CUST-8206</t>
  </si>
  <si>
    <t>Basic Phones 398</t>
  </si>
  <si>
    <t>ORD-2025-10841</t>
  </si>
  <si>
    <t>CUST-1297</t>
  </si>
  <si>
    <t>Classic Chairs 204</t>
  </si>
  <si>
    <t>ORD-2025-10842</t>
  </si>
  <si>
    <t>CUST-7558</t>
  </si>
  <si>
    <t>Max Art 339</t>
  </si>
  <si>
    <t>ORD-2024-10843</t>
  </si>
  <si>
    <t>CUST-1798</t>
  </si>
  <si>
    <t>Smart Machines 581</t>
  </si>
  <si>
    <t>ORD-2025-10844</t>
  </si>
  <si>
    <t>CUST-7333</t>
  </si>
  <si>
    <t>Prime Phones 482</t>
  </si>
  <si>
    <t>ORD-2025-10845</t>
  </si>
  <si>
    <t>CUST-2086</t>
  </si>
  <si>
    <t>Pro Art 588</t>
  </si>
  <si>
    <t>ORD-2024-10846</t>
  </si>
  <si>
    <t>Eco Tables 792</t>
  </si>
  <si>
    <t>ORD-2024-10847</t>
  </si>
  <si>
    <t>CUST-6522</t>
  </si>
  <si>
    <t>Prime Bookcases 177</t>
  </si>
  <si>
    <t>ORD-2025-10848</t>
  </si>
  <si>
    <t>CUST-8329</t>
  </si>
  <si>
    <t>Pro Tables 828</t>
  </si>
  <si>
    <t>ORD-2025-10849</t>
  </si>
  <si>
    <t>CUST-4426</t>
  </si>
  <si>
    <t>Elite Furnishings 480</t>
  </si>
  <si>
    <t>ORD-2024-10850</t>
  </si>
  <si>
    <t>CUST-3360</t>
  </si>
  <si>
    <t>Prime Bookcases 755</t>
  </si>
  <si>
    <t>ORD-2024-10851</t>
  </si>
  <si>
    <t>CUST-2623</t>
  </si>
  <si>
    <t>Prime Paper 317</t>
  </si>
  <si>
    <t>ORD-2024-10852</t>
  </si>
  <si>
    <t>CUST-3175</t>
  </si>
  <si>
    <t>Classic Accessories 933</t>
  </si>
  <si>
    <t>ORD-2024-10853</t>
  </si>
  <si>
    <t>CUST-9630</t>
  </si>
  <si>
    <t>Smart Tables 513</t>
  </si>
  <si>
    <t>ORD-2025-10854</t>
  </si>
  <si>
    <t>CUST-8274</t>
  </si>
  <si>
    <t>Elite Accessories 708</t>
  </si>
  <si>
    <t>ORD-2025-10855</t>
  </si>
  <si>
    <t>CUST-2514</t>
  </si>
  <si>
    <t>Max Bookcases 381</t>
  </si>
  <si>
    <t>ORD-2024-10856</t>
  </si>
  <si>
    <t>Classic Labels 215</t>
  </si>
  <si>
    <t>ORD-2024-10857</t>
  </si>
  <si>
    <t>Classic Storage 918</t>
  </si>
  <si>
    <t>ORD-2024-10858</t>
  </si>
  <si>
    <t>Max Storage 223</t>
  </si>
  <si>
    <t>ORD-2024-10859</t>
  </si>
  <si>
    <t>CUST-9576</t>
  </si>
  <si>
    <t>Basic Accessories 602</t>
  </si>
  <si>
    <t>ORD-2024-10860</t>
  </si>
  <si>
    <t>CUST-2395</t>
  </si>
  <si>
    <t>Elite Phones 394</t>
  </si>
  <si>
    <t>ORD-2024-10861</t>
  </si>
  <si>
    <t>CUST-8941</t>
  </si>
  <si>
    <t>Classic Storage 194</t>
  </si>
  <si>
    <t>ORD-2025-10862</t>
  </si>
  <si>
    <t>CUST-9448</t>
  </si>
  <si>
    <t>Smart Furnishings 892</t>
  </si>
  <si>
    <t>ORD-2025-10863</t>
  </si>
  <si>
    <t>CUST-8354</t>
  </si>
  <si>
    <t>Pro Binders 488</t>
  </si>
  <si>
    <t>ORD-2025-10864</t>
  </si>
  <si>
    <t>CUST-2200</t>
  </si>
  <si>
    <t>Prime Furnishings 679</t>
  </si>
  <si>
    <t>ORD-2025-10865</t>
  </si>
  <si>
    <t>CUST-1178</t>
  </si>
  <si>
    <t>Smart Phones 158</t>
  </si>
  <si>
    <t>ORD-2025-10866</t>
  </si>
  <si>
    <t>CUST-8099</t>
  </si>
  <si>
    <t>Classic Labels 218</t>
  </si>
  <si>
    <t>ORD-2025-10867</t>
  </si>
  <si>
    <t>CUST-7596</t>
  </si>
  <si>
    <t>Smart Bookcases 552</t>
  </si>
  <si>
    <t>ORD-2024-10868</t>
  </si>
  <si>
    <t>CUST-2328</t>
  </si>
  <si>
    <t>Eco Accessories 389</t>
  </si>
  <si>
    <t>ORD-2025-10869</t>
  </si>
  <si>
    <t>CUST-8483</t>
  </si>
  <si>
    <t>Elite Storage 187</t>
  </si>
  <si>
    <t>ORD-2025-10870</t>
  </si>
  <si>
    <t>CUST-2388</t>
  </si>
  <si>
    <t>ORD-2025-10871</t>
  </si>
  <si>
    <t>CUST-7054</t>
  </si>
  <si>
    <t>Max Tables 281</t>
  </si>
  <si>
    <t>ORD-2024-10872</t>
  </si>
  <si>
    <t>Pro Accessories 325</t>
  </si>
  <si>
    <t>ORD-2024-10873</t>
  </si>
  <si>
    <t>Prime Furnishings 178</t>
  </si>
  <si>
    <t>ORD-2025-10874</t>
  </si>
  <si>
    <t>CUST-8160</t>
  </si>
  <si>
    <t>Elite Storage 144</t>
  </si>
  <si>
    <t>ORD-2025-10875</t>
  </si>
  <si>
    <t>CUST-8770</t>
  </si>
  <si>
    <t>Elite Paper 309</t>
  </si>
  <si>
    <t>ORD-2024-10876</t>
  </si>
  <si>
    <t>CUST-6928</t>
  </si>
  <si>
    <t>Elite Copiers 752</t>
  </si>
  <si>
    <t>ORD-2024-10877</t>
  </si>
  <si>
    <t>CUST-9044</t>
  </si>
  <si>
    <t>ORD-2025-10878</t>
  </si>
  <si>
    <t>CUST-7146</t>
  </si>
  <si>
    <t>Max Storage 438</t>
  </si>
  <si>
    <t>ORD-2024-10879</t>
  </si>
  <si>
    <t>CUST-8534</t>
  </si>
  <si>
    <t>Basic Paper 904</t>
  </si>
  <si>
    <t>ORD-2025-10880</t>
  </si>
  <si>
    <t>CUST-4486</t>
  </si>
  <si>
    <t>Smart Art 990</t>
  </si>
  <si>
    <t>ORD-2024-10881</t>
  </si>
  <si>
    <t>CUST-5287</t>
  </si>
  <si>
    <t>Basic Chairs 327</t>
  </si>
  <si>
    <t>ORD-2024-10882</t>
  </si>
  <si>
    <t>CUST-3445</t>
  </si>
  <si>
    <t>Eco Copiers 987</t>
  </si>
  <si>
    <t>ORD-2025-10883</t>
  </si>
  <si>
    <t>CUST-4983</t>
  </si>
  <si>
    <t>Basic Accessories 607</t>
  </si>
  <si>
    <t>ORD-2025-10884</t>
  </si>
  <si>
    <t>CUST-2597</t>
  </si>
  <si>
    <t>Classic Storage 211</t>
  </si>
  <si>
    <t>ORD-2025-10885</t>
  </si>
  <si>
    <t>CUST-7505</t>
  </si>
  <si>
    <t>Eco Storage 783</t>
  </si>
  <si>
    <t>ORD-2024-10886</t>
  </si>
  <si>
    <t>CUST-3446</t>
  </si>
  <si>
    <t>Pro Tables 866</t>
  </si>
  <si>
    <t>ORD-2025-10887</t>
  </si>
  <si>
    <t>CUST-3549</t>
  </si>
  <si>
    <t>Max Accessories 541</t>
  </si>
  <si>
    <t>ORD-2024-10888</t>
  </si>
  <si>
    <t>CUST-2795</t>
  </si>
  <si>
    <t>Prime Art 596</t>
  </si>
  <si>
    <t>ORD-2025-10889</t>
  </si>
  <si>
    <t>CUST-1081</t>
  </si>
  <si>
    <t>Pro Art 620</t>
  </si>
  <si>
    <t>ORD-2025-10890</t>
  </si>
  <si>
    <t>Prime Storage 806</t>
  </si>
  <si>
    <t>ORD-2024-10891</t>
  </si>
  <si>
    <t>CUST-3992</t>
  </si>
  <si>
    <t>Smart Storage 288</t>
  </si>
  <si>
    <t>ORD-2024-10892</t>
  </si>
  <si>
    <t>CUST-6647</t>
  </si>
  <si>
    <t>Elite Machines 281</t>
  </si>
  <si>
    <t>ORD-2025-10893</t>
  </si>
  <si>
    <t>CUST-5087</t>
  </si>
  <si>
    <t>Elite Copiers 221</t>
  </si>
  <si>
    <t>ORD-2024-10894</t>
  </si>
  <si>
    <t>CUST-9297</t>
  </si>
  <si>
    <t>Max Tables 291</t>
  </si>
  <si>
    <t>ORD-2024-10895</t>
  </si>
  <si>
    <t>CUST-7996</t>
  </si>
  <si>
    <t>Classic Tables 638</t>
  </si>
  <si>
    <t>ORD-2024-10896</t>
  </si>
  <si>
    <t>CUST-4117</t>
  </si>
  <si>
    <t>Basic Chairs 212</t>
  </si>
  <si>
    <t>ORD-2024-10897</t>
  </si>
  <si>
    <t>CUST-4848</t>
  </si>
  <si>
    <t>Max Copiers 121</t>
  </si>
  <si>
    <t>ORD-2025-10898</t>
  </si>
  <si>
    <t>Eco Paper 747</t>
  </si>
  <si>
    <t>ORD-2024-10899</t>
  </si>
  <si>
    <t>CUST-6046</t>
  </si>
  <si>
    <t>Classic Tables 535</t>
  </si>
  <si>
    <t>ORD-2025-10900</t>
  </si>
  <si>
    <t>CUST-3789</t>
  </si>
  <si>
    <t>Elite Chairs 971</t>
  </si>
  <si>
    <t>Rule Area</t>
  </si>
  <si>
    <t>Student-Facing Rule</t>
  </si>
  <si>
    <t>Raw file</t>
  </si>
  <si>
    <t>Do not overwrite raw_orders.xlsx. Create cleaned_orders.xlsx separately.</t>
  </si>
  <si>
    <t>Missing region</t>
  </si>
  <si>
    <t>Fill as Unknown and flag in quality report.</t>
  </si>
  <si>
    <t>Missing ship_mode</t>
  </si>
  <si>
    <t>Missing discount</t>
  </si>
  <si>
    <t>Treat as 0 only if all other sales fields are valid; otherwise flag.</t>
  </si>
  <si>
    <t>Discount</t>
  </si>
  <si>
    <t>Flag negative discounts and unusually high discounts as invalid.</t>
  </si>
  <si>
    <t>Cancelled/Failed/Refunded</t>
  </si>
  <si>
    <t>Do not include non-completed/failed/refunded records in completed-sales summaries.</t>
  </si>
  <si>
    <t>Date sequence</t>
  </si>
  <si>
    <t>Flag ship_date earlier than order_date.</t>
  </si>
  <si>
    <t>Duplicates</t>
  </si>
  <si>
    <t>Remove exact duplicate copies; flag conflicting duplicate order IDs.</t>
  </si>
  <si>
    <t>Calculated fields</t>
  </si>
  <si>
    <t>Create calculated_sales, calculated_profit, profit_margin, shipping_delay_days, order_month, order_year, and data_quality_flag.</t>
  </si>
  <si>
    <t>Documentation</t>
  </si>
  <si>
    <t>Document cleaning decisions and assumptions in cleaning_log.md.</t>
  </si>
  <si>
    <t>Unknown</t>
  </si>
  <si>
    <t>date_issue</t>
  </si>
  <si>
    <t>shipping_delay_days</t>
  </si>
  <si>
    <t>cleaned_discount</t>
  </si>
  <si>
    <t>invalid</t>
  </si>
  <si>
    <t>discount_issue</t>
  </si>
  <si>
    <t>calculated sales</t>
  </si>
  <si>
    <t>calculated_profit</t>
  </si>
  <si>
    <t>N/A</t>
  </si>
  <si>
    <t>profit_margin</t>
  </si>
  <si>
    <t>order_month</t>
  </si>
  <si>
    <t>order_year</t>
  </si>
  <si>
    <t>data_quality_flag</t>
  </si>
  <si>
    <t>warning</t>
  </si>
  <si>
    <t>missing region</t>
  </si>
  <si>
    <t>missing ship_mode</t>
  </si>
  <si>
    <t>missing region, ship_mode</t>
  </si>
  <si>
    <t>invalid_discount</t>
  </si>
  <si>
    <t>missing region, invalid discount</t>
  </si>
  <si>
    <t>OK</t>
  </si>
  <si>
    <t>sales_vs_calculated_sales</t>
  </si>
  <si>
    <t>shipping date before order date</t>
  </si>
  <si>
    <t>reported_sales vs calculated sales mismatch</t>
  </si>
  <si>
    <t>shipping date before order date,reported_sales vs calculated sales mismatch</t>
  </si>
  <si>
    <t>missing ship_mode,reported_sales vs calculated sales mismatch</t>
  </si>
  <si>
    <t>data_issue</t>
  </si>
  <si>
    <t>clean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</si>
</sst>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9" formatCode="0.0000"/>
  </numFmts>
  <fonts count="3">
    <font>
      <sz val="11"/>
      <name val="Carlito"/>
    </font>
    <font>
      <b/>
      <sz val="11"/>
      <color rgb="FFFFFFFF"/>
      <name val="Carlito"/>
    </font>
    <font>
      <sz val="11"/>
      <name val="Carlito"/>
    </font>
  </fonts>
  <fills count="3">
    <fill>
      <patternFill patternType="none"/>
    </fill>
    <fill>
      <patternFill patternType="gray125"/>
    </fill>
    <fill>
      <patternFill patternType="solid">
        <fgColor rgb="FF24406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1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2" fontId="1" fillId="2" borderId="0" xfId="0" applyNumberFormat="1" applyFont="1" applyFill="1" applyAlignment="1">
      <alignment horizontal="center" vertical="center" wrapText="1"/>
    </xf>
    <xf numFmtId="2" fontId="0" fillId="0" borderId="0" xfId="0" applyNumberFormat="1"/>
    <xf numFmtId="9" fontId="1" fillId="2" borderId="0" xfId="1" applyFont="1" applyFill="1" applyAlignment="1">
      <alignment horizontal="center" vertical="center" wrapText="1"/>
    </xf>
    <xf numFmtId="9" fontId="0" fillId="0" borderId="0" xfId="1" applyFont="1"/>
    <xf numFmtId="169" fontId="1" fillId="2" borderId="0" xfId="1" applyNumberFormat="1" applyFont="1" applyFill="1" applyAlignment="1">
      <alignment horizontal="center" vertical="center" wrapText="1"/>
    </xf>
    <xf numFmtId="169" fontId="0" fillId="0" borderId="0" xfId="1" applyNumberFormat="1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913"/>
  <sheetViews>
    <sheetView tabSelected="1" topLeftCell="U52" workbookViewId="0">
      <selection activeCell="AJ7" sqref="AJ7"/>
    </sheetView>
  </sheetViews>
  <sheetFormatPr baseColWidth="10" defaultColWidth="8.83203125" defaultRowHeight="14"/>
  <cols>
    <col min="1" max="1" width="16" customWidth="1"/>
    <col min="2" max="3" width="16" style="4" customWidth="1"/>
    <col min="4" max="5" width="23.6640625" style="6" customWidth="1"/>
    <col min="6" max="19" width="16" customWidth="1"/>
    <col min="20" max="20" width="32.33203125" bestFit="1" customWidth="1"/>
    <col min="21" max="25" width="16" customWidth="1"/>
    <col min="26" max="26" width="13.33203125" bestFit="1" customWidth="1"/>
    <col min="27" max="27" width="17.33203125" customWidth="1"/>
    <col min="28" max="28" width="15.1640625" style="8" customWidth="1"/>
    <col min="29" max="29" width="12.83203125" customWidth="1"/>
    <col min="30" max="30" width="15.1640625" customWidth="1"/>
    <col min="31" max="31" width="23.83203125" style="10" customWidth="1"/>
    <col min="32" max="32" width="31.5" customWidth="1"/>
    <col min="33" max="33" width="18" customWidth="1"/>
  </cols>
  <sheetData>
    <row r="1" spans="1:33" ht="37.25" customHeight="1">
      <c r="A1" s="1" t="s">
        <v>0</v>
      </c>
      <c r="B1" s="3" t="s">
        <v>1</v>
      </c>
      <c r="C1" s="3" t="s">
        <v>2</v>
      </c>
      <c r="D1" s="5" t="s">
        <v>2787</v>
      </c>
      <c r="E1" s="5" t="s">
        <v>2786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2788</v>
      </c>
      <c r="T1" s="1" t="s">
        <v>2790</v>
      </c>
      <c r="U1" s="1" t="s">
        <v>16</v>
      </c>
      <c r="V1" s="1" t="s">
        <v>17</v>
      </c>
      <c r="W1" s="1" t="s">
        <v>18</v>
      </c>
      <c r="X1" s="1" t="s">
        <v>19</v>
      </c>
      <c r="Y1" s="1" t="s">
        <v>20</v>
      </c>
      <c r="Z1" s="1" t="s">
        <v>2791</v>
      </c>
      <c r="AA1" s="1" t="s">
        <v>2792</v>
      </c>
      <c r="AB1" s="7" t="s">
        <v>2794</v>
      </c>
      <c r="AC1" s="1" t="s">
        <v>2795</v>
      </c>
      <c r="AD1" s="1" t="s">
        <v>2796</v>
      </c>
      <c r="AE1" s="9" t="s">
        <v>2805</v>
      </c>
      <c r="AF1" s="1" t="s">
        <v>2810</v>
      </c>
      <c r="AG1" s="1" t="s">
        <v>2797</v>
      </c>
    </row>
    <row r="2" spans="1:33">
      <c r="A2" t="s">
        <v>21</v>
      </c>
      <c r="B2" s="4">
        <v>45494</v>
      </c>
      <c r="C2" s="4">
        <v>45500</v>
      </c>
      <c r="D2">
        <f>_xlfn.DAYS(C2,B2)</f>
        <v>6</v>
      </c>
      <c r="E2" t="s">
        <v>2804</v>
      </c>
      <c r="F2" t="s">
        <v>22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L2" t="s">
        <v>28</v>
      </c>
      <c r="M2" t="s">
        <v>29</v>
      </c>
      <c r="N2" t="s">
        <v>30</v>
      </c>
      <c r="O2" t="s">
        <v>31</v>
      </c>
      <c r="P2">
        <v>8</v>
      </c>
      <c r="Q2">
        <v>2976.45</v>
      </c>
      <c r="R2">
        <v>0.2</v>
      </c>
      <c r="S2">
        <f>IF(ISNUMBER(SEARCH("%",R2)), VALUE(SUBSTITUTE(R2,"%",""))/100,IF(ISNUMBER(R2), R2, 0))</f>
        <v>0.2</v>
      </c>
      <c r="T2" t="str">
        <f>IF(S2&lt;0,"Negative discount (invalid)",IF(S2&gt;0.5,"Discount above allowed range (invalid)",IF(AND(R2="",S2=0),"Missing discount set to 0","OK")))</f>
        <v>OK</v>
      </c>
      <c r="U2">
        <v>19049.28</v>
      </c>
      <c r="V2">
        <v>15841.89</v>
      </c>
      <c r="W2">
        <v>3207.39</v>
      </c>
      <c r="X2" t="s">
        <v>32</v>
      </c>
      <c r="Y2" t="s">
        <v>33</v>
      </c>
      <c r="Z2">
        <f>IF(T2="OK",P2*Q2*(1-S2),"invalid")</f>
        <v>19049.28</v>
      </c>
      <c r="AA2">
        <f>IF(Z2="N/A","N/A",Z2-V2)</f>
        <v>3207.3899999999994</v>
      </c>
      <c r="AB2" s="8">
        <f>IF(Z2&lt;&gt;"N/A", AA2/Z2, "N/A")</f>
        <v>0.16837329284886357</v>
      </c>
      <c r="AC2">
        <f>MONTH(B2)</f>
        <v>7</v>
      </c>
      <c r="AD2">
        <f>YEAR(B2)</f>
        <v>2024</v>
      </c>
      <c r="AE2" s="10">
        <f>IF(Z2&lt;&gt;"N/A",ABS(Z2-U2),"N/A")</f>
        <v>0</v>
      </c>
      <c r="AF2" t="s">
        <v>2804</v>
      </c>
      <c r="AG2" t="s">
        <v>2811</v>
      </c>
    </row>
    <row r="3" spans="1:33">
      <c r="A3" t="s">
        <v>34</v>
      </c>
      <c r="B3" s="4">
        <v>45535</v>
      </c>
      <c r="C3" s="4">
        <v>45540</v>
      </c>
      <c r="D3">
        <f>_xlfn.DAYS(C3,B3)</f>
        <v>5</v>
      </c>
      <c r="E3" t="s">
        <v>2804</v>
      </c>
      <c r="F3" t="s">
        <v>35</v>
      </c>
      <c r="G3" t="s">
        <v>36</v>
      </c>
      <c r="H3" t="s">
        <v>37</v>
      </c>
      <c r="I3" t="s">
        <v>38</v>
      </c>
      <c r="J3" t="s">
        <v>39</v>
      </c>
      <c r="K3" t="s">
        <v>40</v>
      </c>
      <c r="L3" t="s">
        <v>41</v>
      </c>
      <c r="M3" t="s">
        <v>42</v>
      </c>
      <c r="N3" t="s">
        <v>43</v>
      </c>
      <c r="O3" t="s">
        <v>44</v>
      </c>
      <c r="P3">
        <v>3</v>
      </c>
      <c r="Q3">
        <v>2437.5</v>
      </c>
      <c r="R3">
        <v>0</v>
      </c>
      <c r="S3">
        <f>IF(ISNUMBER(SEARCH("%",R3)), VALUE(SUBSTITUTE(R3,"%",""))/100,IF(ISNUMBER(R3), R3, 0))</f>
        <v>0</v>
      </c>
      <c r="T3" t="str">
        <f>IF(S3&lt;0,"Negative discount (invalid)",IF(S3&gt;0.5,"Discount above allowed range (invalid)",IF(AND(R3="",S3=0),"Missing discount set to 0","OK")))</f>
        <v>OK</v>
      </c>
      <c r="U3">
        <v>7312.5</v>
      </c>
      <c r="V3">
        <v>4904.7299999999996</v>
      </c>
      <c r="W3">
        <v>2407.77</v>
      </c>
      <c r="X3" t="s">
        <v>32</v>
      </c>
      <c r="Y3" t="s">
        <v>33</v>
      </c>
      <c r="Z3">
        <f>IF(T3="OK",P3*Q3*(1-S3),"invalid")</f>
        <v>7312.5</v>
      </c>
      <c r="AA3">
        <f>IF(Z3="N/A","N/A",Z3-V3)</f>
        <v>2407.7700000000004</v>
      </c>
      <c r="AB3" s="8">
        <f>IF(Z3&lt;&gt;"N/A", AA3/Z3, "N/A")</f>
        <v>0.32926769230769237</v>
      </c>
      <c r="AC3">
        <f>MONTH(B3)</f>
        <v>8</v>
      </c>
      <c r="AD3">
        <f>YEAR(B3)</f>
        <v>2024</v>
      </c>
      <c r="AE3" s="10">
        <f t="shared" ref="AE3:AE66" si="0">IF(Z3&lt;&gt;"N/A",ABS(Z3-U3),"N/A")</f>
        <v>0</v>
      </c>
      <c r="AF3" t="s">
        <v>2804</v>
      </c>
      <c r="AG3" t="s">
        <v>2811</v>
      </c>
    </row>
    <row r="4" spans="1:33">
      <c r="A4" t="s">
        <v>45</v>
      </c>
      <c r="B4" s="4">
        <v>45451</v>
      </c>
      <c r="C4" s="4">
        <v>45458</v>
      </c>
      <c r="D4">
        <f>_xlfn.DAYS(C4,B4)</f>
        <v>7</v>
      </c>
      <c r="E4" t="s">
        <v>2804</v>
      </c>
      <c r="F4" t="s">
        <v>46</v>
      </c>
      <c r="G4" t="s">
        <v>47</v>
      </c>
      <c r="H4" t="s">
        <v>24</v>
      </c>
      <c r="I4" t="s">
        <v>38</v>
      </c>
      <c r="J4" t="s">
        <v>39</v>
      </c>
      <c r="K4" t="s">
        <v>40</v>
      </c>
      <c r="L4" t="s">
        <v>28</v>
      </c>
      <c r="M4" t="s">
        <v>48</v>
      </c>
      <c r="N4" t="s">
        <v>49</v>
      </c>
      <c r="O4" t="s">
        <v>50</v>
      </c>
      <c r="P4">
        <v>4</v>
      </c>
      <c r="Q4">
        <v>1065.43</v>
      </c>
      <c r="R4">
        <v>0.55000000000000004</v>
      </c>
      <c r="S4">
        <f>IF(ISNUMBER(SEARCH("%",R4)), VALUE(SUBSTITUTE(R4,"%",""))/100,IF(ISNUMBER(R4), R4, 0))</f>
        <v>0.55000000000000004</v>
      </c>
      <c r="T4" t="str">
        <f>IF(S4&lt;0,"Negative discount (invalid)",IF(S4&gt;0.5,"Discount above allowed range (invalid)",IF(AND(R4="",S4=0),"Missing discount set to 0","OK")))</f>
        <v>Discount above allowed range (invalid)</v>
      </c>
      <c r="U4">
        <v>4261.72</v>
      </c>
      <c r="V4">
        <v>2465.69</v>
      </c>
      <c r="W4">
        <v>1796.03</v>
      </c>
      <c r="X4" t="s">
        <v>32</v>
      </c>
      <c r="Y4" t="s">
        <v>33</v>
      </c>
      <c r="Z4" t="s">
        <v>2793</v>
      </c>
      <c r="AA4" t="str">
        <f>IF(Z4="N/A","N/A",Z4-V4)</f>
        <v>N/A</v>
      </c>
      <c r="AB4" s="8" t="str">
        <f>IF(Z4&lt;&gt;"N/A", AA4/Z4, "N/A")</f>
        <v>N/A</v>
      </c>
      <c r="AC4">
        <f>MONTH(B4)</f>
        <v>6</v>
      </c>
      <c r="AD4">
        <f>YEAR(B4)</f>
        <v>2024</v>
      </c>
      <c r="AE4" s="10" t="str">
        <f t="shared" si="0"/>
        <v>N/A</v>
      </c>
      <c r="AF4" t="s">
        <v>2802</v>
      </c>
      <c r="AG4" t="s">
        <v>2789</v>
      </c>
    </row>
    <row r="5" spans="1:33">
      <c r="A5" t="s">
        <v>51</v>
      </c>
      <c r="B5" s="4">
        <v>45624</v>
      </c>
      <c r="C5" s="4">
        <v>45625</v>
      </c>
      <c r="D5">
        <f>_xlfn.DAYS(C5,B5)</f>
        <v>1</v>
      </c>
      <c r="E5" t="s">
        <v>2804</v>
      </c>
      <c r="F5" t="s">
        <v>52</v>
      </c>
      <c r="G5" t="s">
        <v>53</v>
      </c>
      <c r="H5" t="s">
        <v>37</v>
      </c>
      <c r="I5" t="s">
        <v>54</v>
      </c>
      <c r="J5" t="s">
        <v>55</v>
      </c>
      <c r="K5" t="s">
        <v>56</v>
      </c>
      <c r="L5" t="s">
        <v>41</v>
      </c>
      <c r="M5" t="s">
        <v>57</v>
      </c>
      <c r="N5" t="s">
        <v>58</v>
      </c>
      <c r="O5" t="s">
        <v>59</v>
      </c>
      <c r="P5">
        <v>6</v>
      </c>
      <c r="Q5">
        <v>1848.43</v>
      </c>
      <c r="R5">
        <v>0.25</v>
      </c>
      <c r="S5">
        <f>IF(ISNUMBER(SEARCH("%",R5)), VALUE(SUBSTITUTE(R5,"%",""))/100,IF(ISNUMBER(R5), R5, 0))</f>
        <v>0.25</v>
      </c>
      <c r="T5" t="str">
        <f>IF(S5&lt;0,"Negative discount (invalid)",IF(S5&gt;0.5,"Discount above allowed range (invalid)",IF(AND(R5="",S5=0),"Missing discount set to 0","OK")))</f>
        <v>OK</v>
      </c>
      <c r="U5">
        <v>8317.93</v>
      </c>
      <c r="V5">
        <v>6796.77</v>
      </c>
      <c r="W5">
        <v>1521.16</v>
      </c>
      <c r="X5" t="s">
        <v>32</v>
      </c>
      <c r="Y5" t="s">
        <v>33</v>
      </c>
      <c r="Z5">
        <f>IF(T5="OK",P5*Q5*(1-S5),"invalid")</f>
        <v>8317.9349999999995</v>
      </c>
      <c r="AA5">
        <f>IF(Z5="N/A","N/A",Z5-V5)</f>
        <v>1521.1649999999991</v>
      </c>
      <c r="AB5" s="8">
        <f>IF(Z5&lt;&gt;"N/A", AA5/Z5, "N/A")</f>
        <v>0.18287772145370204</v>
      </c>
      <c r="AC5">
        <f>MONTH(B5)</f>
        <v>11</v>
      </c>
      <c r="AD5">
        <f>YEAR(B5)</f>
        <v>2024</v>
      </c>
      <c r="AE5" s="10">
        <f t="shared" si="0"/>
        <v>4.9999999991996447E-3</v>
      </c>
      <c r="AF5" t="s">
        <v>2804</v>
      </c>
      <c r="AG5" t="s">
        <v>2811</v>
      </c>
    </row>
    <row r="6" spans="1:33">
      <c r="A6" t="s">
        <v>69</v>
      </c>
      <c r="B6" s="4">
        <v>45436</v>
      </c>
      <c r="C6" s="4">
        <v>45440</v>
      </c>
      <c r="D6">
        <f>_xlfn.DAYS(C6,B6)</f>
        <v>4</v>
      </c>
      <c r="E6" t="s">
        <v>2804</v>
      </c>
      <c r="F6" t="s">
        <v>70</v>
      </c>
      <c r="G6" t="s">
        <v>71</v>
      </c>
      <c r="H6" t="s">
        <v>37</v>
      </c>
      <c r="I6" t="s">
        <v>63</v>
      </c>
      <c r="J6" t="s">
        <v>72</v>
      </c>
      <c r="K6" t="s">
        <v>73</v>
      </c>
      <c r="L6" t="s">
        <v>74</v>
      </c>
      <c r="M6" t="s">
        <v>75</v>
      </c>
      <c r="N6" t="s">
        <v>76</v>
      </c>
      <c r="O6" t="s">
        <v>44</v>
      </c>
      <c r="P6">
        <v>3</v>
      </c>
      <c r="Q6">
        <v>1053.1099999999999</v>
      </c>
      <c r="R6">
        <v>0.2</v>
      </c>
      <c r="S6">
        <f>IF(ISNUMBER(SEARCH("%",R6)), VALUE(SUBSTITUTE(R6,"%",""))/100,IF(ISNUMBER(R6), R6, 0))</f>
        <v>0.2</v>
      </c>
      <c r="T6" t="str">
        <f>IF(S6&lt;0,"Negative discount (invalid)",IF(S6&gt;0.5,"Discount above allowed range (invalid)",IF(AND(R6="",S6=0),"Missing discount set to 0","OK")))</f>
        <v>OK</v>
      </c>
      <c r="U6">
        <v>2527.46</v>
      </c>
      <c r="V6">
        <v>1533.58</v>
      </c>
      <c r="W6">
        <v>993.88</v>
      </c>
      <c r="X6" t="s">
        <v>32</v>
      </c>
      <c r="Y6" t="s">
        <v>33</v>
      </c>
      <c r="Z6">
        <f>IF(T6="OK",P6*Q6*(1-S6),"invalid")</f>
        <v>2527.4639999999999</v>
      </c>
      <c r="AA6">
        <f>IF(Z6="N/A","N/A",Z6-V6)</f>
        <v>993.88400000000001</v>
      </c>
      <c r="AB6" s="8">
        <f>IF(Z6&lt;&gt;"N/A", AA6/Z6, "N/A")</f>
        <v>0.39323369195367375</v>
      </c>
      <c r="AC6">
        <f>MONTH(B6)</f>
        <v>5</v>
      </c>
      <c r="AD6">
        <f>YEAR(B6)</f>
        <v>2024</v>
      </c>
      <c r="AE6" s="10">
        <f t="shared" si="0"/>
        <v>3.9999999999054126E-3</v>
      </c>
      <c r="AF6" t="s">
        <v>2804</v>
      </c>
      <c r="AG6" t="s">
        <v>2811</v>
      </c>
    </row>
    <row r="7" spans="1:33">
      <c r="A7" t="s">
        <v>87</v>
      </c>
      <c r="B7" s="4">
        <v>45601</v>
      </c>
      <c r="C7" s="4">
        <v>45606</v>
      </c>
      <c r="D7">
        <f>_xlfn.DAYS(C7,B7)</f>
        <v>5</v>
      </c>
      <c r="E7" t="s">
        <v>2804</v>
      </c>
      <c r="F7" t="s">
        <v>88</v>
      </c>
      <c r="G7" t="s">
        <v>89</v>
      </c>
      <c r="H7" t="s">
        <v>90</v>
      </c>
      <c r="I7" t="s">
        <v>54</v>
      </c>
      <c r="J7" t="s">
        <v>55</v>
      </c>
      <c r="K7" t="s">
        <v>56</v>
      </c>
      <c r="L7" t="s">
        <v>28</v>
      </c>
      <c r="M7" t="s">
        <v>91</v>
      </c>
      <c r="N7" t="s">
        <v>92</v>
      </c>
      <c r="O7" t="s">
        <v>50</v>
      </c>
      <c r="P7">
        <v>8</v>
      </c>
      <c r="Q7">
        <v>3134.2</v>
      </c>
      <c r="R7">
        <v>0</v>
      </c>
      <c r="S7">
        <f>IF(ISNUMBER(SEARCH("%",R7)), VALUE(SUBSTITUTE(R7,"%",""))/100,IF(ISNUMBER(R7), R7, 0))</f>
        <v>0</v>
      </c>
      <c r="T7" t="str">
        <f>IF(S7&lt;0,"Negative discount (invalid)",IF(S7&gt;0.5,"Discount above allowed range (invalid)",IF(AND(R7="",S7=0),"Missing discount set to 0","OK")))</f>
        <v>OK</v>
      </c>
      <c r="U7">
        <v>25073.599999999999</v>
      </c>
      <c r="V7">
        <v>17347.23</v>
      </c>
      <c r="W7">
        <v>7726.37</v>
      </c>
      <c r="X7" t="s">
        <v>32</v>
      </c>
      <c r="Y7" t="s">
        <v>33</v>
      </c>
      <c r="Z7">
        <f>IF(T7="OK",P7*Q7*(1-S7),"invalid")</f>
        <v>25073.599999999999</v>
      </c>
      <c r="AA7">
        <f>IF(Z7="N/A","N/A",Z7-V7)</f>
        <v>7726.369999999999</v>
      </c>
      <c r="AB7" s="8">
        <f>IF(Z7&lt;&gt;"N/A", AA7/Z7, "N/A")</f>
        <v>0.30814761342607361</v>
      </c>
      <c r="AC7">
        <f>MONTH(B7)</f>
        <v>11</v>
      </c>
      <c r="AD7">
        <f>YEAR(B7)</f>
        <v>2024</v>
      </c>
      <c r="AE7" s="10">
        <f t="shared" si="0"/>
        <v>0</v>
      </c>
      <c r="AF7" t="s">
        <v>2804</v>
      </c>
      <c r="AG7" t="s">
        <v>2811</v>
      </c>
    </row>
    <row r="8" spans="1:33">
      <c r="A8" t="s">
        <v>104</v>
      </c>
      <c r="B8" s="4">
        <v>45495</v>
      </c>
      <c r="C8" s="4">
        <v>45496</v>
      </c>
      <c r="D8">
        <f>_xlfn.DAYS(C8,B8)</f>
        <v>1</v>
      </c>
      <c r="E8" t="s">
        <v>2804</v>
      </c>
      <c r="F8" t="s">
        <v>105</v>
      </c>
      <c r="G8" t="s">
        <v>71</v>
      </c>
      <c r="H8" t="s">
        <v>37</v>
      </c>
      <c r="I8" t="s">
        <v>38</v>
      </c>
      <c r="J8" t="s">
        <v>39</v>
      </c>
      <c r="K8" t="s">
        <v>40</v>
      </c>
      <c r="L8" t="s">
        <v>74</v>
      </c>
      <c r="M8" t="s">
        <v>75</v>
      </c>
      <c r="N8" t="s">
        <v>106</v>
      </c>
      <c r="O8" t="s">
        <v>44</v>
      </c>
      <c r="P8">
        <v>6</v>
      </c>
      <c r="Q8">
        <v>2005.95</v>
      </c>
      <c r="R8">
        <v>0.2</v>
      </c>
      <c r="S8">
        <f>IF(ISNUMBER(SEARCH("%",R8)), VALUE(SUBSTITUTE(R8,"%",""))/100,IF(ISNUMBER(R8), R8, 0))</f>
        <v>0.2</v>
      </c>
      <c r="T8" t="str">
        <f>IF(S8&lt;0,"Negative discount (invalid)",IF(S8&gt;0.5,"Discount above allowed range (invalid)",IF(AND(R8="",S8=0),"Missing discount set to 0","OK")))</f>
        <v>OK</v>
      </c>
      <c r="U8">
        <v>9628.56</v>
      </c>
      <c r="V8">
        <v>8038.59</v>
      </c>
      <c r="W8">
        <v>1589.97</v>
      </c>
      <c r="X8" t="s">
        <v>32</v>
      </c>
      <c r="Y8" t="s">
        <v>33</v>
      </c>
      <c r="Z8">
        <f>IF(T8="OK",P8*Q8*(1-S8),"invalid")</f>
        <v>9628.5600000000013</v>
      </c>
      <c r="AA8">
        <f>IF(Z8="N/A","N/A",Z8-V8)</f>
        <v>1589.9700000000012</v>
      </c>
      <c r="AB8" s="8">
        <f>IF(Z8&lt;&gt;"N/A", AA8/Z8, "N/A")</f>
        <v>0.16513061143099289</v>
      </c>
      <c r="AC8">
        <f>MONTH(B8)</f>
        <v>7</v>
      </c>
      <c r="AD8">
        <f>YEAR(B8)</f>
        <v>2024</v>
      </c>
      <c r="AE8" s="10">
        <f t="shared" si="0"/>
        <v>1.8189894035458565E-12</v>
      </c>
      <c r="AF8" t="s">
        <v>2804</v>
      </c>
      <c r="AG8" t="s">
        <v>2811</v>
      </c>
    </row>
    <row r="9" spans="1:33">
      <c r="A9" t="s">
        <v>107</v>
      </c>
      <c r="B9" s="4">
        <v>45646</v>
      </c>
      <c r="C9" s="4">
        <v>45647</v>
      </c>
      <c r="D9">
        <f>_xlfn.DAYS(C9,B9)</f>
        <v>1</v>
      </c>
      <c r="E9" t="s">
        <v>2804</v>
      </c>
      <c r="F9" t="s">
        <v>108</v>
      </c>
      <c r="G9" t="s">
        <v>62</v>
      </c>
      <c r="H9" t="s">
        <v>90</v>
      </c>
      <c r="I9" t="s">
        <v>63</v>
      </c>
      <c r="J9" t="s">
        <v>26</v>
      </c>
      <c r="K9" t="s">
        <v>109</v>
      </c>
      <c r="L9" t="s">
        <v>28</v>
      </c>
      <c r="M9" t="s">
        <v>29</v>
      </c>
      <c r="N9" t="s">
        <v>110</v>
      </c>
      <c r="O9" t="s">
        <v>50</v>
      </c>
      <c r="P9">
        <v>1</v>
      </c>
      <c r="Q9">
        <v>702.14</v>
      </c>
      <c r="R9">
        <v>0.15</v>
      </c>
      <c r="S9">
        <f>IF(ISNUMBER(SEARCH("%",R9)), VALUE(SUBSTITUTE(R9,"%",""))/100,IF(ISNUMBER(R9), R9, 0))</f>
        <v>0.15</v>
      </c>
      <c r="T9" t="str">
        <f>IF(S9&lt;0,"Negative discount (invalid)",IF(S9&gt;0.5,"Discount above allowed range (invalid)",IF(AND(R9="",S9=0),"Missing discount set to 0","OK")))</f>
        <v>OK</v>
      </c>
      <c r="U9">
        <v>596.82000000000005</v>
      </c>
      <c r="V9">
        <v>380.25</v>
      </c>
      <c r="W9">
        <v>216.57</v>
      </c>
      <c r="X9" t="s">
        <v>111</v>
      </c>
      <c r="Y9" t="s">
        <v>103</v>
      </c>
      <c r="Z9">
        <f>IF(T9="OK",P9*Q9*(1-S9),"invalid")</f>
        <v>596.81899999999996</v>
      </c>
      <c r="AA9">
        <f>IF(Z9="N/A","N/A",Z9-V9)</f>
        <v>216.56899999999996</v>
      </c>
      <c r="AB9" s="8">
        <f>IF(Z9&lt;&gt;"N/A", AA9/Z9, "N/A")</f>
        <v>0.36287216057129545</v>
      </c>
      <c r="AC9">
        <f>MONTH(B9)</f>
        <v>12</v>
      </c>
      <c r="AD9">
        <f>YEAR(B9)</f>
        <v>2024</v>
      </c>
      <c r="AE9" s="10">
        <f t="shared" si="0"/>
        <v>1.00000000009004E-3</v>
      </c>
      <c r="AF9" t="s">
        <v>2804</v>
      </c>
      <c r="AG9" t="s">
        <v>2811</v>
      </c>
    </row>
    <row r="10" spans="1:33">
      <c r="A10" t="s">
        <v>116</v>
      </c>
      <c r="B10" s="4">
        <v>45653</v>
      </c>
      <c r="C10" s="4">
        <v>45654</v>
      </c>
      <c r="D10">
        <f>_xlfn.DAYS(C10,B10)</f>
        <v>1</v>
      </c>
      <c r="E10" t="s">
        <v>2804</v>
      </c>
      <c r="F10" t="s">
        <v>117</v>
      </c>
      <c r="G10" t="s">
        <v>118</v>
      </c>
      <c r="H10" t="s">
        <v>24</v>
      </c>
      <c r="I10" t="s">
        <v>63</v>
      </c>
      <c r="J10" t="s">
        <v>26</v>
      </c>
      <c r="K10" t="s">
        <v>109</v>
      </c>
      <c r="L10" t="s">
        <v>74</v>
      </c>
      <c r="M10" t="s">
        <v>80</v>
      </c>
      <c r="N10" t="s">
        <v>119</v>
      </c>
      <c r="O10" t="s">
        <v>59</v>
      </c>
      <c r="P10">
        <v>2</v>
      </c>
      <c r="Q10">
        <v>2737.83</v>
      </c>
      <c r="R10">
        <v>0.25</v>
      </c>
      <c r="S10">
        <f>IF(ISNUMBER(SEARCH("%",R10)), VALUE(SUBSTITUTE(R10,"%",""))/100,IF(ISNUMBER(R10), R10, 0))</f>
        <v>0.25</v>
      </c>
      <c r="T10" t="str">
        <f>IF(S10&lt;0,"Negative discount (invalid)",IF(S10&gt;0.5,"Discount above allowed range (invalid)",IF(AND(R10="",S10=0),"Missing discount set to 0","OK")))</f>
        <v>OK</v>
      </c>
      <c r="U10">
        <v>4106.74</v>
      </c>
      <c r="V10">
        <v>2666.3</v>
      </c>
      <c r="W10">
        <v>1440.44</v>
      </c>
      <c r="X10" t="s">
        <v>32</v>
      </c>
      <c r="Y10" t="s">
        <v>33</v>
      </c>
      <c r="Z10">
        <f>IF(T10="OK",P10*Q10*(1-S10),"invalid")</f>
        <v>4106.7449999999999</v>
      </c>
      <c r="AA10">
        <f>IF(Z10="N/A","N/A",Z10-V10)</f>
        <v>1440.4449999999997</v>
      </c>
      <c r="AB10" s="8">
        <f>IF(Z10&lt;&gt;"N/A", AA10/Z10, "N/A")</f>
        <v>0.35075102057712365</v>
      </c>
      <c r="AC10">
        <f>MONTH(B10)</f>
        <v>12</v>
      </c>
      <c r="AD10">
        <f>YEAR(B10)</f>
        <v>2024</v>
      </c>
      <c r="AE10" s="10">
        <f t="shared" si="0"/>
        <v>5.0000000001091394E-3</v>
      </c>
      <c r="AF10" t="s">
        <v>2804</v>
      </c>
      <c r="AG10" t="s">
        <v>2811</v>
      </c>
    </row>
    <row r="11" spans="1:33">
      <c r="A11" t="s">
        <v>120</v>
      </c>
      <c r="B11" s="4">
        <v>45482</v>
      </c>
      <c r="C11" s="4">
        <v>45482</v>
      </c>
      <c r="D11">
        <f>_xlfn.DAYS(C11,B11)</f>
        <v>0</v>
      </c>
      <c r="E11" t="s">
        <v>2804</v>
      </c>
      <c r="F11" t="s">
        <v>121</v>
      </c>
      <c r="G11" t="s">
        <v>23</v>
      </c>
      <c r="H11" t="s">
        <v>37</v>
      </c>
      <c r="I11" t="s">
        <v>25</v>
      </c>
      <c r="J11" t="s">
        <v>122</v>
      </c>
      <c r="K11" t="s">
        <v>123</v>
      </c>
      <c r="L11" t="s">
        <v>28</v>
      </c>
      <c r="M11" t="s">
        <v>124</v>
      </c>
      <c r="N11" t="s">
        <v>125</v>
      </c>
      <c r="O11" t="s">
        <v>31</v>
      </c>
      <c r="P11">
        <v>6</v>
      </c>
      <c r="Q11">
        <v>3965.76</v>
      </c>
      <c r="R11">
        <v>0</v>
      </c>
      <c r="S11">
        <f>IF(ISNUMBER(SEARCH("%",R11)), VALUE(SUBSTITUTE(R11,"%",""))/100,IF(ISNUMBER(R11), R11, 0))</f>
        <v>0</v>
      </c>
      <c r="T11" t="str">
        <f>IF(S11&lt;0,"Negative discount (invalid)",IF(S11&gt;0.5,"Discount above allowed range (invalid)",IF(AND(R11="",S11=0),"Missing discount set to 0","OK")))</f>
        <v>OK</v>
      </c>
      <c r="U11">
        <v>23794.560000000001</v>
      </c>
      <c r="V11">
        <v>15698.47</v>
      </c>
      <c r="W11">
        <v>8096.09</v>
      </c>
      <c r="X11" t="s">
        <v>32</v>
      </c>
      <c r="Y11" t="s">
        <v>33</v>
      </c>
      <c r="Z11">
        <f>IF(T11="OK",P11*Q11*(1-S11),"invalid")</f>
        <v>23794.560000000001</v>
      </c>
      <c r="AA11">
        <f>IF(Z11="N/A","N/A",Z11-V11)</f>
        <v>8096.090000000002</v>
      </c>
      <c r="AB11" s="8">
        <f>IF(Z11&lt;&gt;"N/A", AA11/Z11, "N/A")</f>
        <v>0.34024962008122872</v>
      </c>
      <c r="AC11">
        <f>MONTH(B11)</f>
        <v>7</v>
      </c>
      <c r="AD11">
        <f>YEAR(B11)</f>
        <v>2024</v>
      </c>
      <c r="AE11" s="10">
        <f t="shared" si="0"/>
        <v>0</v>
      </c>
      <c r="AF11" t="s">
        <v>2804</v>
      </c>
      <c r="AG11" t="s">
        <v>2811</v>
      </c>
    </row>
    <row r="12" spans="1:33">
      <c r="A12" t="s">
        <v>126</v>
      </c>
      <c r="B12" s="4">
        <v>45420</v>
      </c>
      <c r="C12" s="4">
        <v>45427</v>
      </c>
      <c r="D12">
        <f>_xlfn.DAYS(C12,B12)</f>
        <v>7</v>
      </c>
      <c r="E12" t="s">
        <v>2804</v>
      </c>
      <c r="F12" t="s">
        <v>127</v>
      </c>
      <c r="G12" t="s">
        <v>128</v>
      </c>
      <c r="H12" t="s">
        <v>24</v>
      </c>
      <c r="I12" t="s">
        <v>54</v>
      </c>
      <c r="J12" t="s">
        <v>55</v>
      </c>
      <c r="K12" t="s">
        <v>56</v>
      </c>
      <c r="L12" t="s">
        <v>28</v>
      </c>
      <c r="M12" t="s">
        <v>48</v>
      </c>
      <c r="N12" t="s">
        <v>129</v>
      </c>
      <c r="O12" t="s">
        <v>50</v>
      </c>
      <c r="P12">
        <v>4</v>
      </c>
      <c r="Q12">
        <v>3323.51</v>
      </c>
      <c r="R12">
        <v>0.25</v>
      </c>
      <c r="S12">
        <f>IF(ISNUMBER(SEARCH("%",R12)), VALUE(SUBSTITUTE(R12,"%",""))/100,IF(ISNUMBER(R12), R12, 0))</f>
        <v>0.25</v>
      </c>
      <c r="T12" t="str">
        <f>IF(S12&lt;0,"Negative discount (invalid)",IF(S12&gt;0.5,"Discount above allowed range (invalid)",IF(AND(R12="",S12=0),"Missing discount set to 0","OK")))</f>
        <v>OK</v>
      </c>
      <c r="U12">
        <v>9970.5300000000007</v>
      </c>
      <c r="V12">
        <v>5668.17</v>
      </c>
      <c r="W12">
        <v>4302.3599999999997</v>
      </c>
      <c r="X12" t="s">
        <v>32</v>
      </c>
      <c r="Y12" t="s">
        <v>33</v>
      </c>
      <c r="Z12">
        <f>IF(T12="OK",P12*Q12*(1-S12),"invalid")</f>
        <v>9970.5300000000007</v>
      </c>
      <c r="AA12">
        <f>IF(Z12="N/A","N/A",Z12-V12)</f>
        <v>4302.3600000000006</v>
      </c>
      <c r="AB12" s="8">
        <f>IF(Z12&lt;&gt;"N/A", AA12/Z12, "N/A")</f>
        <v>0.43150765305354882</v>
      </c>
      <c r="AC12">
        <f>MONTH(B12)</f>
        <v>5</v>
      </c>
      <c r="AD12">
        <f>YEAR(B12)</f>
        <v>2024</v>
      </c>
      <c r="AE12" s="10">
        <f t="shared" si="0"/>
        <v>0</v>
      </c>
      <c r="AF12" t="s">
        <v>2804</v>
      </c>
      <c r="AG12" t="s">
        <v>2811</v>
      </c>
    </row>
    <row r="13" spans="1:33">
      <c r="A13" t="s">
        <v>130</v>
      </c>
      <c r="B13" s="4">
        <v>45298</v>
      </c>
      <c r="C13" s="4">
        <v>45299</v>
      </c>
      <c r="D13">
        <f>_xlfn.DAYS(C13,B13)</f>
        <v>1</v>
      </c>
      <c r="E13" t="s">
        <v>2804</v>
      </c>
      <c r="F13" t="s">
        <v>131</v>
      </c>
      <c r="G13" t="s">
        <v>132</v>
      </c>
      <c r="H13" t="s">
        <v>37</v>
      </c>
      <c r="I13" t="s">
        <v>25</v>
      </c>
      <c r="J13" t="s">
        <v>26</v>
      </c>
      <c r="K13" t="s">
        <v>27</v>
      </c>
      <c r="L13" t="s">
        <v>41</v>
      </c>
      <c r="M13" t="s">
        <v>57</v>
      </c>
      <c r="N13" t="s">
        <v>133</v>
      </c>
      <c r="O13" t="s">
        <v>44</v>
      </c>
      <c r="P13">
        <v>5</v>
      </c>
      <c r="Q13">
        <v>1526.78</v>
      </c>
      <c r="R13">
        <v>0</v>
      </c>
      <c r="S13">
        <f>IF(ISNUMBER(SEARCH("%",R13)), VALUE(SUBSTITUTE(R13,"%",""))/100,IF(ISNUMBER(R13), R13, 0))</f>
        <v>0</v>
      </c>
      <c r="T13" t="str">
        <f>IF(S13&lt;0,"Negative discount (invalid)",IF(S13&gt;0.5,"Discount above allowed range (invalid)",IF(AND(R13="",S13=0),"Missing discount set to 0","OK")))</f>
        <v>OK</v>
      </c>
      <c r="U13">
        <v>7633.9</v>
      </c>
      <c r="V13">
        <v>4706.91</v>
      </c>
      <c r="W13">
        <v>2926.99</v>
      </c>
      <c r="X13" t="s">
        <v>32</v>
      </c>
      <c r="Y13" t="s">
        <v>33</v>
      </c>
      <c r="Z13">
        <f>IF(T13="OK",P13*Q13*(1-S13),"invalid")</f>
        <v>7633.9</v>
      </c>
      <c r="AA13">
        <f>IF(Z13="N/A","N/A",Z13-V13)</f>
        <v>2926.99</v>
      </c>
      <c r="AB13" s="8">
        <f>IF(Z13&lt;&gt;"N/A", AA13/Z13, "N/A")</f>
        <v>0.38342000812166782</v>
      </c>
      <c r="AC13">
        <f>MONTH(B13)</f>
        <v>1</v>
      </c>
      <c r="AD13">
        <f>YEAR(B13)</f>
        <v>2024</v>
      </c>
      <c r="AE13" s="10">
        <f t="shared" si="0"/>
        <v>0</v>
      </c>
      <c r="AF13" t="s">
        <v>2804</v>
      </c>
      <c r="AG13" t="s">
        <v>2811</v>
      </c>
    </row>
    <row r="14" spans="1:33">
      <c r="A14" t="s">
        <v>139</v>
      </c>
      <c r="B14" s="4">
        <v>45500</v>
      </c>
      <c r="C14" s="4">
        <v>45504</v>
      </c>
      <c r="D14">
        <f>_xlfn.DAYS(C14,B14)</f>
        <v>4</v>
      </c>
      <c r="E14" t="s">
        <v>2804</v>
      </c>
      <c r="F14" t="s">
        <v>140</v>
      </c>
      <c r="G14" t="s">
        <v>141</v>
      </c>
      <c r="H14" t="s">
        <v>95</v>
      </c>
      <c r="I14" t="s">
        <v>63</v>
      </c>
      <c r="J14" t="s">
        <v>72</v>
      </c>
      <c r="K14" t="s">
        <v>73</v>
      </c>
      <c r="L14" t="s">
        <v>28</v>
      </c>
      <c r="M14" t="s">
        <v>124</v>
      </c>
      <c r="N14" t="s">
        <v>142</v>
      </c>
      <c r="O14" t="s">
        <v>31</v>
      </c>
      <c r="P14">
        <v>3</v>
      </c>
      <c r="Q14">
        <v>3887.94</v>
      </c>
      <c r="R14">
        <v>-0.19</v>
      </c>
      <c r="S14">
        <f>IF(ISNUMBER(SEARCH("%",R14)), VALUE(SUBSTITUTE(R14,"%",""))/100,IF(ISNUMBER(R14), R14, 0))</f>
        <v>-0.19</v>
      </c>
      <c r="T14" t="str">
        <f>IF(S14&lt;0,"Negative discount (invalid)",IF(S14&gt;0.5,"Discount above allowed range (invalid)",IF(AND(R14="",S14=0),"Missing discount set to 0","OK")))</f>
        <v>Negative discount (invalid)</v>
      </c>
      <c r="U14">
        <v>9331.06</v>
      </c>
      <c r="V14">
        <v>7529.31</v>
      </c>
      <c r="W14">
        <v>1801.75</v>
      </c>
      <c r="X14" t="s">
        <v>32</v>
      </c>
      <c r="Y14" t="s">
        <v>33</v>
      </c>
      <c r="Z14" t="s">
        <v>2793</v>
      </c>
      <c r="AA14" t="str">
        <f>IF(Z14="N/A","N/A",Z14-V14)</f>
        <v>N/A</v>
      </c>
      <c r="AB14" s="8" t="str">
        <f>IF(Z14&lt;&gt;"N/A", AA14/Z14, "N/A")</f>
        <v>N/A</v>
      </c>
      <c r="AC14">
        <f>MONTH(B14)</f>
        <v>7</v>
      </c>
      <c r="AD14">
        <f>YEAR(B14)</f>
        <v>2024</v>
      </c>
      <c r="AE14" s="10" t="str">
        <f t="shared" si="0"/>
        <v>N/A</v>
      </c>
      <c r="AF14" t="s">
        <v>2802</v>
      </c>
      <c r="AG14" t="s">
        <v>2789</v>
      </c>
    </row>
    <row r="15" spans="1:33">
      <c r="A15" t="s">
        <v>160</v>
      </c>
      <c r="B15" s="4">
        <v>45355</v>
      </c>
      <c r="C15" s="4">
        <v>45352</v>
      </c>
      <c r="D15">
        <f>_xlfn.DAYS(C15,B15)</f>
        <v>-3</v>
      </c>
      <c r="E15" t="str">
        <f>IF(B15="INVALID","Missing/Invalid order_date", IF(C15="INVALID","Missing/Invalid ship_date",IF(AND(B15&lt;&gt;"",C15&lt;&gt;"",C15&lt;B15),"Ship date before order date","")))</f>
        <v>Ship date before order date</v>
      </c>
      <c r="F15" t="s">
        <v>161</v>
      </c>
      <c r="G15" t="s">
        <v>162</v>
      </c>
      <c r="H15" t="s">
        <v>24</v>
      </c>
      <c r="I15" t="s">
        <v>25</v>
      </c>
      <c r="J15" t="s">
        <v>122</v>
      </c>
      <c r="K15" t="s">
        <v>123</v>
      </c>
      <c r="L15" t="s">
        <v>28</v>
      </c>
      <c r="M15" t="s">
        <v>48</v>
      </c>
      <c r="N15" t="s">
        <v>163</v>
      </c>
      <c r="O15" t="s">
        <v>59</v>
      </c>
      <c r="P15">
        <v>4</v>
      </c>
      <c r="Q15">
        <v>4492.9399999999996</v>
      </c>
      <c r="R15">
        <v>0.25</v>
      </c>
      <c r="S15">
        <f>IF(ISNUMBER(SEARCH("%",R15)), VALUE(SUBSTITUTE(R15,"%",""))/100,IF(ISNUMBER(R15), R15, 0))</f>
        <v>0.25</v>
      </c>
      <c r="T15" t="str">
        <f>IF(S15&lt;0,"Negative discount (invalid)",IF(S15&gt;0.5,"Discount above allowed range (invalid)",IF(AND(R15="",S15=0),"Missing discount set to 0","OK")))</f>
        <v>OK</v>
      </c>
      <c r="U15">
        <v>13478.82</v>
      </c>
      <c r="V15">
        <v>10937.35</v>
      </c>
      <c r="W15">
        <v>2541.4699999999998</v>
      </c>
      <c r="X15" t="s">
        <v>111</v>
      </c>
      <c r="Y15" t="s">
        <v>68</v>
      </c>
      <c r="Z15">
        <f>IF(T15="OK",P15*Q15*(1-S15),"invalid")</f>
        <v>13478.82</v>
      </c>
      <c r="AA15">
        <f>IF(Z15="N/A","N/A",Z15-V15)</f>
        <v>2541.4699999999993</v>
      </c>
      <c r="AB15" s="8">
        <f>IF(Z15&lt;&gt;"N/A", AA15/Z15, "N/A")</f>
        <v>0.18855285551702591</v>
      </c>
      <c r="AC15">
        <f>MONTH(B15)</f>
        <v>3</v>
      </c>
      <c r="AD15">
        <f>YEAR(B15)</f>
        <v>2024</v>
      </c>
      <c r="AE15" s="10">
        <f t="shared" si="0"/>
        <v>0</v>
      </c>
      <c r="AF15" t="s">
        <v>2806</v>
      </c>
      <c r="AG15" t="s">
        <v>2789</v>
      </c>
    </row>
    <row r="16" spans="1:33">
      <c r="A16" t="s">
        <v>164</v>
      </c>
      <c r="B16" s="4">
        <v>45576</v>
      </c>
      <c r="C16" s="4">
        <v>45584</v>
      </c>
      <c r="D16">
        <f>_xlfn.DAYS(C16,B16)</f>
        <v>8</v>
      </c>
      <c r="E16" t="s">
        <v>2804</v>
      </c>
      <c r="F16" t="s">
        <v>165</v>
      </c>
      <c r="G16" t="s">
        <v>53</v>
      </c>
      <c r="H16" t="s">
        <v>90</v>
      </c>
      <c r="I16" t="s">
        <v>38</v>
      </c>
      <c r="J16" t="s">
        <v>166</v>
      </c>
      <c r="K16" t="s">
        <v>167</v>
      </c>
      <c r="L16" t="s">
        <v>74</v>
      </c>
      <c r="M16" t="s">
        <v>75</v>
      </c>
      <c r="N16" t="s">
        <v>168</v>
      </c>
      <c r="O16" t="s">
        <v>50</v>
      </c>
      <c r="P16">
        <v>2</v>
      </c>
      <c r="Q16">
        <v>4315.2</v>
      </c>
      <c r="R16">
        <v>0.15</v>
      </c>
      <c r="S16">
        <f>IF(ISNUMBER(SEARCH("%",R16)), VALUE(SUBSTITUTE(R16,"%",""))/100,IF(ISNUMBER(R16), R16, 0))</f>
        <v>0.15</v>
      </c>
      <c r="T16" t="str">
        <f>IF(S16&lt;0,"Negative discount (invalid)",IF(S16&gt;0.5,"Discount above allowed range (invalid)",IF(AND(R16="",S16=0),"Missing discount set to 0","OK")))</f>
        <v>OK</v>
      </c>
      <c r="U16">
        <v>7335.84</v>
      </c>
      <c r="V16">
        <v>4968.41</v>
      </c>
      <c r="W16">
        <v>2367.4299999999998</v>
      </c>
      <c r="X16" t="s">
        <v>32</v>
      </c>
      <c r="Y16" t="s">
        <v>33</v>
      </c>
      <c r="Z16">
        <f>IF(T16="OK",P16*Q16*(1-S16),"invalid")</f>
        <v>7335.8399999999992</v>
      </c>
      <c r="AA16">
        <f>IF(Z16="N/A","N/A",Z16-V16)</f>
        <v>2367.4299999999994</v>
      </c>
      <c r="AB16" s="8">
        <f>IF(Z16&lt;&gt;"N/A", AA16/Z16, "N/A")</f>
        <v>0.32272105171323251</v>
      </c>
      <c r="AC16">
        <f>MONTH(B16)</f>
        <v>10</v>
      </c>
      <c r="AD16">
        <f>YEAR(B16)</f>
        <v>2024</v>
      </c>
      <c r="AE16" s="10">
        <f t="shared" si="0"/>
        <v>9.0949470177292824E-13</v>
      </c>
      <c r="AF16" t="s">
        <v>2804</v>
      </c>
      <c r="AG16" t="s">
        <v>2811</v>
      </c>
    </row>
    <row r="17" spans="1:33">
      <c r="A17" t="s">
        <v>169</v>
      </c>
      <c r="B17" s="4">
        <v>45619</v>
      </c>
      <c r="C17" s="4">
        <v>45619</v>
      </c>
      <c r="D17">
        <f>_xlfn.DAYS(C17,B17)</f>
        <v>0</v>
      </c>
      <c r="E17" t="s">
        <v>2804</v>
      </c>
      <c r="F17" t="s">
        <v>170</v>
      </c>
      <c r="G17" t="s">
        <v>162</v>
      </c>
      <c r="H17" t="s">
        <v>90</v>
      </c>
      <c r="I17" t="s">
        <v>25</v>
      </c>
      <c r="J17" t="s">
        <v>136</v>
      </c>
      <c r="K17" t="s">
        <v>137</v>
      </c>
      <c r="L17" t="s">
        <v>74</v>
      </c>
      <c r="M17" t="s">
        <v>171</v>
      </c>
      <c r="N17" t="s">
        <v>172</v>
      </c>
      <c r="O17" t="s">
        <v>59</v>
      </c>
      <c r="P17">
        <v>4</v>
      </c>
      <c r="Q17">
        <v>716.13</v>
      </c>
      <c r="R17">
        <v>0.1</v>
      </c>
      <c r="S17">
        <f>IF(ISNUMBER(SEARCH("%",R17)), VALUE(SUBSTITUTE(R17,"%",""))/100,IF(ISNUMBER(R17), R17, 0))</f>
        <v>0.1</v>
      </c>
      <c r="T17" t="str">
        <f>IF(S17&lt;0,"Negative discount (invalid)",IF(S17&gt;0.5,"Discount above allowed range (invalid)",IF(AND(R17="",S17=0),"Missing discount set to 0","OK")))</f>
        <v>OK</v>
      </c>
      <c r="U17">
        <v>2578.0700000000002</v>
      </c>
      <c r="V17">
        <v>1527.55</v>
      </c>
      <c r="W17">
        <v>1050.52</v>
      </c>
      <c r="X17" t="s">
        <v>32</v>
      </c>
      <c r="Y17" t="s">
        <v>103</v>
      </c>
      <c r="Z17">
        <f>IF(T17="OK",P17*Q17*(1-S17),"invalid")</f>
        <v>2578.0680000000002</v>
      </c>
      <c r="AA17">
        <f>IF(Z17="N/A","N/A",Z17-V17)</f>
        <v>1050.5180000000003</v>
      </c>
      <c r="AB17" s="8">
        <f>IF(Z17&lt;&gt;"N/A", AA17/Z17, "N/A")</f>
        <v>0.40748265755596835</v>
      </c>
      <c r="AC17">
        <f>MONTH(B17)</f>
        <v>11</v>
      </c>
      <c r="AD17">
        <f>YEAR(B17)</f>
        <v>2024</v>
      </c>
      <c r="AE17" s="10">
        <f t="shared" si="0"/>
        <v>1.9999999999527063E-3</v>
      </c>
      <c r="AF17" t="s">
        <v>2804</v>
      </c>
      <c r="AG17" t="s">
        <v>2811</v>
      </c>
    </row>
    <row r="18" spans="1:33">
      <c r="A18" t="s">
        <v>178</v>
      </c>
      <c r="B18" s="4">
        <v>45576</v>
      </c>
      <c r="C18" s="4">
        <v>45583</v>
      </c>
      <c r="D18">
        <f>_xlfn.DAYS(C18,B18)</f>
        <v>7</v>
      </c>
      <c r="E18" t="s">
        <v>2804</v>
      </c>
      <c r="F18" t="s">
        <v>179</v>
      </c>
      <c r="G18" t="s">
        <v>62</v>
      </c>
      <c r="H18" t="s">
        <v>95</v>
      </c>
      <c r="I18" t="s">
        <v>63</v>
      </c>
      <c r="J18" t="s">
        <v>180</v>
      </c>
      <c r="K18" t="s">
        <v>181</v>
      </c>
      <c r="L18" t="s">
        <v>74</v>
      </c>
      <c r="M18" t="s">
        <v>171</v>
      </c>
      <c r="N18" t="s">
        <v>182</v>
      </c>
      <c r="O18" t="s">
        <v>31</v>
      </c>
      <c r="P18">
        <v>2</v>
      </c>
      <c r="Q18">
        <v>1942.22</v>
      </c>
      <c r="R18">
        <v>0.25</v>
      </c>
      <c r="S18">
        <f>IF(ISNUMBER(SEARCH("%",R18)), VALUE(SUBSTITUTE(R18,"%",""))/100,IF(ISNUMBER(R18), R18, 0))</f>
        <v>0.25</v>
      </c>
      <c r="T18" t="str">
        <f>IF(S18&lt;0,"Negative discount (invalid)",IF(S18&gt;0.5,"Discount above allowed range (invalid)",IF(AND(R18="",S18=0),"Missing discount set to 0","OK")))</f>
        <v>OK</v>
      </c>
      <c r="U18">
        <v>2913.33</v>
      </c>
      <c r="V18">
        <v>2122.33</v>
      </c>
      <c r="W18">
        <v>791</v>
      </c>
      <c r="X18" t="s">
        <v>102</v>
      </c>
      <c r="Y18" t="s">
        <v>68</v>
      </c>
      <c r="Z18">
        <f>IF(T18="OK",P18*Q18*(1-S18),"invalid")</f>
        <v>2913.33</v>
      </c>
      <c r="AA18">
        <f>IF(Z18="N/A","N/A",Z18-V18)</f>
        <v>791</v>
      </c>
      <c r="AB18" s="8">
        <f>IF(Z18&lt;&gt;"N/A", AA18/Z18, "N/A")</f>
        <v>0.27151060813570727</v>
      </c>
      <c r="AC18">
        <f>MONTH(B18)</f>
        <v>10</v>
      </c>
      <c r="AD18">
        <f>YEAR(B18)</f>
        <v>2024</v>
      </c>
      <c r="AE18" s="10">
        <f t="shared" si="0"/>
        <v>0</v>
      </c>
      <c r="AF18" t="s">
        <v>2804</v>
      </c>
      <c r="AG18" t="s">
        <v>2811</v>
      </c>
    </row>
    <row r="19" spans="1:33">
      <c r="A19" t="s">
        <v>188</v>
      </c>
      <c r="B19" s="4">
        <v>45331</v>
      </c>
      <c r="C19" s="4">
        <v>45334</v>
      </c>
      <c r="D19">
        <f>_xlfn.DAYS(C19,B19)</f>
        <v>3</v>
      </c>
      <c r="E19" t="s">
        <v>2804</v>
      </c>
      <c r="F19" t="s">
        <v>189</v>
      </c>
      <c r="G19" t="s">
        <v>62</v>
      </c>
      <c r="H19" t="s">
        <v>90</v>
      </c>
      <c r="I19" t="s">
        <v>63</v>
      </c>
      <c r="J19" t="s">
        <v>190</v>
      </c>
      <c r="K19" t="s">
        <v>191</v>
      </c>
      <c r="L19" t="s">
        <v>28</v>
      </c>
      <c r="M19" t="s">
        <v>91</v>
      </c>
      <c r="N19" t="s">
        <v>192</v>
      </c>
      <c r="O19" t="s">
        <v>50</v>
      </c>
      <c r="P19">
        <v>1</v>
      </c>
      <c r="Q19">
        <v>3421.77</v>
      </c>
      <c r="R19">
        <v>0.1</v>
      </c>
      <c r="S19">
        <f>IF(ISNUMBER(SEARCH("%",R19)), VALUE(SUBSTITUTE(R19,"%",""))/100,IF(ISNUMBER(R19), R19, 0))</f>
        <v>0.1</v>
      </c>
      <c r="T19" t="str">
        <f>IF(S19&lt;0,"Negative discount (invalid)",IF(S19&gt;0.5,"Discount above allowed range (invalid)",IF(AND(R19="",S19=0),"Missing discount set to 0","OK")))</f>
        <v>OK</v>
      </c>
      <c r="U19">
        <v>3079.59</v>
      </c>
      <c r="V19">
        <v>2001.89</v>
      </c>
      <c r="W19">
        <v>1077.7</v>
      </c>
      <c r="X19" t="s">
        <v>32</v>
      </c>
      <c r="Y19" t="s">
        <v>33</v>
      </c>
      <c r="Z19">
        <f>IF(T19="OK",P19*Q19*(1-S19),"invalid")</f>
        <v>3079.5929999999998</v>
      </c>
      <c r="AA19">
        <f>IF(Z19="N/A","N/A",Z19-V19)</f>
        <v>1077.7029999999997</v>
      </c>
      <c r="AB19" s="8">
        <f>IF(Z19&lt;&gt;"N/A", AA19/Z19, "N/A")</f>
        <v>0.34994981479695525</v>
      </c>
      <c r="AC19">
        <f>MONTH(B19)</f>
        <v>2</v>
      </c>
      <c r="AD19">
        <f>YEAR(B19)</f>
        <v>2024</v>
      </c>
      <c r="AE19" s="10">
        <f t="shared" si="0"/>
        <v>2.9999999997016857E-3</v>
      </c>
      <c r="AF19" t="s">
        <v>2804</v>
      </c>
      <c r="AG19" t="s">
        <v>2811</v>
      </c>
    </row>
    <row r="20" spans="1:33">
      <c r="A20" t="s">
        <v>196</v>
      </c>
      <c r="B20" s="4">
        <v>45618</v>
      </c>
      <c r="C20" s="4">
        <v>45622</v>
      </c>
      <c r="D20">
        <f>_xlfn.DAYS(C20,B20)</f>
        <v>4</v>
      </c>
      <c r="E20" t="s">
        <v>2804</v>
      </c>
      <c r="F20" t="s">
        <v>197</v>
      </c>
      <c r="G20" t="s">
        <v>128</v>
      </c>
      <c r="H20" t="s">
        <v>90</v>
      </c>
      <c r="I20" t="s">
        <v>54</v>
      </c>
      <c r="J20" t="s">
        <v>84</v>
      </c>
      <c r="K20" t="s">
        <v>85</v>
      </c>
      <c r="L20" t="s">
        <v>74</v>
      </c>
      <c r="M20" t="s">
        <v>171</v>
      </c>
      <c r="N20" t="s">
        <v>198</v>
      </c>
      <c r="O20" t="s">
        <v>31</v>
      </c>
      <c r="P20">
        <v>3</v>
      </c>
      <c r="Q20">
        <v>4001.25</v>
      </c>
      <c r="R20">
        <v>0</v>
      </c>
      <c r="S20">
        <f>IF(ISNUMBER(SEARCH("%",R20)), VALUE(SUBSTITUTE(R20,"%",""))/100,IF(ISNUMBER(R20), R20, 0))</f>
        <v>0</v>
      </c>
      <c r="T20" t="str">
        <f>IF(S20&lt;0,"Negative discount (invalid)",IF(S20&gt;0.5,"Discount above allowed range (invalid)",IF(AND(R20="",S20=0),"Missing discount set to 0","OK")))</f>
        <v>OK</v>
      </c>
      <c r="U20">
        <v>9002.81</v>
      </c>
      <c r="V20">
        <v>7529.92</v>
      </c>
      <c r="W20">
        <v>1472.89</v>
      </c>
      <c r="X20" t="s">
        <v>32</v>
      </c>
      <c r="Y20" t="s">
        <v>33</v>
      </c>
      <c r="Z20">
        <f>IF(T20="OK",P20*Q20*(1-S20),"invalid")</f>
        <v>12003.75</v>
      </c>
      <c r="AA20">
        <f>IF(Z20="N/A","N/A",Z20-V20)</f>
        <v>4473.83</v>
      </c>
      <c r="AB20" s="8">
        <f>IF(Z20&lt;&gt;"N/A", AA20/Z20, "N/A")</f>
        <v>0.37270269707383108</v>
      </c>
      <c r="AC20">
        <f>MONTH(B20)</f>
        <v>11</v>
      </c>
      <c r="AD20">
        <f>YEAR(B20)</f>
        <v>2024</v>
      </c>
      <c r="AE20" s="10">
        <f t="shared" si="0"/>
        <v>3000.9400000000005</v>
      </c>
      <c r="AF20" t="s">
        <v>2807</v>
      </c>
      <c r="AG20" t="s">
        <v>2789</v>
      </c>
    </row>
    <row r="21" spans="1:33">
      <c r="A21" t="s">
        <v>199</v>
      </c>
      <c r="B21" s="4">
        <v>45495</v>
      </c>
      <c r="C21" s="4">
        <v>45500</v>
      </c>
      <c r="D21">
        <f>_xlfn.DAYS(C21,B21)</f>
        <v>5</v>
      </c>
      <c r="E21" t="s">
        <v>2804</v>
      </c>
      <c r="F21" t="s">
        <v>200</v>
      </c>
      <c r="G21" t="s">
        <v>114</v>
      </c>
      <c r="H21" t="s">
        <v>95</v>
      </c>
      <c r="I21" t="s">
        <v>63</v>
      </c>
      <c r="J21" t="s">
        <v>190</v>
      </c>
      <c r="K21" t="s">
        <v>191</v>
      </c>
      <c r="L21" t="s">
        <v>41</v>
      </c>
      <c r="M21" t="s">
        <v>42</v>
      </c>
      <c r="N21" t="s">
        <v>201</v>
      </c>
      <c r="O21" t="s">
        <v>44</v>
      </c>
      <c r="P21">
        <v>7</v>
      </c>
      <c r="Q21">
        <v>492.41</v>
      </c>
      <c r="R21">
        <v>0.25</v>
      </c>
      <c r="S21">
        <f>IF(ISNUMBER(SEARCH("%",R21)), VALUE(SUBSTITUTE(R21,"%",""))/100,IF(ISNUMBER(R21), R21, 0))</f>
        <v>0.25</v>
      </c>
      <c r="T21" t="str">
        <f>IF(S21&lt;0,"Negative discount (invalid)",IF(S21&gt;0.5,"Discount above allowed range (invalid)",IF(AND(R21="",S21=0),"Missing discount set to 0","OK")))</f>
        <v>OK</v>
      </c>
      <c r="U21">
        <v>2585.15</v>
      </c>
      <c r="V21">
        <v>2070.73</v>
      </c>
      <c r="W21">
        <v>514.41999999999996</v>
      </c>
      <c r="X21" t="s">
        <v>32</v>
      </c>
      <c r="Y21" t="s">
        <v>33</v>
      </c>
      <c r="Z21">
        <f>IF(T21="OK",P21*Q21*(1-S21),"invalid")</f>
        <v>2585.1525000000001</v>
      </c>
      <c r="AA21">
        <f>IF(Z21="N/A","N/A",Z21-V21)</f>
        <v>514.42250000000013</v>
      </c>
      <c r="AB21" s="8">
        <f>IF(Z21&lt;&gt;"N/A", AA21/Z21, "N/A")</f>
        <v>0.19899116203009304</v>
      </c>
      <c r="AC21">
        <f>MONTH(B21)</f>
        <v>7</v>
      </c>
      <c r="AD21">
        <f>YEAR(B21)</f>
        <v>2024</v>
      </c>
      <c r="AE21" s="10">
        <f t="shared" si="0"/>
        <v>2.5000000000545697E-3</v>
      </c>
      <c r="AF21" t="s">
        <v>2804</v>
      </c>
      <c r="AG21" t="s">
        <v>2811</v>
      </c>
    </row>
    <row r="22" spans="1:33">
      <c r="A22" t="s">
        <v>205</v>
      </c>
      <c r="B22" s="4">
        <v>45441</v>
      </c>
      <c r="C22" s="4">
        <v>45441</v>
      </c>
      <c r="D22">
        <f>_xlfn.DAYS(C22,B22)</f>
        <v>0</v>
      </c>
      <c r="E22" t="s">
        <v>2804</v>
      </c>
      <c r="F22" t="s">
        <v>206</v>
      </c>
      <c r="G22" t="s">
        <v>132</v>
      </c>
      <c r="H22" t="s">
        <v>37</v>
      </c>
      <c r="I22" t="s">
        <v>63</v>
      </c>
      <c r="J22" t="s">
        <v>180</v>
      </c>
      <c r="K22" t="s">
        <v>181</v>
      </c>
      <c r="L22" t="s">
        <v>41</v>
      </c>
      <c r="M22" t="s">
        <v>158</v>
      </c>
      <c r="N22" t="s">
        <v>207</v>
      </c>
      <c r="O22" t="s">
        <v>31</v>
      </c>
      <c r="P22">
        <v>8</v>
      </c>
      <c r="Q22">
        <v>2507.12</v>
      </c>
      <c r="R22">
        <v>0.05</v>
      </c>
      <c r="S22">
        <f>IF(ISNUMBER(SEARCH("%",R22)), VALUE(SUBSTITUTE(R22,"%",""))/100,IF(ISNUMBER(R22), R22, 0))</f>
        <v>0.05</v>
      </c>
      <c r="T22" t="str">
        <f>IF(S22&lt;0,"Negative discount (invalid)",IF(S22&gt;0.5,"Discount above allowed range (invalid)",IF(AND(R22="",S22=0),"Missing discount set to 0","OK")))</f>
        <v>OK</v>
      </c>
      <c r="U22">
        <v>19054.11</v>
      </c>
      <c r="V22">
        <v>15313.83</v>
      </c>
      <c r="W22">
        <v>3740.28</v>
      </c>
      <c r="X22" t="s">
        <v>111</v>
      </c>
      <c r="Y22" t="s">
        <v>103</v>
      </c>
      <c r="Z22">
        <f>IF(T22="OK",P22*Q22*(1-S22),"invalid")</f>
        <v>19054.111999999997</v>
      </c>
      <c r="AA22">
        <f>IF(Z22="N/A","N/A",Z22-V22)</f>
        <v>3740.2819999999974</v>
      </c>
      <c r="AB22" s="8">
        <f>IF(Z22&lt;&gt;"N/A", AA22/Z22, "N/A")</f>
        <v>0.19629789097492437</v>
      </c>
      <c r="AC22">
        <f>MONTH(B22)</f>
        <v>5</v>
      </c>
      <c r="AD22">
        <f>YEAR(B22)</f>
        <v>2024</v>
      </c>
      <c r="AE22" s="10">
        <f t="shared" si="0"/>
        <v>1.9999999967694748E-3</v>
      </c>
      <c r="AF22" t="s">
        <v>2804</v>
      </c>
      <c r="AG22" t="s">
        <v>2811</v>
      </c>
    </row>
    <row r="23" spans="1:33">
      <c r="A23" t="s">
        <v>208</v>
      </c>
      <c r="B23" s="4">
        <v>45590</v>
      </c>
      <c r="C23" s="4">
        <v>45593</v>
      </c>
      <c r="D23">
        <f>_xlfn.DAYS(C23,B23)</f>
        <v>3</v>
      </c>
      <c r="E23" t="s">
        <v>2804</v>
      </c>
      <c r="F23" t="s">
        <v>209</v>
      </c>
      <c r="G23" t="s">
        <v>141</v>
      </c>
      <c r="H23" t="s">
        <v>90</v>
      </c>
      <c r="I23" t="s">
        <v>63</v>
      </c>
      <c r="J23" t="s">
        <v>64</v>
      </c>
      <c r="K23" t="s">
        <v>65</v>
      </c>
      <c r="L23" t="s">
        <v>41</v>
      </c>
      <c r="M23" t="s">
        <v>158</v>
      </c>
      <c r="N23" t="s">
        <v>210</v>
      </c>
      <c r="O23" t="s">
        <v>31</v>
      </c>
      <c r="P23">
        <v>3</v>
      </c>
      <c r="Q23">
        <v>3126.47</v>
      </c>
      <c r="R23">
        <v>0</v>
      </c>
      <c r="S23">
        <f>IF(ISNUMBER(SEARCH("%",R23)), VALUE(SUBSTITUTE(R23,"%",""))/100,IF(ISNUMBER(R23), R23, 0))</f>
        <v>0</v>
      </c>
      <c r="T23" t="str">
        <f>IF(S23&lt;0,"Negative discount (invalid)",IF(S23&gt;0.5,"Discount above allowed range (invalid)",IF(AND(R23="",S23=0),"Missing discount set to 0","OK")))</f>
        <v>OK</v>
      </c>
      <c r="U23">
        <v>9379.41</v>
      </c>
      <c r="V23">
        <v>6670.85</v>
      </c>
      <c r="W23">
        <v>2708.56</v>
      </c>
      <c r="X23" t="s">
        <v>32</v>
      </c>
      <c r="Y23" t="s">
        <v>103</v>
      </c>
      <c r="Z23">
        <f>IF(T23="OK",P23*Q23*(1-S23),"invalid")</f>
        <v>9379.41</v>
      </c>
      <c r="AA23">
        <f>IF(Z23="N/A","N/A",Z23-V23)</f>
        <v>2708.5599999999995</v>
      </c>
      <c r="AB23" s="8">
        <f>IF(Z23&lt;&gt;"N/A", AA23/Z23, "N/A")</f>
        <v>0.28877722585962223</v>
      </c>
      <c r="AC23">
        <f>MONTH(B23)</f>
        <v>10</v>
      </c>
      <c r="AD23">
        <f>YEAR(B23)</f>
        <v>2024</v>
      </c>
      <c r="AE23" s="10">
        <f t="shared" si="0"/>
        <v>0</v>
      </c>
      <c r="AF23" t="s">
        <v>2804</v>
      </c>
      <c r="AG23" t="s">
        <v>2811</v>
      </c>
    </row>
    <row r="24" spans="1:33">
      <c r="A24" t="s">
        <v>214</v>
      </c>
      <c r="B24" s="4">
        <v>45460</v>
      </c>
      <c r="C24" s="4">
        <v>45465</v>
      </c>
      <c r="D24">
        <f>_xlfn.DAYS(C24,B24)</f>
        <v>5</v>
      </c>
      <c r="E24" t="s">
        <v>2804</v>
      </c>
      <c r="F24" t="s">
        <v>215</v>
      </c>
      <c r="G24" t="s">
        <v>128</v>
      </c>
      <c r="H24" t="s">
        <v>90</v>
      </c>
      <c r="I24" t="s">
        <v>63</v>
      </c>
      <c r="J24" t="s">
        <v>180</v>
      </c>
      <c r="K24" t="s">
        <v>181</v>
      </c>
      <c r="L24" t="s">
        <v>74</v>
      </c>
      <c r="M24" t="s">
        <v>171</v>
      </c>
      <c r="N24" t="s">
        <v>216</v>
      </c>
      <c r="O24" t="s">
        <v>50</v>
      </c>
      <c r="P24">
        <v>7</v>
      </c>
      <c r="Q24">
        <v>2210.6799999999998</v>
      </c>
      <c r="R24">
        <v>0.1</v>
      </c>
      <c r="S24">
        <f>IF(ISNUMBER(SEARCH("%",R24)), VALUE(SUBSTITUTE(R24,"%",""))/100,IF(ISNUMBER(R24), R24, 0))</f>
        <v>0.1</v>
      </c>
      <c r="T24" t="str">
        <f>IF(S24&lt;0,"Negative discount (invalid)",IF(S24&gt;0.5,"Discount above allowed range (invalid)",IF(AND(R24="",S24=0),"Missing discount set to 0","OK")))</f>
        <v>OK</v>
      </c>
      <c r="U24">
        <v>13927.28</v>
      </c>
      <c r="V24">
        <v>10504.87</v>
      </c>
      <c r="W24">
        <v>3422.41</v>
      </c>
      <c r="X24" t="s">
        <v>32</v>
      </c>
      <c r="Y24" t="s">
        <v>33</v>
      </c>
      <c r="Z24">
        <f>IF(T24="OK",P24*Q24*(1-S24),"invalid")</f>
        <v>13927.284</v>
      </c>
      <c r="AA24">
        <f>IF(Z24="N/A","N/A",Z24-V24)</f>
        <v>3422.4139999999989</v>
      </c>
      <c r="AB24" s="8">
        <f>IF(Z24&lt;&gt;"N/A", AA24/Z24, "N/A")</f>
        <v>0.24573448778670692</v>
      </c>
      <c r="AC24">
        <f>MONTH(B24)</f>
        <v>6</v>
      </c>
      <c r="AD24">
        <f>YEAR(B24)</f>
        <v>2024</v>
      </c>
      <c r="AE24" s="10">
        <f t="shared" si="0"/>
        <v>3.9999999989959178E-3</v>
      </c>
      <c r="AF24" t="s">
        <v>2804</v>
      </c>
      <c r="AG24" t="s">
        <v>2811</v>
      </c>
    </row>
    <row r="25" spans="1:33">
      <c r="A25" t="s">
        <v>217</v>
      </c>
      <c r="B25" s="4">
        <v>45637</v>
      </c>
      <c r="C25" s="4">
        <v>45637</v>
      </c>
      <c r="D25">
        <f>_xlfn.DAYS(C25,B25)</f>
        <v>0</v>
      </c>
      <c r="E25" t="s">
        <v>2804</v>
      </c>
      <c r="F25" t="s">
        <v>218</v>
      </c>
      <c r="G25" t="s">
        <v>36</v>
      </c>
      <c r="H25" t="s">
        <v>37</v>
      </c>
      <c r="I25" t="s">
        <v>63</v>
      </c>
      <c r="J25" t="s">
        <v>72</v>
      </c>
      <c r="K25" t="s">
        <v>73</v>
      </c>
      <c r="L25" t="s">
        <v>74</v>
      </c>
      <c r="M25" t="s">
        <v>80</v>
      </c>
      <c r="N25" t="s">
        <v>219</v>
      </c>
      <c r="O25" t="s">
        <v>50</v>
      </c>
      <c r="P25">
        <v>4</v>
      </c>
      <c r="Q25">
        <v>1370.92</v>
      </c>
      <c r="R25">
        <v>0.1</v>
      </c>
      <c r="S25">
        <f>IF(ISNUMBER(SEARCH("%",R25)), VALUE(SUBSTITUTE(R25,"%",""))/100,IF(ISNUMBER(R25), R25, 0))</f>
        <v>0.1</v>
      </c>
      <c r="T25" t="str">
        <f>IF(S25&lt;0,"Negative discount (invalid)",IF(S25&gt;0.5,"Discount above allowed range (invalid)",IF(AND(R25="",S25=0),"Missing discount set to 0","OK")))</f>
        <v>OK</v>
      </c>
      <c r="U25">
        <v>4935.3100000000004</v>
      </c>
      <c r="V25">
        <v>3374.77</v>
      </c>
      <c r="W25">
        <v>1560.54</v>
      </c>
      <c r="X25" t="s">
        <v>111</v>
      </c>
      <c r="Y25" t="s">
        <v>103</v>
      </c>
      <c r="Z25">
        <f>IF(T25="OK",P25*Q25*(1-S25),"invalid")</f>
        <v>4935.3120000000008</v>
      </c>
      <c r="AA25">
        <f>IF(Z25="N/A","N/A",Z25-V25)</f>
        <v>1560.5420000000008</v>
      </c>
      <c r="AB25" s="8">
        <f>IF(Z25&lt;&gt;"N/A", AA25/Z25, "N/A")</f>
        <v>0.31619925954022776</v>
      </c>
      <c r="AC25">
        <f>MONTH(B25)</f>
        <v>12</v>
      </c>
      <c r="AD25">
        <f>YEAR(B25)</f>
        <v>2024</v>
      </c>
      <c r="AE25" s="10">
        <f t="shared" si="0"/>
        <v>2.0000000004074536E-3</v>
      </c>
      <c r="AF25" t="s">
        <v>2804</v>
      </c>
      <c r="AG25" t="s">
        <v>2811</v>
      </c>
    </row>
    <row r="26" spans="1:33">
      <c r="A26" t="s">
        <v>220</v>
      </c>
      <c r="B26" s="4">
        <v>45575</v>
      </c>
      <c r="C26" s="4">
        <v>45581</v>
      </c>
      <c r="D26">
        <f>_xlfn.DAYS(C26,B26)</f>
        <v>6</v>
      </c>
      <c r="E26" t="s">
        <v>2804</v>
      </c>
      <c r="F26" t="s">
        <v>221</v>
      </c>
      <c r="G26" t="s">
        <v>47</v>
      </c>
      <c r="H26" t="s">
        <v>95</v>
      </c>
      <c r="I26" t="s">
        <v>63</v>
      </c>
      <c r="J26" t="s">
        <v>26</v>
      </c>
      <c r="K26" t="s">
        <v>109</v>
      </c>
      <c r="L26" t="s">
        <v>74</v>
      </c>
      <c r="M26" t="s">
        <v>80</v>
      </c>
      <c r="N26" t="s">
        <v>222</v>
      </c>
      <c r="O26" t="s">
        <v>59</v>
      </c>
      <c r="P26">
        <v>7</v>
      </c>
      <c r="Q26">
        <v>2509.27</v>
      </c>
      <c r="R26">
        <v>0.2</v>
      </c>
      <c r="S26">
        <f>IF(ISNUMBER(SEARCH("%",R26)), VALUE(SUBSTITUTE(R26,"%",""))/100,IF(ISNUMBER(R26), R26, 0))</f>
        <v>0.2</v>
      </c>
      <c r="T26" t="str">
        <f>IF(S26&lt;0,"Negative discount (invalid)",IF(S26&gt;0.5,"Discount above allowed range (invalid)",IF(AND(R26="",S26=0),"Missing discount set to 0","OK")))</f>
        <v>OK</v>
      </c>
      <c r="U26">
        <v>14051.91</v>
      </c>
      <c r="V26">
        <v>11990.37</v>
      </c>
      <c r="W26">
        <v>2061.54</v>
      </c>
      <c r="X26" t="s">
        <v>32</v>
      </c>
      <c r="Y26" t="s">
        <v>33</v>
      </c>
      <c r="Z26">
        <f>IF(T26="OK",P26*Q26*(1-S26),"invalid")</f>
        <v>14051.912</v>
      </c>
      <c r="AA26">
        <f>IF(Z26="N/A","N/A",Z26-V26)</f>
        <v>2061.5419999999995</v>
      </c>
      <c r="AB26" s="8">
        <f>IF(Z26&lt;&gt;"N/A", AA26/Z26, "N/A")</f>
        <v>0.14670900301681361</v>
      </c>
      <c r="AC26">
        <f>MONTH(B26)</f>
        <v>10</v>
      </c>
      <c r="AD26">
        <f>YEAR(B26)</f>
        <v>2024</v>
      </c>
      <c r="AE26" s="10">
        <f t="shared" si="0"/>
        <v>2.0000000004074536E-3</v>
      </c>
      <c r="AF26" t="s">
        <v>2804</v>
      </c>
      <c r="AG26" t="s">
        <v>2811</v>
      </c>
    </row>
    <row r="27" spans="1:33">
      <c r="A27" t="s">
        <v>223</v>
      </c>
      <c r="B27" s="4">
        <v>45363</v>
      </c>
      <c r="C27" s="4">
        <v>45368</v>
      </c>
      <c r="D27">
        <f>_xlfn.DAYS(C27,B27)</f>
        <v>5</v>
      </c>
      <c r="E27" t="s">
        <v>2804</v>
      </c>
      <c r="F27" t="s">
        <v>224</v>
      </c>
      <c r="G27" t="s">
        <v>128</v>
      </c>
      <c r="H27" t="s">
        <v>37</v>
      </c>
      <c r="I27" t="s">
        <v>38</v>
      </c>
      <c r="J27" t="s">
        <v>39</v>
      </c>
      <c r="K27" t="s">
        <v>40</v>
      </c>
      <c r="L27" t="s">
        <v>41</v>
      </c>
      <c r="M27" t="s">
        <v>158</v>
      </c>
      <c r="N27" t="s">
        <v>225</v>
      </c>
      <c r="O27" t="s">
        <v>44</v>
      </c>
      <c r="P27">
        <v>8</v>
      </c>
      <c r="Q27">
        <v>855.81</v>
      </c>
      <c r="R27">
        <v>0</v>
      </c>
      <c r="S27">
        <f>IF(ISNUMBER(SEARCH("%",R27)), VALUE(SUBSTITUTE(R27,"%",""))/100,IF(ISNUMBER(R27), R27, 0))</f>
        <v>0</v>
      </c>
      <c r="T27" t="str">
        <f>IF(S27&lt;0,"Negative discount (invalid)",IF(S27&gt;0.5,"Discount above allowed range (invalid)",IF(AND(R27="",S27=0),"Missing discount set to 0","OK")))</f>
        <v>OK</v>
      </c>
      <c r="U27">
        <v>6846.48</v>
      </c>
      <c r="V27">
        <v>4239.8900000000003</v>
      </c>
      <c r="W27">
        <v>2606.59</v>
      </c>
      <c r="X27" t="s">
        <v>111</v>
      </c>
      <c r="Y27" t="s">
        <v>68</v>
      </c>
      <c r="Z27">
        <f>IF(T27="OK",P27*Q27*(1-S27),"invalid")</f>
        <v>6846.48</v>
      </c>
      <c r="AA27">
        <f>IF(Z27="N/A","N/A",Z27-V27)</f>
        <v>2606.5899999999992</v>
      </c>
      <c r="AB27" s="8">
        <f>IF(Z27&lt;&gt;"N/A", AA27/Z27, "N/A")</f>
        <v>0.38071972750961069</v>
      </c>
      <c r="AC27">
        <f>MONTH(B27)</f>
        <v>3</v>
      </c>
      <c r="AD27">
        <f>YEAR(B27)</f>
        <v>2024</v>
      </c>
      <c r="AE27" s="10">
        <f t="shared" si="0"/>
        <v>0</v>
      </c>
      <c r="AF27" t="s">
        <v>2804</v>
      </c>
      <c r="AG27" t="s">
        <v>2811</v>
      </c>
    </row>
    <row r="28" spans="1:33">
      <c r="A28" t="s">
        <v>231</v>
      </c>
      <c r="B28" s="4">
        <v>45481</v>
      </c>
      <c r="C28" s="4">
        <v>45487</v>
      </c>
      <c r="D28">
        <f>_xlfn.DAYS(C28,B28)</f>
        <v>6</v>
      </c>
      <c r="E28" t="s">
        <v>2804</v>
      </c>
      <c r="F28" t="s">
        <v>232</v>
      </c>
      <c r="G28" t="s">
        <v>114</v>
      </c>
      <c r="H28" t="s">
        <v>37</v>
      </c>
      <c r="I28" t="s">
        <v>38</v>
      </c>
      <c r="J28" t="s">
        <v>39</v>
      </c>
      <c r="K28" t="s">
        <v>40</v>
      </c>
      <c r="L28" t="s">
        <v>41</v>
      </c>
      <c r="M28" t="s">
        <v>57</v>
      </c>
      <c r="N28" t="s">
        <v>233</v>
      </c>
      <c r="O28" t="s">
        <v>44</v>
      </c>
      <c r="P28">
        <v>3</v>
      </c>
      <c r="Q28">
        <v>1010.23</v>
      </c>
      <c r="R28">
        <v>0</v>
      </c>
      <c r="S28">
        <f>IF(ISNUMBER(SEARCH("%",R28)), VALUE(SUBSTITUTE(R28,"%",""))/100,IF(ISNUMBER(R28), R28, 0))</f>
        <v>0</v>
      </c>
      <c r="T28" t="str">
        <f>IF(S28&lt;0,"Negative discount (invalid)",IF(S28&gt;0.5,"Discount above allowed range (invalid)",IF(AND(R28="",S28=0),"Missing discount set to 0","OK")))</f>
        <v>OK</v>
      </c>
      <c r="U28">
        <v>3030.69</v>
      </c>
      <c r="V28">
        <v>1721.08</v>
      </c>
      <c r="W28">
        <v>1309.6099999999999</v>
      </c>
      <c r="X28" t="s">
        <v>32</v>
      </c>
      <c r="Y28" t="s">
        <v>33</v>
      </c>
      <c r="Z28">
        <f>IF(T28="OK",P28*Q28*(1-S28),"invalid")</f>
        <v>3030.69</v>
      </c>
      <c r="AA28">
        <f>IF(Z28="N/A","N/A",Z28-V28)</f>
        <v>1309.6100000000001</v>
      </c>
      <c r="AB28" s="8">
        <f>IF(Z28&lt;&gt;"N/A", AA28/Z28, "N/A")</f>
        <v>0.43211611877163292</v>
      </c>
      <c r="AC28">
        <f>MONTH(B28)</f>
        <v>7</v>
      </c>
      <c r="AD28">
        <f>YEAR(B28)</f>
        <v>2024</v>
      </c>
      <c r="AE28" s="10">
        <f t="shared" si="0"/>
        <v>0</v>
      </c>
      <c r="AF28" t="s">
        <v>2804</v>
      </c>
      <c r="AG28" t="s">
        <v>2811</v>
      </c>
    </row>
    <row r="29" spans="1:33">
      <c r="A29" t="s">
        <v>234</v>
      </c>
      <c r="B29" s="4">
        <v>45465</v>
      </c>
      <c r="C29" s="4">
        <v>45468</v>
      </c>
      <c r="D29">
        <f>_xlfn.DAYS(C29,B29)</f>
        <v>3</v>
      </c>
      <c r="E29" t="s">
        <v>2804</v>
      </c>
      <c r="F29" t="s">
        <v>235</v>
      </c>
      <c r="G29" t="s">
        <v>141</v>
      </c>
      <c r="H29" t="s">
        <v>37</v>
      </c>
      <c r="I29" t="s">
        <v>25</v>
      </c>
      <c r="J29" t="s">
        <v>236</v>
      </c>
      <c r="K29" t="s">
        <v>237</v>
      </c>
      <c r="L29" t="s">
        <v>41</v>
      </c>
      <c r="M29" t="s">
        <v>66</v>
      </c>
      <c r="N29" t="s">
        <v>238</v>
      </c>
      <c r="O29" t="s">
        <v>59</v>
      </c>
      <c r="P29">
        <v>9</v>
      </c>
      <c r="Q29">
        <v>3329.77</v>
      </c>
      <c r="R29">
        <v>0.1</v>
      </c>
      <c r="S29">
        <f>IF(ISNUMBER(SEARCH("%",R29)), VALUE(SUBSTITUTE(R29,"%",""))/100,IF(ISNUMBER(R29), R29, 0))</f>
        <v>0.1</v>
      </c>
      <c r="T29" t="str">
        <f>IF(S29&lt;0,"Negative discount (invalid)",IF(S29&gt;0.5,"Discount above allowed range (invalid)",IF(AND(R29="",S29=0),"Missing discount set to 0","OK")))</f>
        <v>OK</v>
      </c>
      <c r="U29">
        <v>26971.14</v>
      </c>
      <c r="V29">
        <v>17376.2</v>
      </c>
      <c r="W29">
        <v>9594.94</v>
      </c>
      <c r="X29" t="s">
        <v>32</v>
      </c>
      <c r="Y29" t="s">
        <v>33</v>
      </c>
      <c r="Z29">
        <f>IF(T29="OK",P29*Q29*(1-S29),"invalid")</f>
        <v>26971.137000000002</v>
      </c>
      <c r="AA29">
        <f>IF(Z29="N/A","N/A",Z29-V29)</f>
        <v>9594.9370000000017</v>
      </c>
      <c r="AB29" s="8">
        <f>IF(Z29&lt;&gt;"N/A", AA29/Z29, "N/A")</f>
        <v>0.35574833200394929</v>
      </c>
      <c r="AC29">
        <f>MONTH(B29)</f>
        <v>6</v>
      </c>
      <c r="AD29">
        <f>YEAR(B29)</f>
        <v>2024</v>
      </c>
      <c r="AE29" s="10">
        <f t="shared" si="0"/>
        <v>2.9999999969732016E-3</v>
      </c>
      <c r="AF29" t="s">
        <v>2804</v>
      </c>
      <c r="AG29" t="s">
        <v>2811</v>
      </c>
    </row>
    <row r="30" spans="1:33">
      <c r="A30" t="s">
        <v>239</v>
      </c>
      <c r="B30" s="4">
        <v>45309</v>
      </c>
      <c r="C30" s="4">
        <v>45315</v>
      </c>
      <c r="D30">
        <f>_xlfn.DAYS(C30,B30)</f>
        <v>6</v>
      </c>
      <c r="E30" t="s">
        <v>2804</v>
      </c>
      <c r="F30" t="s">
        <v>240</v>
      </c>
      <c r="G30" t="s">
        <v>47</v>
      </c>
      <c r="H30" t="s">
        <v>95</v>
      </c>
      <c r="I30" t="s">
        <v>38</v>
      </c>
      <c r="J30" t="s">
        <v>145</v>
      </c>
      <c r="K30" t="s">
        <v>146</v>
      </c>
      <c r="L30" t="s">
        <v>28</v>
      </c>
      <c r="M30" t="s">
        <v>48</v>
      </c>
      <c r="N30" t="s">
        <v>241</v>
      </c>
      <c r="O30" t="s">
        <v>31</v>
      </c>
      <c r="P30">
        <v>8</v>
      </c>
      <c r="Q30">
        <v>3927.82</v>
      </c>
      <c r="R30">
        <v>0.05</v>
      </c>
      <c r="S30">
        <f>IF(ISNUMBER(SEARCH("%",R30)), VALUE(SUBSTITUTE(R30,"%",""))/100,IF(ISNUMBER(R30), R30, 0))</f>
        <v>0.05</v>
      </c>
      <c r="T30" t="str">
        <f>IF(S30&lt;0,"Negative discount (invalid)",IF(S30&gt;0.5,"Discount above allowed range (invalid)",IF(AND(R30="",S30=0),"Missing discount set to 0","OK")))</f>
        <v>OK</v>
      </c>
      <c r="U30">
        <v>29851.43</v>
      </c>
      <c r="V30">
        <v>17487.48</v>
      </c>
      <c r="W30">
        <v>12363.95</v>
      </c>
      <c r="X30" t="s">
        <v>111</v>
      </c>
      <c r="Y30" t="s">
        <v>103</v>
      </c>
      <c r="Z30">
        <f>IF(T30="OK",P30*Q30*(1-S30),"invalid")</f>
        <v>29851.432000000001</v>
      </c>
      <c r="AA30">
        <f>IF(Z30="N/A","N/A",Z30-V30)</f>
        <v>12363.952000000001</v>
      </c>
      <c r="AB30" s="8">
        <f>IF(Z30&lt;&gt;"N/A", AA30/Z30, "N/A")</f>
        <v>0.41418287739094062</v>
      </c>
      <c r="AC30">
        <f>MONTH(B30)</f>
        <v>1</v>
      </c>
      <c r="AD30">
        <f>YEAR(B30)</f>
        <v>2024</v>
      </c>
      <c r="AE30" s="10">
        <f t="shared" si="0"/>
        <v>2.0000000004074536E-3</v>
      </c>
      <c r="AF30" t="s">
        <v>2804</v>
      </c>
      <c r="AG30" t="s">
        <v>2811</v>
      </c>
    </row>
    <row r="31" spans="1:33">
      <c r="A31" t="s">
        <v>242</v>
      </c>
      <c r="B31" s="4">
        <v>45492</v>
      </c>
      <c r="C31" s="4">
        <v>45492</v>
      </c>
      <c r="D31">
        <f>_xlfn.DAYS(C31,B31)</f>
        <v>0</v>
      </c>
      <c r="E31" t="s">
        <v>2804</v>
      </c>
      <c r="F31" t="s">
        <v>243</v>
      </c>
      <c r="G31" t="s">
        <v>62</v>
      </c>
      <c r="H31" t="s">
        <v>37</v>
      </c>
      <c r="I31" t="s">
        <v>54</v>
      </c>
      <c r="J31" t="s">
        <v>185</v>
      </c>
      <c r="K31" t="s">
        <v>186</v>
      </c>
      <c r="L31" t="s">
        <v>41</v>
      </c>
      <c r="M31" t="s">
        <v>158</v>
      </c>
      <c r="N31" t="s">
        <v>244</v>
      </c>
      <c r="O31" t="s">
        <v>59</v>
      </c>
      <c r="P31">
        <v>9</v>
      </c>
      <c r="Q31">
        <v>2386.79</v>
      </c>
      <c r="R31">
        <v>0.25</v>
      </c>
      <c r="S31">
        <f>IF(ISNUMBER(SEARCH("%",R31)), VALUE(SUBSTITUTE(R31,"%",""))/100,IF(ISNUMBER(R31), R31, 0))</f>
        <v>0.25</v>
      </c>
      <c r="T31" t="str">
        <f>IF(S31&lt;0,"Negative discount (invalid)",IF(S31&gt;0.5,"Discount above allowed range (invalid)",IF(AND(R31="",S31=0),"Missing discount set to 0","OK")))</f>
        <v>OK</v>
      </c>
      <c r="U31">
        <v>16110.83</v>
      </c>
      <c r="V31">
        <v>10680.03</v>
      </c>
      <c r="W31">
        <v>5430.8</v>
      </c>
      <c r="X31" t="s">
        <v>102</v>
      </c>
      <c r="Y31" t="s">
        <v>103</v>
      </c>
      <c r="Z31">
        <f>IF(T31="OK",P31*Q31*(1-S31),"invalid")</f>
        <v>16110.8325</v>
      </c>
      <c r="AA31">
        <f>IF(Z31="N/A","N/A",Z31-V31)</f>
        <v>5430.8024999999998</v>
      </c>
      <c r="AB31" s="8">
        <f>IF(Z31&lt;&gt;"N/A", AA31/Z31, "N/A")</f>
        <v>0.33709012243780695</v>
      </c>
      <c r="AC31">
        <f>MONTH(B31)</f>
        <v>7</v>
      </c>
      <c r="AD31">
        <f>YEAR(B31)</f>
        <v>2024</v>
      </c>
      <c r="AE31" s="10">
        <f t="shared" si="0"/>
        <v>2.500000000509317E-3</v>
      </c>
      <c r="AF31" t="s">
        <v>2804</v>
      </c>
      <c r="AG31" t="s">
        <v>2811</v>
      </c>
    </row>
    <row r="32" spans="1:33">
      <c r="A32" t="s">
        <v>245</v>
      </c>
      <c r="B32" s="4">
        <v>45516</v>
      </c>
      <c r="C32" s="4">
        <v>45516</v>
      </c>
      <c r="D32">
        <f>_xlfn.DAYS(C32,B32)</f>
        <v>0</v>
      </c>
      <c r="E32" t="s">
        <v>2804</v>
      </c>
      <c r="F32" t="s">
        <v>246</v>
      </c>
      <c r="G32" t="s">
        <v>118</v>
      </c>
      <c r="H32" t="s">
        <v>90</v>
      </c>
      <c r="I32" t="s">
        <v>54</v>
      </c>
      <c r="J32" t="s">
        <v>247</v>
      </c>
      <c r="K32" t="s">
        <v>248</v>
      </c>
      <c r="L32" t="s">
        <v>28</v>
      </c>
      <c r="M32" t="s">
        <v>124</v>
      </c>
      <c r="N32" t="s">
        <v>249</v>
      </c>
      <c r="O32" t="s">
        <v>59</v>
      </c>
      <c r="P32">
        <v>8</v>
      </c>
      <c r="Q32">
        <v>2445.31</v>
      </c>
      <c r="R32">
        <v>0.1</v>
      </c>
      <c r="S32">
        <f>IF(ISNUMBER(SEARCH("%",R32)), VALUE(SUBSTITUTE(R32,"%",""))/100,IF(ISNUMBER(R32), R32, 0))</f>
        <v>0.1</v>
      </c>
      <c r="T32" t="str">
        <f>IF(S32&lt;0,"Negative discount (invalid)",IF(S32&gt;0.5,"Discount above allowed range (invalid)",IF(AND(R32="",S32=0),"Missing discount set to 0","OK")))</f>
        <v>OK</v>
      </c>
      <c r="U32">
        <v>17606.23</v>
      </c>
      <c r="V32">
        <v>12438.96</v>
      </c>
      <c r="W32">
        <v>5167.2700000000004</v>
      </c>
      <c r="X32" t="s">
        <v>32</v>
      </c>
      <c r="Y32" t="s">
        <v>33</v>
      </c>
      <c r="Z32">
        <f>IF(T32="OK",P32*Q32*(1-S32),"invalid")</f>
        <v>17606.232</v>
      </c>
      <c r="AA32">
        <f>IF(Z32="N/A","N/A",Z32-V32)</f>
        <v>5167.2720000000008</v>
      </c>
      <c r="AB32" s="8">
        <f>IF(Z32&lt;&gt;"N/A", AA32/Z32, "N/A")</f>
        <v>0.29349107747756592</v>
      </c>
      <c r="AC32">
        <f>MONTH(B32)</f>
        <v>8</v>
      </c>
      <c r="AD32">
        <f>YEAR(B32)</f>
        <v>2024</v>
      </c>
      <c r="AE32" s="10">
        <f t="shared" si="0"/>
        <v>2.0000000004074536E-3</v>
      </c>
      <c r="AF32" t="s">
        <v>2804</v>
      </c>
      <c r="AG32" t="s">
        <v>2811</v>
      </c>
    </row>
    <row r="33" spans="1:33">
      <c r="A33" t="s">
        <v>253</v>
      </c>
      <c r="B33" s="4">
        <v>45388</v>
      </c>
      <c r="C33" s="4">
        <v>45395</v>
      </c>
      <c r="D33">
        <f>_xlfn.DAYS(C33,B33)</f>
        <v>7</v>
      </c>
      <c r="E33" t="s">
        <v>2804</v>
      </c>
      <c r="F33" t="s">
        <v>254</v>
      </c>
      <c r="G33" t="s">
        <v>128</v>
      </c>
      <c r="H33" t="s">
        <v>95</v>
      </c>
      <c r="I33" t="s">
        <v>25</v>
      </c>
      <c r="J33" t="s">
        <v>136</v>
      </c>
      <c r="K33" t="s">
        <v>137</v>
      </c>
      <c r="L33" t="s">
        <v>74</v>
      </c>
      <c r="M33" t="s">
        <v>80</v>
      </c>
      <c r="N33" t="s">
        <v>255</v>
      </c>
      <c r="O33" t="s">
        <v>31</v>
      </c>
      <c r="P33">
        <v>9</v>
      </c>
      <c r="Q33">
        <v>792.11</v>
      </c>
      <c r="R33">
        <v>0.05</v>
      </c>
      <c r="S33">
        <f>IF(ISNUMBER(SEARCH("%",R33)), VALUE(SUBSTITUTE(R33,"%",""))/100,IF(ISNUMBER(R33), R33, 0))</f>
        <v>0.05</v>
      </c>
      <c r="T33" t="str">
        <f>IF(S33&lt;0,"Negative discount (invalid)",IF(S33&gt;0.5,"Discount above allowed range (invalid)",IF(AND(R33="",S33=0),"Missing discount set to 0","OK")))</f>
        <v>OK</v>
      </c>
      <c r="U33">
        <v>6772.54</v>
      </c>
      <c r="V33">
        <v>5755.46</v>
      </c>
      <c r="W33">
        <v>1017.08</v>
      </c>
      <c r="X33" t="s">
        <v>32</v>
      </c>
      <c r="Y33" t="s">
        <v>33</v>
      </c>
      <c r="Z33">
        <f>IF(T33="OK",P33*Q33*(1-S33),"invalid")</f>
        <v>6772.5404999999992</v>
      </c>
      <c r="AA33">
        <f>IF(Z33="N/A","N/A",Z33-V33)</f>
        <v>1017.0804999999991</v>
      </c>
      <c r="AB33" s="8">
        <f>IF(Z33&lt;&gt;"N/A", AA33/Z33, "N/A")</f>
        <v>0.15017710119267641</v>
      </c>
      <c r="AC33">
        <f>MONTH(B33)</f>
        <v>4</v>
      </c>
      <c r="AD33">
        <f>YEAR(B33)</f>
        <v>2024</v>
      </c>
      <c r="AE33" s="10">
        <f t="shared" si="0"/>
        <v>4.999999991923687E-4</v>
      </c>
      <c r="AF33" t="s">
        <v>2804</v>
      </c>
      <c r="AG33" t="s">
        <v>2811</v>
      </c>
    </row>
    <row r="34" spans="1:33">
      <c r="A34" t="s">
        <v>259</v>
      </c>
      <c r="B34" s="4">
        <v>45406</v>
      </c>
      <c r="C34" s="4">
        <v>45411</v>
      </c>
      <c r="D34">
        <f>_xlfn.DAYS(C34,B34)</f>
        <v>5</v>
      </c>
      <c r="E34" t="s">
        <v>2804</v>
      </c>
      <c r="F34" t="s">
        <v>260</v>
      </c>
      <c r="G34" t="s">
        <v>62</v>
      </c>
      <c r="H34" t="s">
        <v>90</v>
      </c>
      <c r="I34" t="s">
        <v>54</v>
      </c>
      <c r="J34" t="s">
        <v>55</v>
      </c>
      <c r="K34" t="s">
        <v>56</v>
      </c>
      <c r="L34" t="s">
        <v>28</v>
      </c>
      <c r="M34" t="s">
        <v>48</v>
      </c>
      <c r="N34" t="s">
        <v>261</v>
      </c>
      <c r="O34" t="s">
        <v>59</v>
      </c>
      <c r="P34">
        <v>6</v>
      </c>
      <c r="Q34">
        <v>1528.08</v>
      </c>
      <c r="R34">
        <v>0</v>
      </c>
      <c r="S34">
        <f>IF(ISNUMBER(SEARCH("%",R34)), VALUE(SUBSTITUTE(R34,"%",""))/100,IF(ISNUMBER(R34), R34, 0))</f>
        <v>0</v>
      </c>
      <c r="T34" t="str">
        <f>IF(S34&lt;0,"Negative discount (invalid)",IF(S34&gt;0.5,"Discount above allowed range (invalid)",IF(AND(R34="",S34=0),"Missing discount set to 0","OK")))</f>
        <v>OK</v>
      </c>
      <c r="U34">
        <v>9168.48</v>
      </c>
      <c r="V34">
        <v>7439.77</v>
      </c>
      <c r="W34">
        <v>1728.71</v>
      </c>
      <c r="X34" t="s">
        <v>32</v>
      </c>
      <c r="Y34" t="s">
        <v>33</v>
      </c>
      <c r="Z34">
        <f>IF(T34="OK",P34*Q34*(1-S34),"invalid")</f>
        <v>9168.48</v>
      </c>
      <c r="AA34">
        <f>IF(Z34="N/A","N/A",Z34-V34)</f>
        <v>1728.7099999999991</v>
      </c>
      <c r="AB34" s="8">
        <f>IF(Z34&lt;&gt;"N/A", AA34/Z34, "N/A")</f>
        <v>0.18854924698532355</v>
      </c>
      <c r="AC34">
        <f>MONTH(B34)</f>
        <v>4</v>
      </c>
      <c r="AD34">
        <f>YEAR(B34)</f>
        <v>2024</v>
      </c>
      <c r="AE34" s="10">
        <f t="shared" si="0"/>
        <v>0</v>
      </c>
      <c r="AF34" t="s">
        <v>2804</v>
      </c>
      <c r="AG34" t="s">
        <v>2811</v>
      </c>
    </row>
    <row r="35" spans="1:33">
      <c r="A35" t="s">
        <v>262</v>
      </c>
      <c r="B35" s="4">
        <v>45591</v>
      </c>
      <c r="C35" s="4">
        <v>45593</v>
      </c>
      <c r="D35">
        <f>_xlfn.DAYS(C35,B35)</f>
        <v>2</v>
      </c>
      <c r="E35" t="s">
        <v>2804</v>
      </c>
      <c r="F35" t="s">
        <v>263</v>
      </c>
      <c r="G35" t="s">
        <v>264</v>
      </c>
      <c r="H35" t="s">
        <v>37</v>
      </c>
      <c r="I35" t="s">
        <v>25</v>
      </c>
      <c r="J35" t="s">
        <v>26</v>
      </c>
      <c r="K35" t="s">
        <v>27</v>
      </c>
      <c r="L35" t="s">
        <v>41</v>
      </c>
      <c r="M35" t="s">
        <v>66</v>
      </c>
      <c r="N35" t="s">
        <v>265</v>
      </c>
      <c r="O35" t="s">
        <v>50</v>
      </c>
      <c r="P35">
        <v>9</v>
      </c>
      <c r="Q35">
        <v>1399.63</v>
      </c>
      <c r="R35">
        <v>0</v>
      </c>
      <c r="S35">
        <f>IF(ISNUMBER(SEARCH("%",R35)), VALUE(SUBSTITUTE(R35,"%",""))/100,IF(ISNUMBER(R35), R35, 0))</f>
        <v>0</v>
      </c>
      <c r="T35" t="str">
        <f>IF(S35&lt;0,"Negative discount (invalid)",IF(S35&gt;0.5,"Discount above allowed range (invalid)",IF(AND(R35="",S35=0),"Missing discount set to 0","OK")))</f>
        <v>OK</v>
      </c>
      <c r="U35">
        <v>12596.67</v>
      </c>
      <c r="V35">
        <v>10603.29</v>
      </c>
      <c r="W35">
        <v>1993.38</v>
      </c>
      <c r="X35" t="s">
        <v>155</v>
      </c>
      <c r="Y35" t="s">
        <v>68</v>
      </c>
      <c r="Z35">
        <f>IF(T35="OK",P35*Q35*(1-S35),"invalid")</f>
        <v>12596.670000000002</v>
      </c>
      <c r="AA35">
        <f>IF(Z35="N/A","N/A",Z35-V35)</f>
        <v>1993.380000000001</v>
      </c>
      <c r="AB35" s="8">
        <f>IF(Z35&lt;&gt;"N/A", AA35/Z35, "N/A")</f>
        <v>0.15824658421630483</v>
      </c>
      <c r="AC35">
        <f>MONTH(B35)</f>
        <v>10</v>
      </c>
      <c r="AD35">
        <f>YEAR(B35)</f>
        <v>2024</v>
      </c>
      <c r="AE35" s="10">
        <f t="shared" si="0"/>
        <v>1.8189894035458565E-12</v>
      </c>
      <c r="AF35" t="s">
        <v>2804</v>
      </c>
      <c r="AG35" t="s">
        <v>2811</v>
      </c>
    </row>
    <row r="36" spans="1:33">
      <c r="A36" t="s">
        <v>279</v>
      </c>
      <c r="B36" s="4">
        <v>45329</v>
      </c>
      <c r="C36" s="4">
        <v>45337</v>
      </c>
      <c r="D36">
        <f>_xlfn.DAYS(C36,B36)</f>
        <v>8</v>
      </c>
      <c r="E36" t="s">
        <v>2804</v>
      </c>
      <c r="F36" t="s">
        <v>280</v>
      </c>
      <c r="G36" t="s">
        <v>114</v>
      </c>
      <c r="H36" t="s">
        <v>24</v>
      </c>
      <c r="I36" t="s">
        <v>63</v>
      </c>
      <c r="J36" t="s">
        <v>190</v>
      </c>
      <c r="K36" t="s">
        <v>191</v>
      </c>
      <c r="L36" t="s">
        <v>41</v>
      </c>
      <c r="M36" t="s">
        <v>66</v>
      </c>
      <c r="N36" t="s">
        <v>281</v>
      </c>
      <c r="O36" t="s">
        <v>44</v>
      </c>
      <c r="P36">
        <v>5</v>
      </c>
      <c r="Q36">
        <v>255.87</v>
      </c>
      <c r="R36">
        <v>0</v>
      </c>
      <c r="S36">
        <f>IF(ISNUMBER(SEARCH("%",R36)), VALUE(SUBSTITUTE(R36,"%",""))/100,IF(ISNUMBER(R36), R36, 0))</f>
        <v>0</v>
      </c>
      <c r="T36" t="str">
        <f>IF(S36&lt;0,"Negative discount (invalid)",IF(S36&gt;0.5,"Discount above allowed range (invalid)",IF(AND(R36="",S36=0),"Missing discount set to 0","OK")))</f>
        <v>OK</v>
      </c>
      <c r="U36">
        <v>1279.3499999999999</v>
      </c>
      <c r="V36">
        <v>1091.54</v>
      </c>
      <c r="W36">
        <v>187.81</v>
      </c>
      <c r="X36" t="s">
        <v>32</v>
      </c>
      <c r="Y36" t="s">
        <v>33</v>
      </c>
      <c r="Z36">
        <f>IF(T36="OK",P36*Q36*(1-S36),"invalid")</f>
        <v>1279.3499999999999</v>
      </c>
      <c r="AA36">
        <f>IF(Z36="N/A","N/A",Z36-V36)</f>
        <v>187.80999999999995</v>
      </c>
      <c r="AB36" s="8">
        <f>IF(Z36&lt;&gt;"N/A", AA36/Z36, "N/A")</f>
        <v>0.14680110993864068</v>
      </c>
      <c r="AC36">
        <f>MONTH(B36)</f>
        <v>2</v>
      </c>
      <c r="AD36">
        <f>YEAR(B36)</f>
        <v>2024</v>
      </c>
      <c r="AE36" s="10">
        <f t="shared" si="0"/>
        <v>0</v>
      </c>
      <c r="AF36" t="s">
        <v>2804</v>
      </c>
      <c r="AG36" t="s">
        <v>2811</v>
      </c>
    </row>
    <row r="37" spans="1:33">
      <c r="A37" t="s">
        <v>282</v>
      </c>
      <c r="B37" s="4">
        <v>45536</v>
      </c>
      <c r="C37" s="4">
        <v>45542</v>
      </c>
      <c r="D37">
        <f>_xlfn.DAYS(C37,B37)</f>
        <v>6</v>
      </c>
      <c r="E37" t="s">
        <v>2804</v>
      </c>
      <c r="F37" t="s">
        <v>283</v>
      </c>
      <c r="G37" t="s">
        <v>47</v>
      </c>
      <c r="H37" t="s">
        <v>95</v>
      </c>
      <c r="I37" t="s">
        <v>25</v>
      </c>
      <c r="J37" t="s">
        <v>26</v>
      </c>
      <c r="K37" t="s">
        <v>27</v>
      </c>
      <c r="L37" t="s">
        <v>28</v>
      </c>
      <c r="M37" t="s">
        <v>124</v>
      </c>
      <c r="N37" t="s">
        <v>284</v>
      </c>
      <c r="O37" t="s">
        <v>2785</v>
      </c>
      <c r="P37">
        <v>9</v>
      </c>
      <c r="Q37">
        <v>1389.48</v>
      </c>
      <c r="R37">
        <v>0.1</v>
      </c>
      <c r="S37">
        <f>IF(ISNUMBER(SEARCH("%",R37)), VALUE(SUBSTITUTE(R37,"%",""))/100,IF(ISNUMBER(R37), R37, 0))</f>
        <v>0.1</v>
      </c>
      <c r="T37" t="str">
        <f>IF(S37&lt;0,"Negative discount (invalid)",IF(S37&gt;0.5,"Discount above allowed range (invalid)",IF(AND(R37="",S37=0),"Missing discount set to 0","OK")))</f>
        <v>OK</v>
      </c>
      <c r="U37">
        <v>11254.79</v>
      </c>
      <c r="V37">
        <v>6578.06</v>
      </c>
      <c r="W37">
        <v>4676.7299999999996</v>
      </c>
      <c r="X37" t="s">
        <v>111</v>
      </c>
      <c r="Y37" t="s">
        <v>103</v>
      </c>
      <c r="Z37">
        <f>IF(T37="OK",P37*Q37*(1-S37),"invalid")</f>
        <v>11254.788</v>
      </c>
      <c r="AA37">
        <f>IF(Z37="N/A","N/A",Z37-V37)</f>
        <v>4676.7280000000001</v>
      </c>
      <c r="AB37" s="8">
        <f>IF(Z37&lt;&gt;"N/A", AA37/Z37, "N/A")</f>
        <v>0.41553230500654476</v>
      </c>
      <c r="AC37">
        <f>MONTH(B37)</f>
        <v>9</v>
      </c>
      <c r="AD37">
        <f>YEAR(B37)</f>
        <v>2024</v>
      </c>
      <c r="AE37" s="10">
        <f t="shared" si="0"/>
        <v>2.0000000004074536E-3</v>
      </c>
      <c r="AF37" t="s">
        <v>2800</v>
      </c>
      <c r="AG37" t="s">
        <v>2798</v>
      </c>
    </row>
    <row r="38" spans="1:33">
      <c r="A38" t="s">
        <v>285</v>
      </c>
      <c r="B38" s="4">
        <v>45493</v>
      </c>
      <c r="C38" s="4">
        <v>45498</v>
      </c>
      <c r="D38">
        <f>_xlfn.DAYS(C38,B38)</f>
        <v>5</v>
      </c>
      <c r="E38" t="s">
        <v>2804</v>
      </c>
      <c r="F38" t="s">
        <v>286</v>
      </c>
      <c r="G38" t="s">
        <v>114</v>
      </c>
      <c r="H38" t="s">
        <v>90</v>
      </c>
      <c r="I38" t="s">
        <v>38</v>
      </c>
      <c r="J38" t="s">
        <v>166</v>
      </c>
      <c r="K38" t="s">
        <v>167</v>
      </c>
      <c r="L38" t="s">
        <v>28</v>
      </c>
      <c r="M38" t="s">
        <v>91</v>
      </c>
      <c r="N38" t="s">
        <v>287</v>
      </c>
      <c r="O38" t="s">
        <v>44</v>
      </c>
      <c r="P38">
        <v>5</v>
      </c>
      <c r="Q38">
        <v>4133.8500000000004</v>
      </c>
      <c r="R38">
        <v>0.2</v>
      </c>
      <c r="S38">
        <f>IF(ISNUMBER(SEARCH("%",R38)), VALUE(SUBSTITUTE(R38,"%",""))/100,IF(ISNUMBER(R38), R38, 0))</f>
        <v>0.2</v>
      </c>
      <c r="T38" t="str">
        <f>IF(S38&lt;0,"Negative discount (invalid)",IF(S38&gt;0.5,"Discount above allowed range (invalid)",IF(AND(R38="",S38=0),"Missing discount set to 0","OK")))</f>
        <v>OK</v>
      </c>
      <c r="U38">
        <v>16535.400000000001</v>
      </c>
      <c r="V38">
        <v>12990.21</v>
      </c>
      <c r="W38">
        <v>3545.19</v>
      </c>
      <c r="X38" t="s">
        <v>32</v>
      </c>
      <c r="Y38" t="s">
        <v>68</v>
      </c>
      <c r="Z38">
        <f>IF(T38="OK",P38*Q38*(1-S38),"invalid")</f>
        <v>16535.400000000001</v>
      </c>
      <c r="AA38">
        <f>IF(Z38="N/A","N/A",Z38-V38)</f>
        <v>3545.1900000000023</v>
      </c>
      <c r="AB38" s="8">
        <f>IF(Z38&lt;&gt;"N/A", AA38/Z38, "N/A")</f>
        <v>0.21440001451431487</v>
      </c>
      <c r="AC38">
        <f>MONTH(B38)</f>
        <v>7</v>
      </c>
      <c r="AD38">
        <f>YEAR(B38)</f>
        <v>2024</v>
      </c>
      <c r="AE38" s="10">
        <f t="shared" si="0"/>
        <v>0</v>
      </c>
      <c r="AF38" t="s">
        <v>2804</v>
      </c>
      <c r="AG38" t="s">
        <v>2811</v>
      </c>
    </row>
    <row r="39" spans="1:33">
      <c r="A39" t="s">
        <v>288</v>
      </c>
      <c r="B39" s="4">
        <v>45486</v>
      </c>
      <c r="C39" s="4">
        <v>45492</v>
      </c>
      <c r="D39">
        <f>_xlfn.DAYS(C39,B39)</f>
        <v>6</v>
      </c>
      <c r="E39" t="s">
        <v>2804</v>
      </c>
      <c r="F39" t="s">
        <v>289</v>
      </c>
      <c r="G39" t="s">
        <v>62</v>
      </c>
      <c r="H39" t="s">
        <v>90</v>
      </c>
      <c r="I39" t="s">
        <v>38</v>
      </c>
      <c r="J39" t="s">
        <v>166</v>
      </c>
      <c r="K39" t="s">
        <v>167</v>
      </c>
      <c r="L39" t="s">
        <v>28</v>
      </c>
      <c r="M39" t="s">
        <v>91</v>
      </c>
      <c r="N39" t="s">
        <v>290</v>
      </c>
      <c r="O39" t="s">
        <v>44</v>
      </c>
      <c r="P39">
        <v>3</v>
      </c>
      <c r="Q39">
        <v>275.76</v>
      </c>
      <c r="R39">
        <v>0.2</v>
      </c>
      <c r="S39">
        <f>IF(ISNUMBER(SEARCH("%",R39)), VALUE(SUBSTITUTE(R39,"%",""))/100,IF(ISNUMBER(R39), R39, 0))</f>
        <v>0.2</v>
      </c>
      <c r="T39" t="str">
        <f>IF(S39&lt;0,"Negative discount (invalid)",IF(S39&gt;0.5,"Discount above allowed range (invalid)",IF(AND(R39="",S39=0),"Missing discount set to 0","OK")))</f>
        <v>OK</v>
      </c>
      <c r="U39">
        <v>661.82</v>
      </c>
      <c r="V39">
        <v>481.47</v>
      </c>
      <c r="W39">
        <v>180.35</v>
      </c>
      <c r="X39" t="s">
        <v>102</v>
      </c>
      <c r="Y39" t="s">
        <v>68</v>
      </c>
      <c r="Z39">
        <f>IF(T39="OK",P39*Q39*(1-S39),"invalid")</f>
        <v>661.82400000000007</v>
      </c>
      <c r="AA39">
        <f>IF(Z39="N/A","N/A",Z39-V39)</f>
        <v>180.35400000000004</v>
      </c>
      <c r="AB39" s="8">
        <f>IF(Z39&lt;&gt;"N/A", AA39/Z39, "N/A")</f>
        <v>0.27251051639106472</v>
      </c>
      <c r="AC39">
        <f>MONTH(B39)</f>
        <v>7</v>
      </c>
      <c r="AD39">
        <f>YEAR(B39)</f>
        <v>2024</v>
      </c>
      <c r="AE39" s="10">
        <f t="shared" si="0"/>
        <v>4.0000000000190994E-3</v>
      </c>
      <c r="AF39" t="s">
        <v>2804</v>
      </c>
      <c r="AG39" t="s">
        <v>2811</v>
      </c>
    </row>
    <row r="40" spans="1:33">
      <c r="A40" t="s">
        <v>291</v>
      </c>
      <c r="B40" s="4">
        <v>45398</v>
      </c>
      <c r="C40" s="4">
        <v>45398</v>
      </c>
      <c r="D40">
        <f>_xlfn.DAYS(C40,B40)</f>
        <v>0</v>
      </c>
      <c r="E40" t="s">
        <v>2804</v>
      </c>
      <c r="F40" t="s">
        <v>292</v>
      </c>
      <c r="G40" t="s">
        <v>71</v>
      </c>
      <c r="H40" t="s">
        <v>95</v>
      </c>
      <c r="I40" t="s">
        <v>38</v>
      </c>
      <c r="J40" t="s">
        <v>145</v>
      </c>
      <c r="K40" t="s">
        <v>146</v>
      </c>
      <c r="L40" t="s">
        <v>41</v>
      </c>
      <c r="M40" t="s">
        <v>158</v>
      </c>
      <c r="N40" t="s">
        <v>293</v>
      </c>
      <c r="O40" t="s">
        <v>59</v>
      </c>
      <c r="P40">
        <v>1</v>
      </c>
      <c r="Q40">
        <v>949.59</v>
      </c>
      <c r="R40">
        <v>0</v>
      </c>
      <c r="S40">
        <f>IF(ISNUMBER(SEARCH("%",R40)), VALUE(SUBSTITUTE(R40,"%",""))/100,IF(ISNUMBER(R40), R40, 0))</f>
        <v>0</v>
      </c>
      <c r="T40" t="str">
        <f>IF(S40&lt;0,"Negative discount (invalid)",IF(S40&gt;0.5,"Discount above allowed range (invalid)",IF(AND(R40="",S40=0),"Missing discount set to 0","OK")))</f>
        <v>OK</v>
      </c>
      <c r="U40">
        <v>949.59</v>
      </c>
      <c r="V40">
        <v>751.25</v>
      </c>
      <c r="W40">
        <v>198.34</v>
      </c>
      <c r="X40" t="s">
        <v>32</v>
      </c>
      <c r="Y40" t="s">
        <v>33</v>
      </c>
      <c r="Z40">
        <f>IF(T40="OK",P40*Q40*(1-S40),"invalid")</f>
        <v>949.59</v>
      </c>
      <c r="AA40">
        <f>IF(Z40="N/A","N/A",Z40-V40)</f>
        <v>198.34000000000003</v>
      </c>
      <c r="AB40" s="8">
        <f>IF(Z40&lt;&gt;"N/A", AA40/Z40, "N/A")</f>
        <v>0.20886909087079689</v>
      </c>
      <c r="AC40">
        <f>MONTH(B40)</f>
        <v>4</v>
      </c>
      <c r="AD40">
        <f>YEAR(B40)</f>
        <v>2024</v>
      </c>
      <c r="AE40" s="10">
        <f t="shared" si="0"/>
        <v>0</v>
      </c>
      <c r="AF40" t="s">
        <v>2804</v>
      </c>
      <c r="AG40" t="s">
        <v>2811</v>
      </c>
    </row>
    <row r="41" spans="1:33">
      <c r="A41" t="s">
        <v>294</v>
      </c>
      <c r="B41" s="4">
        <v>45595</v>
      </c>
      <c r="C41" s="4">
        <v>45598</v>
      </c>
      <c r="D41">
        <f>_xlfn.DAYS(C41,B41)</f>
        <v>3</v>
      </c>
      <c r="E41" t="s">
        <v>2804</v>
      </c>
      <c r="F41" t="s">
        <v>295</v>
      </c>
      <c r="G41" t="s">
        <v>132</v>
      </c>
      <c r="H41" t="s">
        <v>95</v>
      </c>
      <c r="I41" t="s">
        <v>25</v>
      </c>
      <c r="J41" t="s">
        <v>26</v>
      </c>
      <c r="K41" t="s">
        <v>27</v>
      </c>
      <c r="L41" t="s">
        <v>74</v>
      </c>
      <c r="M41" t="s">
        <v>171</v>
      </c>
      <c r="N41" t="s">
        <v>296</v>
      </c>
      <c r="O41" t="s">
        <v>59</v>
      </c>
      <c r="P41">
        <v>9</v>
      </c>
      <c r="Q41">
        <v>3042.29</v>
      </c>
      <c r="R41">
        <v>0.2</v>
      </c>
      <c r="S41">
        <f>IF(ISNUMBER(SEARCH("%",R41)), VALUE(SUBSTITUTE(R41,"%",""))/100,IF(ISNUMBER(R41), R41, 0))</f>
        <v>0.2</v>
      </c>
      <c r="T41" t="str">
        <f>IF(S41&lt;0,"Negative discount (invalid)",IF(S41&gt;0.5,"Discount above allowed range (invalid)",IF(AND(R41="",S41=0),"Missing discount set to 0","OK")))</f>
        <v>OK</v>
      </c>
      <c r="U41">
        <v>21904.49</v>
      </c>
      <c r="V41">
        <v>13570.55</v>
      </c>
      <c r="W41">
        <v>8333.94</v>
      </c>
      <c r="X41" t="s">
        <v>32</v>
      </c>
      <c r="Y41" t="s">
        <v>33</v>
      </c>
      <c r="Z41">
        <f>IF(T41="OK",P41*Q41*(1-S41),"invalid")</f>
        <v>21904.488000000001</v>
      </c>
      <c r="AA41">
        <f>IF(Z41="N/A","N/A",Z41-V41)</f>
        <v>8333.9380000000019</v>
      </c>
      <c r="AB41" s="8">
        <f>IF(Z41&lt;&gt;"N/A", AA41/Z41, "N/A")</f>
        <v>0.38046714445003244</v>
      </c>
      <c r="AC41">
        <f>MONTH(B41)</f>
        <v>10</v>
      </c>
      <c r="AD41">
        <f>YEAR(B41)</f>
        <v>2024</v>
      </c>
      <c r="AE41" s="10">
        <f t="shared" si="0"/>
        <v>2.0000000004074536E-3</v>
      </c>
      <c r="AF41" t="s">
        <v>2804</v>
      </c>
      <c r="AG41" t="s">
        <v>2811</v>
      </c>
    </row>
    <row r="42" spans="1:33">
      <c r="A42" t="s">
        <v>297</v>
      </c>
      <c r="B42" s="4">
        <v>45316</v>
      </c>
      <c r="C42" s="4">
        <v>45323</v>
      </c>
      <c r="D42">
        <f>_xlfn.DAYS(C42,B42)</f>
        <v>7</v>
      </c>
      <c r="E42" t="s">
        <v>2804</v>
      </c>
      <c r="F42" t="s">
        <v>298</v>
      </c>
      <c r="G42" t="s">
        <v>132</v>
      </c>
      <c r="H42" t="s">
        <v>95</v>
      </c>
      <c r="I42" t="s">
        <v>25</v>
      </c>
      <c r="J42" t="s">
        <v>236</v>
      </c>
      <c r="K42" t="s">
        <v>237</v>
      </c>
      <c r="L42" t="s">
        <v>28</v>
      </c>
      <c r="M42" t="s">
        <v>153</v>
      </c>
      <c r="N42" t="s">
        <v>299</v>
      </c>
      <c r="O42" t="s">
        <v>44</v>
      </c>
      <c r="P42">
        <v>2</v>
      </c>
      <c r="Q42">
        <v>2832.77</v>
      </c>
      <c r="R42">
        <v>0.15</v>
      </c>
      <c r="S42">
        <f>IF(ISNUMBER(SEARCH("%",R42)), VALUE(SUBSTITUTE(R42,"%",""))/100,IF(ISNUMBER(R42), R42, 0))</f>
        <v>0.15</v>
      </c>
      <c r="T42" t="str">
        <f>IF(S42&lt;0,"Negative discount (invalid)",IF(S42&gt;0.5,"Discount above allowed range (invalid)",IF(AND(R42="",S42=0),"Missing discount set to 0","OK")))</f>
        <v>OK</v>
      </c>
      <c r="U42">
        <v>4815.71</v>
      </c>
      <c r="V42">
        <v>3027.75</v>
      </c>
      <c r="W42">
        <v>1917.47</v>
      </c>
      <c r="X42" t="s">
        <v>32</v>
      </c>
      <c r="Y42" t="s">
        <v>33</v>
      </c>
      <c r="Z42">
        <f>IF(T42="OK",P42*Q42*(1-S42),"invalid")</f>
        <v>4815.7089999999998</v>
      </c>
      <c r="AA42">
        <f>IF(Z42="N/A","N/A",Z42-V42)</f>
        <v>1787.9589999999998</v>
      </c>
      <c r="AB42" s="8">
        <f>IF(Z42&lt;&gt;"N/A", AA42/Z42, "N/A")</f>
        <v>0.37127637903369992</v>
      </c>
      <c r="AC42">
        <f>MONTH(B42)</f>
        <v>1</v>
      </c>
      <c r="AD42">
        <f>YEAR(B42)</f>
        <v>2024</v>
      </c>
      <c r="AE42" s="10">
        <f t="shared" si="0"/>
        <v>1.0000000002037268E-3</v>
      </c>
      <c r="AF42" t="s">
        <v>2804</v>
      </c>
      <c r="AG42" t="s">
        <v>2811</v>
      </c>
    </row>
    <row r="43" spans="1:33">
      <c r="A43" t="s">
        <v>300</v>
      </c>
      <c r="B43" s="4">
        <v>45649</v>
      </c>
      <c r="C43" s="4">
        <v>45655</v>
      </c>
      <c r="D43">
        <f>_xlfn.DAYS(C43,B43)</f>
        <v>6</v>
      </c>
      <c r="E43" t="s">
        <v>2804</v>
      </c>
      <c r="F43" t="s">
        <v>301</v>
      </c>
      <c r="G43" t="s">
        <v>128</v>
      </c>
      <c r="H43" t="s">
        <v>90</v>
      </c>
      <c r="I43" t="s">
        <v>38</v>
      </c>
      <c r="J43" t="s">
        <v>228</v>
      </c>
      <c r="K43" t="s">
        <v>229</v>
      </c>
      <c r="L43" t="s">
        <v>28</v>
      </c>
      <c r="M43" t="s">
        <v>29</v>
      </c>
      <c r="N43" t="s">
        <v>302</v>
      </c>
      <c r="O43" t="s">
        <v>50</v>
      </c>
      <c r="P43">
        <v>7</v>
      </c>
      <c r="Q43">
        <v>447.84</v>
      </c>
      <c r="R43">
        <v>0</v>
      </c>
      <c r="S43">
        <f>IF(ISNUMBER(SEARCH("%",R43)), VALUE(SUBSTITUTE(R43,"%",""))/100,IF(ISNUMBER(R43), R43, 0))</f>
        <v>0</v>
      </c>
      <c r="T43" t="str">
        <f>IF(S43&lt;0,"Negative discount (invalid)",IF(S43&gt;0.5,"Discount above allowed range (invalid)",IF(AND(R43="",S43=0),"Missing discount set to 0","OK")))</f>
        <v>OK</v>
      </c>
      <c r="U43">
        <v>3134.88</v>
      </c>
      <c r="V43">
        <v>2367.63</v>
      </c>
      <c r="W43">
        <v>767.25</v>
      </c>
      <c r="X43" t="s">
        <v>102</v>
      </c>
      <c r="Y43" t="s">
        <v>103</v>
      </c>
      <c r="Z43">
        <f>IF(T43="OK",P43*Q43*(1-S43),"invalid")</f>
        <v>3134.8799999999997</v>
      </c>
      <c r="AA43">
        <f>IF(Z43="N/A","N/A",Z43-V43)</f>
        <v>767.24999999999955</v>
      </c>
      <c r="AB43" s="8">
        <f>IF(Z43&lt;&gt;"N/A", AA43/Z43, "N/A")</f>
        <v>0.24474621038125849</v>
      </c>
      <c r="AC43">
        <f>MONTH(B43)</f>
        <v>12</v>
      </c>
      <c r="AD43">
        <f>YEAR(B43)</f>
        <v>2024</v>
      </c>
      <c r="AE43" s="10">
        <f t="shared" si="0"/>
        <v>4.5474735088646412E-13</v>
      </c>
      <c r="AF43" t="s">
        <v>2804</v>
      </c>
      <c r="AG43" t="s">
        <v>2811</v>
      </c>
    </row>
    <row r="44" spans="1:33">
      <c r="A44" t="s">
        <v>303</v>
      </c>
      <c r="B44" s="4">
        <v>45404</v>
      </c>
      <c r="C44" s="4">
        <v>45409</v>
      </c>
      <c r="D44">
        <f>_xlfn.DAYS(C44,B44)</f>
        <v>5</v>
      </c>
      <c r="E44" t="s">
        <v>2804</v>
      </c>
      <c r="F44" t="s">
        <v>304</v>
      </c>
      <c r="G44" t="s">
        <v>36</v>
      </c>
      <c r="H44" t="s">
        <v>95</v>
      </c>
      <c r="I44" t="s">
        <v>63</v>
      </c>
      <c r="J44" t="s">
        <v>64</v>
      </c>
      <c r="K44" t="s">
        <v>65</v>
      </c>
      <c r="L44" t="s">
        <v>28</v>
      </c>
      <c r="M44" t="s">
        <v>29</v>
      </c>
      <c r="N44" t="s">
        <v>305</v>
      </c>
      <c r="O44" t="s">
        <v>31</v>
      </c>
      <c r="P44">
        <v>1</v>
      </c>
      <c r="Q44">
        <v>4280.1899999999996</v>
      </c>
      <c r="R44">
        <v>0.05</v>
      </c>
      <c r="S44">
        <f>IF(ISNUMBER(SEARCH("%",R44)), VALUE(SUBSTITUTE(R44,"%",""))/100,IF(ISNUMBER(R44), R44, 0))</f>
        <v>0.05</v>
      </c>
      <c r="T44" t="str">
        <f>IF(S44&lt;0,"Negative discount (invalid)",IF(S44&gt;0.5,"Discount above allowed range (invalid)",IF(AND(R44="",S44=0),"Missing discount set to 0","OK")))</f>
        <v>OK</v>
      </c>
      <c r="U44">
        <v>4066.18</v>
      </c>
      <c r="V44">
        <v>2628.92</v>
      </c>
      <c r="W44">
        <v>1437.26</v>
      </c>
      <c r="X44" t="s">
        <v>32</v>
      </c>
      <c r="Y44" t="s">
        <v>33</v>
      </c>
      <c r="Z44">
        <f>IF(T44="OK",P44*Q44*(1-S44),"invalid")</f>
        <v>4066.1804999999995</v>
      </c>
      <c r="AA44">
        <f>IF(Z44="N/A","N/A",Z44-V44)</f>
        <v>1437.2604999999994</v>
      </c>
      <c r="AB44" s="8">
        <f>IF(Z44&lt;&gt;"N/A", AA44/Z44, "N/A")</f>
        <v>0.35346696980126674</v>
      </c>
      <c r="AC44">
        <f>MONTH(B44)</f>
        <v>4</v>
      </c>
      <c r="AD44">
        <f>YEAR(B44)</f>
        <v>2024</v>
      </c>
      <c r="AE44" s="10">
        <f t="shared" si="0"/>
        <v>4.9999999964711606E-4</v>
      </c>
      <c r="AF44" t="s">
        <v>2804</v>
      </c>
      <c r="AG44" t="s">
        <v>2811</v>
      </c>
    </row>
    <row r="45" spans="1:33">
      <c r="A45" t="s">
        <v>312</v>
      </c>
      <c r="B45" s="4">
        <v>45606</v>
      </c>
      <c r="C45" s="4">
        <v>45609</v>
      </c>
      <c r="D45">
        <f>_xlfn.DAYS(C45,B45)</f>
        <v>3</v>
      </c>
      <c r="E45" t="s">
        <v>2804</v>
      </c>
      <c r="F45" t="s">
        <v>313</v>
      </c>
      <c r="G45" t="s">
        <v>47</v>
      </c>
      <c r="H45" t="s">
        <v>90</v>
      </c>
      <c r="I45" t="s">
        <v>38</v>
      </c>
      <c r="J45" t="s">
        <v>228</v>
      </c>
      <c r="K45" t="s">
        <v>229</v>
      </c>
      <c r="L45" t="s">
        <v>28</v>
      </c>
      <c r="M45" t="s">
        <v>124</v>
      </c>
      <c r="N45" t="s">
        <v>314</v>
      </c>
      <c r="O45" t="s">
        <v>31</v>
      </c>
      <c r="P45">
        <v>9</v>
      </c>
      <c r="Q45">
        <v>2211.12</v>
      </c>
      <c r="R45">
        <v>0</v>
      </c>
      <c r="S45">
        <f>IF(ISNUMBER(SEARCH("%",R45)), VALUE(SUBSTITUTE(R45,"%",""))/100,IF(ISNUMBER(R45), R45, 0))</f>
        <v>0</v>
      </c>
      <c r="T45" t="str">
        <f>IF(S45&lt;0,"Negative discount (invalid)",IF(S45&gt;0.5,"Discount above allowed range (invalid)",IF(AND(R45="",S45=0),"Missing discount set to 0","OK")))</f>
        <v>OK</v>
      </c>
      <c r="U45">
        <v>19900.080000000002</v>
      </c>
      <c r="V45">
        <v>10962.66</v>
      </c>
      <c r="W45">
        <v>8937.42</v>
      </c>
      <c r="X45" t="s">
        <v>155</v>
      </c>
      <c r="Y45" t="s">
        <v>103</v>
      </c>
      <c r="Z45">
        <f>IF(T45="OK",P45*Q45*(1-S45),"invalid")</f>
        <v>19900.079999999998</v>
      </c>
      <c r="AA45">
        <f>IF(Z45="N/A","N/A",Z45-V45)</f>
        <v>8937.4199999999983</v>
      </c>
      <c r="AB45" s="8">
        <f>IF(Z45&lt;&gt;"N/A", AA45/Z45, "N/A")</f>
        <v>0.44911477742803041</v>
      </c>
      <c r="AC45">
        <f>MONTH(B45)</f>
        <v>11</v>
      </c>
      <c r="AD45">
        <f>YEAR(B45)</f>
        <v>2024</v>
      </c>
      <c r="AE45" s="10">
        <f t="shared" si="0"/>
        <v>3.637978807091713E-12</v>
      </c>
      <c r="AF45" t="s">
        <v>2804</v>
      </c>
      <c r="AG45" t="s">
        <v>2811</v>
      </c>
    </row>
    <row r="46" spans="1:33">
      <c r="A46" t="s">
        <v>315</v>
      </c>
      <c r="B46" s="4">
        <v>45391</v>
      </c>
      <c r="C46" s="4">
        <v>45396</v>
      </c>
      <c r="D46">
        <f>_xlfn.DAYS(C46,B46)</f>
        <v>5</v>
      </c>
      <c r="E46" t="s">
        <v>2804</v>
      </c>
      <c r="F46" t="s">
        <v>316</v>
      </c>
      <c r="G46" t="s">
        <v>79</v>
      </c>
      <c r="H46" t="s">
        <v>37</v>
      </c>
      <c r="I46" t="s">
        <v>63</v>
      </c>
      <c r="J46" t="s">
        <v>180</v>
      </c>
      <c r="K46" t="s">
        <v>181</v>
      </c>
      <c r="L46" t="s">
        <v>74</v>
      </c>
      <c r="M46" t="s">
        <v>274</v>
      </c>
      <c r="N46" t="s">
        <v>317</v>
      </c>
      <c r="O46" t="s">
        <v>44</v>
      </c>
      <c r="P46">
        <v>7</v>
      </c>
      <c r="Q46">
        <v>3417.09</v>
      </c>
      <c r="R46">
        <v>0.1</v>
      </c>
      <c r="S46">
        <f>IF(ISNUMBER(SEARCH("%",R46)), VALUE(SUBSTITUTE(R46,"%",""))/100,IF(ISNUMBER(R46), R46, 0))</f>
        <v>0.1</v>
      </c>
      <c r="T46" t="str">
        <f>IF(S46&lt;0,"Negative discount (invalid)",IF(S46&gt;0.5,"Discount above allowed range (invalid)",IF(AND(R46="",S46=0),"Missing discount set to 0","OK")))</f>
        <v>OK</v>
      </c>
      <c r="U46">
        <v>21527.67</v>
      </c>
      <c r="V46">
        <v>18287.580000000002</v>
      </c>
      <c r="W46">
        <v>3240.09</v>
      </c>
      <c r="X46" t="s">
        <v>102</v>
      </c>
      <c r="Y46" t="s">
        <v>103</v>
      </c>
      <c r="Z46">
        <f>IF(T46="OK",P46*Q46*(1-S46),"invalid")</f>
        <v>21527.667000000001</v>
      </c>
      <c r="AA46">
        <f>IF(Z46="N/A","N/A",Z46-V46)</f>
        <v>3240.0869999999995</v>
      </c>
      <c r="AB46" s="8">
        <f>IF(Z46&lt;&gt;"N/A", AA46/Z46, "N/A")</f>
        <v>0.15050804158202555</v>
      </c>
      <c r="AC46">
        <f>MONTH(B46)</f>
        <v>4</v>
      </c>
      <c r="AD46">
        <f>YEAR(B46)</f>
        <v>2024</v>
      </c>
      <c r="AE46" s="10">
        <f t="shared" si="0"/>
        <v>2.9999999969732016E-3</v>
      </c>
      <c r="AF46" t="s">
        <v>2804</v>
      </c>
      <c r="AG46" t="s">
        <v>2811</v>
      </c>
    </row>
    <row r="47" spans="1:33">
      <c r="A47" t="s">
        <v>324</v>
      </c>
      <c r="B47" s="4">
        <v>45333</v>
      </c>
      <c r="C47" s="4">
        <v>45329</v>
      </c>
      <c r="D47">
        <f>_xlfn.DAYS(C47,B47)</f>
        <v>-4</v>
      </c>
      <c r="E47" t="str">
        <f>IF(B47="INVALID","Missing/Invalid order_date", IF(C47="INVALID","Missing/Invalid ship_date",IF(AND(B47&lt;&gt;"",C47&lt;&gt;"",C47&lt;B47),"Ship date before order date","")))</f>
        <v>Ship date before order date</v>
      </c>
      <c r="F47" t="s">
        <v>325</v>
      </c>
      <c r="G47" t="s">
        <v>23</v>
      </c>
      <c r="H47" t="s">
        <v>95</v>
      </c>
      <c r="I47" t="s">
        <v>54</v>
      </c>
      <c r="J47" t="s">
        <v>247</v>
      </c>
      <c r="K47" t="s">
        <v>248</v>
      </c>
      <c r="L47" t="s">
        <v>41</v>
      </c>
      <c r="M47" t="s">
        <v>42</v>
      </c>
      <c r="N47" t="s">
        <v>326</v>
      </c>
      <c r="O47" t="s">
        <v>50</v>
      </c>
      <c r="P47">
        <v>7</v>
      </c>
      <c r="Q47">
        <v>2287.4699999999998</v>
      </c>
      <c r="R47">
        <v>0.15</v>
      </c>
      <c r="S47">
        <f>IF(ISNUMBER(SEARCH("%",R47)), VALUE(SUBSTITUTE(R47,"%",""))/100,IF(ISNUMBER(R47), R47, 0))</f>
        <v>0.15</v>
      </c>
      <c r="T47" t="str">
        <f>IF(S47&lt;0,"Negative discount (invalid)",IF(S47&gt;0.5,"Discount above allowed range (invalid)",IF(AND(R47="",S47=0),"Missing discount set to 0","OK")))</f>
        <v>OK</v>
      </c>
      <c r="U47">
        <v>13610.45</v>
      </c>
      <c r="V47">
        <v>10039.049999999999</v>
      </c>
      <c r="W47">
        <v>3571.4</v>
      </c>
      <c r="X47" t="s">
        <v>32</v>
      </c>
      <c r="Y47" t="s">
        <v>33</v>
      </c>
      <c r="Z47">
        <f>IF(T47="OK",P47*Q47*(1-S47),"invalid")</f>
        <v>13610.446499999998</v>
      </c>
      <c r="AA47">
        <f>IF(Z47="N/A","N/A",Z47-V47)</f>
        <v>3571.3964999999989</v>
      </c>
      <c r="AB47" s="8">
        <f>IF(Z47&lt;&gt;"N/A", AA47/Z47, "N/A")</f>
        <v>0.26240112695788487</v>
      </c>
      <c r="AC47">
        <f>MONTH(B47)</f>
        <v>2</v>
      </c>
      <c r="AD47">
        <f>YEAR(B47)</f>
        <v>2024</v>
      </c>
      <c r="AE47" s="10">
        <f t="shared" si="0"/>
        <v>3.5000000025320332E-3</v>
      </c>
      <c r="AF47" t="s">
        <v>2806</v>
      </c>
      <c r="AG47" t="s">
        <v>2789</v>
      </c>
    </row>
    <row r="48" spans="1:33">
      <c r="A48" t="s">
        <v>336</v>
      </c>
      <c r="B48" s="4">
        <v>45599</v>
      </c>
      <c r="C48" s="4">
        <v>45607</v>
      </c>
      <c r="D48">
        <f>_xlfn.DAYS(C48,B48)</f>
        <v>8</v>
      </c>
      <c r="E48" t="s">
        <v>2804</v>
      </c>
      <c r="F48" t="s">
        <v>337</v>
      </c>
      <c r="G48" t="s">
        <v>62</v>
      </c>
      <c r="H48" t="s">
        <v>90</v>
      </c>
      <c r="I48" t="s">
        <v>38</v>
      </c>
      <c r="J48" t="s">
        <v>228</v>
      </c>
      <c r="K48" t="s">
        <v>229</v>
      </c>
      <c r="L48" t="s">
        <v>28</v>
      </c>
      <c r="M48" t="s">
        <v>91</v>
      </c>
      <c r="N48" t="s">
        <v>338</v>
      </c>
      <c r="O48" t="s">
        <v>31</v>
      </c>
      <c r="P48">
        <v>3</v>
      </c>
      <c r="Q48">
        <v>3406.27</v>
      </c>
      <c r="R48">
        <v>0</v>
      </c>
      <c r="S48">
        <f>IF(ISNUMBER(SEARCH("%",R48)), VALUE(SUBSTITUTE(R48,"%",""))/100,IF(ISNUMBER(R48), R48, 0))</f>
        <v>0</v>
      </c>
      <c r="T48" t="str">
        <f>IF(S48&lt;0,"Negative discount (invalid)",IF(S48&gt;0.5,"Discount above allowed range (invalid)",IF(AND(R48="",S48=0),"Missing discount set to 0","OK")))</f>
        <v>OK</v>
      </c>
      <c r="U48">
        <v>10218.81</v>
      </c>
      <c r="V48">
        <v>7616.97</v>
      </c>
      <c r="W48">
        <v>2601.84</v>
      </c>
      <c r="X48" t="s">
        <v>32</v>
      </c>
      <c r="Y48" t="s">
        <v>33</v>
      </c>
      <c r="Z48">
        <f>IF(T48="OK",P48*Q48*(1-S48),"invalid")</f>
        <v>10218.81</v>
      </c>
      <c r="AA48">
        <f>IF(Z48="N/A","N/A",Z48-V48)</f>
        <v>2601.8399999999992</v>
      </c>
      <c r="AB48" s="8">
        <f>IF(Z48&lt;&gt;"N/A", AA48/Z48, "N/A")</f>
        <v>0.2546128169522674</v>
      </c>
      <c r="AC48">
        <f>MONTH(B48)</f>
        <v>11</v>
      </c>
      <c r="AD48">
        <f>YEAR(B48)</f>
        <v>2024</v>
      </c>
      <c r="AE48" s="10">
        <f t="shared" si="0"/>
        <v>0</v>
      </c>
      <c r="AF48" t="s">
        <v>2804</v>
      </c>
      <c r="AG48" t="s">
        <v>2811</v>
      </c>
    </row>
    <row r="49" spans="1:33">
      <c r="A49" t="s">
        <v>348</v>
      </c>
      <c r="B49" s="4">
        <v>45514</v>
      </c>
      <c r="C49" s="4">
        <v>45518</v>
      </c>
      <c r="D49">
        <f>_xlfn.DAYS(C49,B49)</f>
        <v>4</v>
      </c>
      <c r="E49" t="s">
        <v>2804</v>
      </c>
      <c r="F49" t="s">
        <v>349</v>
      </c>
      <c r="G49" t="s">
        <v>128</v>
      </c>
      <c r="H49" t="s">
        <v>37</v>
      </c>
      <c r="I49" t="s">
        <v>25</v>
      </c>
      <c r="J49" t="s">
        <v>350</v>
      </c>
      <c r="K49" t="s">
        <v>351</v>
      </c>
      <c r="L49" t="s">
        <v>28</v>
      </c>
      <c r="M49" t="s">
        <v>124</v>
      </c>
      <c r="N49" t="s">
        <v>352</v>
      </c>
      <c r="O49" t="s">
        <v>31</v>
      </c>
      <c r="P49">
        <v>4</v>
      </c>
      <c r="Q49">
        <v>1182.32</v>
      </c>
      <c r="R49">
        <v>0.1</v>
      </c>
      <c r="S49">
        <f>IF(ISNUMBER(SEARCH("%",R49)), VALUE(SUBSTITUTE(R49,"%",""))/100,IF(ISNUMBER(R49), R49, 0))</f>
        <v>0.1</v>
      </c>
      <c r="T49" t="str">
        <f>IF(S49&lt;0,"Negative discount (invalid)",IF(S49&gt;0.5,"Discount above allowed range (invalid)",IF(AND(R49="",S49=0),"Missing discount set to 0","OK")))</f>
        <v>OK</v>
      </c>
      <c r="U49">
        <v>4256.3500000000004</v>
      </c>
      <c r="V49">
        <v>2495.33</v>
      </c>
      <c r="W49">
        <v>1761.02</v>
      </c>
      <c r="X49" t="s">
        <v>111</v>
      </c>
      <c r="Y49" t="s">
        <v>103</v>
      </c>
      <c r="Z49">
        <f>IF(T49="OK",P49*Q49*(1-S49),"invalid")</f>
        <v>4256.3519999999999</v>
      </c>
      <c r="AA49">
        <f>IF(Z49="N/A","N/A",Z49-V49)</f>
        <v>1761.0219999999999</v>
      </c>
      <c r="AB49" s="8">
        <f>IF(Z49&lt;&gt;"N/A", AA49/Z49, "N/A")</f>
        <v>0.41373974708858663</v>
      </c>
      <c r="AC49">
        <f>MONTH(B49)</f>
        <v>8</v>
      </c>
      <c r="AD49">
        <f>YEAR(B49)</f>
        <v>2024</v>
      </c>
      <c r="AE49" s="10">
        <f t="shared" si="0"/>
        <v>1.9999999994979589E-3</v>
      </c>
      <c r="AF49" t="s">
        <v>2804</v>
      </c>
      <c r="AG49" t="s">
        <v>2811</v>
      </c>
    </row>
    <row r="50" spans="1:33">
      <c r="A50" t="s">
        <v>356</v>
      </c>
      <c r="B50" s="4">
        <v>45507</v>
      </c>
      <c r="C50" s="4">
        <v>45508</v>
      </c>
      <c r="D50">
        <f>_xlfn.DAYS(C50,B50)</f>
        <v>1</v>
      </c>
      <c r="E50" t="s">
        <v>2804</v>
      </c>
      <c r="F50" t="s">
        <v>357</v>
      </c>
      <c r="G50" t="s">
        <v>53</v>
      </c>
      <c r="H50" t="s">
        <v>24</v>
      </c>
      <c r="I50" t="s">
        <v>25</v>
      </c>
      <c r="J50" t="s">
        <v>136</v>
      </c>
      <c r="K50" t="s">
        <v>137</v>
      </c>
      <c r="L50" t="s">
        <v>74</v>
      </c>
      <c r="M50" t="s">
        <v>80</v>
      </c>
      <c r="N50" t="s">
        <v>358</v>
      </c>
      <c r="O50" t="s">
        <v>31</v>
      </c>
      <c r="P50">
        <v>6</v>
      </c>
      <c r="Q50">
        <v>1001.73</v>
      </c>
      <c r="R50">
        <v>0</v>
      </c>
      <c r="S50">
        <f>IF(ISNUMBER(SEARCH("%",R50)), VALUE(SUBSTITUTE(R50,"%",""))/100,IF(ISNUMBER(R50), R50, 0))</f>
        <v>0</v>
      </c>
      <c r="T50" t="str">
        <f>IF(S50&lt;0,"Negative discount (invalid)",IF(S50&gt;0.5,"Discount above allowed range (invalid)",IF(AND(R50="",S50=0),"Missing discount set to 0","OK")))</f>
        <v>OK</v>
      </c>
      <c r="U50">
        <v>6010.38</v>
      </c>
      <c r="V50">
        <v>3762.85</v>
      </c>
      <c r="W50">
        <v>2247.5300000000002</v>
      </c>
      <c r="X50" t="s">
        <v>155</v>
      </c>
      <c r="Y50" t="s">
        <v>103</v>
      </c>
      <c r="Z50">
        <f>IF(T50="OK",P50*Q50*(1-S50),"invalid")</f>
        <v>6010.38</v>
      </c>
      <c r="AA50">
        <f>IF(Z50="N/A","N/A",Z50-V50)</f>
        <v>2247.5300000000002</v>
      </c>
      <c r="AB50" s="8">
        <f>IF(Z50&lt;&gt;"N/A", AA50/Z50, "N/A")</f>
        <v>0.37394141468592673</v>
      </c>
      <c r="AC50">
        <f>MONTH(B50)</f>
        <v>8</v>
      </c>
      <c r="AD50">
        <f>YEAR(B50)</f>
        <v>2024</v>
      </c>
      <c r="AE50" s="10">
        <f t="shared" si="0"/>
        <v>0</v>
      </c>
      <c r="AF50" t="s">
        <v>2804</v>
      </c>
      <c r="AG50" t="s">
        <v>2811</v>
      </c>
    </row>
    <row r="51" spans="1:33">
      <c r="A51" t="s">
        <v>359</v>
      </c>
      <c r="B51" s="4">
        <v>45591</v>
      </c>
      <c r="C51" s="4">
        <v>45594</v>
      </c>
      <c r="D51">
        <f>_xlfn.DAYS(C51,B51)</f>
        <v>3</v>
      </c>
      <c r="E51" t="s">
        <v>2804</v>
      </c>
      <c r="F51" t="s">
        <v>360</v>
      </c>
      <c r="G51" t="s">
        <v>89</v>
      </c>
      <c r="H51" t="s">
        <v>95</v>
      </c>
      <c r="I51" t="s">
        <v>63</v>
      </c>
      <c r="J51" t="s">
        <v>64</v>
      </c>
      <c r="K51" t="s">
        <v>65</v>
      </c>
      <c r="L51" t="s">
        <v>41</v>
      </c>
      <c r="M51" t="s">
        <v>42</v>
      </c>
      <c r="N51" t="s">
        <v>361</v>
      </c>
      <c r="O51" t="s">
        <v>31</v>
      </c>
      <c r="P51">
        <v>9</v>
      </c>
      <c r="Q51">
        <v>131.74</v>
      </c>
      <c r="R51">
        <v>0.2</v>
      </c>
      <c r="S51">
        <f>IF(ISNUMBER(SEARCH("%",R51)), VALUE(SUBSTITUTE(R51,"%",""))/100,IF(ISNUMBER(R51), R51, 0))</f>
        <v>0.2</v>
      </c>
      <c r="T51" t="str">
        <f>IF(S51&lt;0,"Negative discount (invalid)",IF(S51&gt;0.5,"Discount above allowed range (invalid)",IF(AND(R51="",S51=0),"Missing discount set to 0","OK")))</f>
        <v>OK</v>
      </c>
      <c r="U51">
        <v>948.53</v>
      </c>
      <c r="V51">
        <v>674.62</v>
      </c>
      <c r="W51">
        <v>273.91000000000003</v>
      </c>
      <c r="X51" t="s">
        <v>32</v>
      </c>
      <c r="Y51" t="s">
        <v>33</v>
      </c>
      <c r="Z51">
        <f>IF(T51="OK",P51*Q51*(1-S51),"invalid")</f>
        <v>948.52800000000013</v>
      </c>
      <c r="AA51">
        <f>IF(Z51="N/A","N/A",Z51-V51)</f>
        <v>273.90800000000013</v>
      </c>
      <c r="AB51" s="8">
        <f>IF(Z51&lt;&gt;"N/A", AA51/Z51, "N/A")</f>
        <v>0.28877165460587362</v>
      </c>
      <c r="AC51">
        <f>MONTH(B51)</f>
        <v>10</v>
      </c>
      <c r="AD51">
        <f>YEAR(B51)</f>
        <v>2024</v>
      </c>
      <c r="AE51" s="10">
        <f t="shared" si="0"/>
        <v>1.9999999998390194E-3</v>
      </c>
      <c r="AF51" t="s">
        <v>2804</v>
      </c>
      <c r="AG51" t="s">
        <v>2811</v>
      </c>
    </row>
    <row r="52" spans="1:33">
      <c r="A52" t="s">
        <v>362</v>
      </c>
      <c r="B52" s="4">
        <v>45566</v>
      </c>
      <c r="C52" s="4">
        <v>45568</v>
      </c>
      <c r="D52">
        <f>_xlfn.DAYS(C52,B52)</f>
        <v>2</v>
      </c>
      <c r="E52" t="s">
        <v>2804</v>
      </c>
      <c r="F52" t="s">
        <v>363</v>
      </c>
      <c r="G52" t="s">
        <v>141</v>
      </c>
      <c r="H52" t="s">
        <v>90</v>
      </c>
      <c r="I52" t="s">
        <v>54</v>
      </c>
      <c r="J52" t="s">
        <v>247</v>
      </c>
      <c r="K52" t="s">
        <v>248</v>
      </c>
      <c r="L52" t="s">
        <v>74</v>
      </c>
      <c r="M52" t="s">
        <v>171</v>
      </c>
      <c r="N52" t="s">
        <v>364</v>
      </c>
      <c r="O52" t="s">
        <v>31</v>
      </c>
      <c r="P52">
        <v>6</v>
      </c>
      <c r="Q52">
        <v>570.28</v>
      </c>
      <c r="R52">
        <v>0.2</v>
      </c>
      <c r="S52">
        <f>IF(ISNUMBER(SEARCH("%",R52)), VALUE(SUBSTITUTE(R52,"%",""))/100,IF(ISNUMBER(R52), R52, 0))</f>
        <v>0.2</v>
      </c>
      <c r="T52" t="str">
        <f>IF(S52&lt;0,"Negative discount (invalid)",IF(S52&gt;0.5,"Discount above allowed range (invalid)",IF(AND(R52="",S52=0),"Missing discount set to 0","OK")))</f>
        <v>OK</v>
      </c>
      <c r="U52">
        <v>2737.34</v>
      </c>
      <c r="V52">
        <v>2085.44</v>
      </c>
      <c r="W52">
        <v>651.9</v>
      </c>
      <c r="X52" t="s">
        <v>32</v>
      </c>
      <c r="Y52" t="s">
        <v>33</v>
      </c>
      <c r="Z52">
        <f>IF(T52="OK",P52*Q52*(1-S52),"invalid")</f>
        <v>2737.3440000000001</v>
      </c>
      <c r="AA52">
        <f>IF(Z52="N/A","N/A",Z52-V52)</f>
        <v>651.904</v>
      </c>
      <c r="AB52" s="8">
        <f>IF(Z52&lt;&gt;"N/A", AA52/Z52, "N/A")</f>
        <v>0.23815201889130486</v>
      </c>
      <c r="AC52">
        <f>MONTH(B52)</f>
        <v>10</v>
      </c>
      <c r="AD52">
        <f>YEAR(B52)</f>
        <v>2024</v>
      </c>
      <c r="AE52" s="10">
        <f t="shared" si="0"/>
        <v>3.9999999999054126E-3</v>
      </c>
      <c r="AF52" t="s">
        <v>2804</v>
      </c>
      <c r="AG52" t="s">
        <v>2811</v>
      </c>
    </row>
    <row r="53" spans="1:33">
      <c r="A53" t="s">
        <v>365</v>
      </c>
      <c r="B53" s="4">
        <v>45503</v>
      </c>
      <c r="C53" s="4">
        <v>45509</v>
      </c>
      <c r="D53">
        <f>_xlfn.DAYS(C53,B53)</f>
        <v>6</v>
      </c>
      <c r="E53" t="s">
        <v>2804</v>
      </c>
      <c r="F53" t="s">
        <v>366</v>
      </c>
      <c r="G53" t="s">
        <v>264</v>
      </c>
      <c r="H53" t="s">
        <v>90</v>
      </c>
      <c r="I53" t="s">
        <v>25</v>
      </c>
      <c r="J53" t="s">
        <v>350</v>
      </c>
      <c r="K53" t="s">
        <v>351</v>
      </c>
      <c r="L53" t="s">
        <v>28</v>
      </c>
      <c r="M53" t="s">
        <v>153</v>
      </c>
      <c r="N53" t="s">
        <v>367</v>
      </c>
      <c r="O53" t="s">
        <v>59</v>
      </c>
      <c r="P53">
        <v>1</v>
      </c>
      <c r="Q53">
        <v>608.64</v>
      </c>
      <c r="R53">
        <v>0</v>
      </c>
      <c r="S53">
        <f>IF(ISNUMBER(SEARCH("%",R53)), VALUE(SUBSTITUTE(R53,"%",""))/100,IF(ISNUMBER(R53), R53, 0))</f>
        <v>0</v>
      </c>
      <c r="T53" t="str">
        <f>IF(S53&lt;0,"Negative discount (invalid)",IF(S53&gt;0.5,"Discount above allowed range (invalid)",IF(AND(R53="",S53=0),"Missing discount set to 0","OK")))</f>
        <v>OK</v>
      </c>
      <c r="U53">
        <v>608.64</v>
      </c>
      <c r="V53">
        <v>343.99</v>
      </c>
      <c r="W53">
        <v>264.64999999999998</v>
      </c>
      <c r="X53" t="s">
        <v>32</v>
      </c>
      <c r="Y53" t="s">
        <v>68</v>
      </c>
      <c r="Z53">
        <f>IF(T53="OK",P53*Q53*(1-S53),"invalid")</f>
        <v>608.64</v>
      </c>
      <c r="AA53">
        <f>IF(Z53="N/A","N/A",Z53-V53)</f>
        <v>264.64999999999998</v>
      </c>
      <c r="AB53" s="8">
        <f>IF(Z53&lt;&gt;"N/A", AA53/Z53, "N/A")</f>
        <v>0.43482189800210302</v>
      </c>
      <c r="AC53">
        <f>MONTH(B53)</f>
        <v>7</v>
      </c>
      <c r="AD53">
        <f>YEAR(B53)</f>
        <v>2024</v>
      </c>
      <c r="AE53" s="10">
        <f t="shared" si="0"/>
        <v>0</v>
      </c>
      <c r="AF53" t="s">
        <v>2804</v>
      </c>
      <c r="AG53" t="s">
        <v>2811</v>
      </c>
    </row>
    <row r="54" spans="1:33">
      <c r="A54" t="s">
        <v>368</v>
      </c>
      <c r="B54" s="4">
        <v>45474</v>
      </c>
      <c r="C54" s="4">
        <v>45474</v>
      </c>
      <c r="D54">
        <f>_xlfn.DAYS(C54,B54)</f>
        <v>0</v>
      </c>
      <c r="E54" t="s">
        <v>2804</v>
      </c>
      <c r="F54" t="s">
        <v>369</v>
      </c>
      <c r="G54" t="s">
        <v>62</v>
      </c>
      <c r="H54" t="s">
        <v>37</v>
      </c>
      <c r="I54" t="s">
        <v>25</v>
      </c>
      <c r="J54" t="s">
        <v>350</v>
      </c>
      <c r="K54" t="s">
        <v>351</v>
      </c>
      <c r="L54" t="s">
        <v>74</v>
      </c>
      <c r="M54" t="s">
        <v>80</v>
      </c>
      <c r="N54" t="s">
        <v>370</v>
      </c>
      <c r="O54" t="s">
        <v>31</v>
      </c>
      <c r="P54">
        <v>3</v>
      </c>
      <c r="Q54">
        <v>885.28</v>
      </c>
      <c r="R54">
        <v>0.1</v>
      </c>
      <c r="S54">
        <f>IF(ISNUMBER(SEARCH("%",R54)), VALUE(SUBSTITUTE(R54,"%",""))/100,IF(ISNUMBER(R54), R54, 0))</f>
        <v>0.1</v>
      </c>
      <c r="T54" t="str">
        <f>IF(S54&lt;0,"Negative discount (invalid)",IF(S54&gt;0.5,"Discount above allowed range (invalid)",IF(AND(R54="",S54=0),"Missing discount set to 0","OK")))</f>
        <v>OK</v>
      </c>
      <c r="U54">
        <v>2390.2600000000002</v>
      </c>
      <c r="V54">
        <v>1495.94</v>
      </c>
      <c r="W54">
        <v>894.32</v>
      </c>
      <c r="X54" t="s">
        <v>102</v>
      </c>
      <c r="Y54" t="s">
        <v>68</v>
      </c>
      <c r="Z54">
        <f>IF(T54="OK",P54*Q54*(1-S54),"invalid")</f>
        <v>2390.2560000000003</v>
      </c>
      <c r="AA54">
        <f>IF(Z54="N/A","N/A",Z54-V54)</f>
        <v>894.31600000000026</v>
      </c>
      <c r="AB54" s="8">
        <f>IF(Z54&lt;&gt;"N/A", AA54/Z54, "N/A")</f>
        <v>0.37415071858411825</v>
      </c>
      <c r="AC54">
        <f>MONTH(B54)</f>
        <v>7</v>
      </c>
      <c r="AD54">
        <f>YEAR(B54)</f>
        <v>2024</v>
      </c>
      <c r="AE54" s="10">
        <f t="shared" si="0"/>
        <v>3.9999999999054126E-3</v>
      </c>
      <c r="AF54" t="s">
        <v>2804</v>
      </c>
      <c r="AG54" t="s">
        <v>2811</v>
      </c>
    </row>
    <row r="55" spans="1:33">
      <c r="A55" t="s">
        <v>371</v>
      </c>
      <c r="B55" s="4">
        <v>45506</v>
      </c>
      <c r="C55" s="4">
        <v>45507</v>
      </c>
      <c r="D55">
        <f>_xlfn.DAYS(C55,B55)</f>
        <v>1</v>
      </c>
      <c r="E55" t="s">
        <v>2804</v>
      </c>
      <c r="F55" t="s">
        <v>372</v>
      </c>
      <c r="G55" t="s">
        <v>71</v>
      </c>
      <c r="H55" t="s">
        <v>24</v>
      </c>
      <c r="I55" t="s">
        <v>38</v>
      </c>
      <c r="J55" t="s">
        <v>166</v>
      </c>
      <c r="K55" t="s">
        <v>167</v>
      </c>
      <c r="L55" t="s">
        <v>28</v>
      </c>
      <c r="M55" t="s">
        <v>153</v>
      </c>
      <c r="N55" t="s">
        <v>373</v>
      </c>
      <c r="O55" t="s">
        <v>59</v>
      </c>
      <c r="P55">
        <v>7</v>
      </c>
      <c r="Q55">
        <v>3345.22</v>
      </c>
      <c r="R55">
        <v>0</v>
      </c>
      <c r="S55">
        <f>IF(ISNUMBER(SEARCH("%",R55)), VALUE(SUBSTITUTE(R55,"%",""))/100,IF(ISNUMBER(R55), R55, 0))</f>
        <v>0</v>
      </c>
      <c r="T55" t="str">
        <f>IF(S55&lt;0,"Negative discount (invalid)",IF(S55&gt;0.5,"Discount above allowed range (invalid)",IF(AND(R55="",S55=0),"Missing discount set to 0","OK")))</f>
        <v>OK</v>
      </c>
      <c r="U55">
        <v>23416.54</v>
      </c>
      <c r="V55">
        <v>15490.89</v>
      </c>
      <c r="W55">
        <v>7925.65</v>
      </c>
      <c r="X55" t="s">
        <v>32</v>
      </c>
      <c r="Y55" t="s">
        <v>33</v>
      </c>
      <c r="Z55">
        <f>IF(T55="OK",P55*Q55*(1-S55),"invalid")</f>
        <v>23416.539999999997</v>
      </c>
      <c r="AA55">
        <f>IF(Z55="N/A","N/A",Z55-V55)</f>
        <v>7925.6499999999978</v>
      </c>
      <c r="AB55" s="8">
        <f>IF(Z55&lt;&gt;"N/A", AA55/Z55, "N/A")</f>
        <v>0.33846375254414185</v>
      </c>
      <c r="AC55">
        <f>MONTH(B55)</f>
        <v>8</v>
      </c>
      <c r="AD55">
        <f>YEAR(B55)</f>
        <v>2024</v>
      </c>
      <c r="AE55" s="10">
        <f t="shared" si="0"/>
        <v>3.637978807091713E-12</v>
      </c>
      <c r="AF55" t="s">
        <v>2804</v>
      </c>
      <c r="AG55" t="s">
        <v>2811</v>
      </c>
    </row>
    <row r="56" spans="1:33">
      <c r="A56" t="s">
        <v>374</v>
      </c>
      <c r="B56" s="4">
        <v>45375</v>
      </c>
      <c r="C56" s="4">
        <v>45378</v>
      </c>
      <c r="D56">
        <f>_xlfn.DAYS(C56,B56)</f>
        <v>3</v>
      </c>
      <c r="E56" t="s">
        <v>2804</v>
      </c>
      <c r="F56" t="s">
        <v>375</v>
      </c>
      <c r="G56" t="s">
        <v>141</v>
      </c>
      <c r="H56" t="s">
        <v>37</v>
      </c>
      <c r="I56" t="s">
        <v>63</v>
      </c>
      <c r="J56" t="s">
        <v>64</v>
      </c>
      <c r="K56" t="s">
        <v>65</v>
      </c>
      <c r="L56" t="s">
        <v>41</v>
      </c>
      <c r="M56" t="s">
        <v>158</v>
      </c>
      <c r="N56" t="s">
        <v>376</v>
      </c>
      <c r="O56" t="s">
        <v>59</v>
      </c>
      <c r="P56">
        <v>2</v>
      </c>
      <c r="Q56">
        <v>3284.75</v>
      </c>
      <c r="R56">
        <v>0.05</v>
      </c>
      <c r="S56">
        <f>IF(ISNUMBER(SEARCH("%",R56)), VALUE(SUBSTITUTE(R56,"%",""))/100,IF(ISNUMBER(R56), R56, 0))</f>
        <v>0.05</v>
      </c>
      <c r="T56" t="str">
        <f>IF(S56&lt;0,"Negative discount (invalid)",IF(S56&gt;0.5,"Discount above allowed range (invalid)",IF(AND(R56="",S56=0),"Missing discount set to 0","OK")))</f>
        <v>OK</v>
      </c>
      <c r="U56">
        <v>6241.02</v>
      </c>
      <c r="V56">
        <v>5345.88</v>
      </c>
      <c r="W56">
        <v>895.14</v>
      </c>
      <c r="X56" t="s">
        <v>32</v>
      </c>
      <c r="Y56" t="s">
        <v>33</v>
      </c>
      <c r="Z56">
        <f>IF(T56="OK",P56*Q56*(1-S56),"invalid")</f>
        <v>6241.0249999999996</v>
      </c>
      <c r="AA56">
        <f>IF(Z56="N/A","N/A",Z56-V56)</f>
        <v>895.14499999999953</v>
      </c>
      <c r="AB56" s="8">
        <f>IF(Z56&lt;&gt;"N/A", AA56/Z56, "N/A")</f>
        <v>0.14342916427990587</v>
      </c>
      <c r="AC56">
        <f>MONTH(B56)</f>
        <v>3</v>
      </c>
      <c r="AD56">
        <f>YEAR(B56)</f>
        <v>2024</v>
      </c>
      <c r="AE56" s="10">
        <f t="shared" si="0"/>
        <v>4.9999999991996447E-3</v>
      </c>
      <c r="AF56" t="s">
        <v>2804</v>
      </c>
      <c r="AG56" t="s">
        <v>2811</v>
      </c>
    </row>
    <row r="57" spans="1:33">
      <c r="A57" t="s">
        <v>377</v>
      </c>
      <c r="B57" s="4">
        <v>45540</v>
      </c>
      <c r="C57" s="4">
        <v>45540</v>
      </c>
      <c r="D57">
        <f>_xlfn.DAYS(C57,B57)</f>
        <v>0</v>
      </c>
      <c r="E57" t="s">
        <v>2804</v>
      </c>
      <c r="F57" t="s">
        <v>378</v>
      </c>
      <c r="G57" t="s">
        <v>264</v>
      </c>
      <c r="H57" t="s">
        <v>24</v>
      </c>
      <c r="I57" t="s">
        <v>54</v>
      </c>
      <c r="J57" t="s">
        <v>84</v>
      </c>
      <c r="K57" t="s">
        <v>85</v>
      </c>
      <c r="L57" t="s">
        <v>41</v>
      </c>
      <c r="M57" t="s">
        <v>158</v>
      </c>
      <c r="N57" t="s">
        <v>379</v>
      </c>
      <c r="O57" t="s">
        <v>59</v>
      </c>
      <c r="P57">
        <v>7</v>
      </c>
      <c r="Q57">
        <v>3761.09</v>
      </c>
      <c r="R57">
        <v>0.2</v>
      </c>
      <c r="S57">
        <f>IF(ISNUMBER(SEARCH("%",R57)), VALUE(SUBSTITUTE(R57,"%",""))/100,IF(ISNUMBER(R57), R57, 0))</f>
        <v>0.2</v>
      </c>
      <c r="T57" t="str">
        <f>IF(S57&lt;0,"Negative discount (invalid)",IF(S57&gt;0.5,"Discount above allowed range (invalid)",IF(AND(R57="",S57=0),"Missing discount set to 0","OK")))</f>
        <v>OK</v>
      </c>
      <c r="U57">
        <v>21062.1</v>
      </c>
      <c r="V57">
        <v>12057.13</v>
      </c>
      <c r="W57">
        <v>9004.9699999999993</v>
      </c>
      <c r="X57" t="s">
        <v>111</v>
      </c>
      <c r="Y57" t="s">
        <v>68</v>
      </c>
      <c r="Z57">
        <f>IF(T57="OK",P57*Q57*(1-S57),"invalid")</f>
        <v>21062.104000000003</v>
      </c>
      <c r="AA57">
        <f>IF(Z57="N/A","N/A",Z57-V57)</f>
        <v>9004.9740000000038</v>
      </c>
      <c r="AB57" s="8">
        <f>IF(Z57&lt;&gt;"N/A", AA57/Z57, "N/A")</f>
        <v>0.42754389589947911</v>
      </c>
      <c r="AC57">
        <f>MONTH(B57)</f>
        <v>9</v>
      </c>
      <c r="AD57">
        <f>YEAR(B57)</f>
        <v>2024</v>
      </c>
      <c r="AE57" s="10">
        <f t="shared" si="0"/>
        <v>4.0000000044528861E-3</v>
      </c>
      <c r="AF57" t="s">
        <v>2804</v>
      </c>
      <c r="AG57" t="s">
        <v>2811</v>
      </c>
    </row>
    <row r="58" spans="1:33">
      <c r="A58" t="s">
        <v>389</v>
      </c>
      <c r="B58" s="4">
        <v>45298</v>
      </c>
      <c r="C58" s="4">
        <v>45304</v>
      </c>
      <c r="D58">
        <f>_xlfn.DAYS(C58,B58)</f>
        <v>6</v>
      </c>
      <c r="E58" t="s">
        <v>2804</v>
      </c>
      <c r="F58" t="s">
        <v>390</v>
      </c>
      <c r="G58" t="s">
        <v>141</v>
      </c>
      <c r="H58" t="s">
        <v>90</v>
      </c>
      <c r="I58" t="s">
        <v>25</v>
      </c>
      <c r="J58" t="s">
        <v>136</v>
      </c>
      <c r="K58" t="s">
        <v>137</v>
      </c>
      <c r="L58" t="s">
        <v>28</v>
      </c>
      <c r="M58" t="s">
        <v>153</v>
      </c>
      <c r="N58" t="s">
        <v>391</v>
      </c>
      <c r="O58" t="s">
        <v>59</v>
      </c>
      <c r="P58">
        <v>7</v>
      </c>
      <c r="Q58">
        <v>2788.97</v>
      </c>
      <c r="R58">
        <v>-0.09</v>
      </c>
      <c r="S58">
        <f>IF(ISNUMBER(SEARCH("%",R58)), VALUE(SUBSTITUTE(R58,"%",""))/100,IF(ISNUMBER(R58), R58, 0))</f>
        <v>-0.09</v>
      </c>
      <c r="T58" t="str">
        <f>IF(S58&lt;0,"Negative discount (invalid)",IF(S58&gt;0.5,"Discount above allowed range (invalid)",IF(AND(R58="",S58=0),"Missing discount set to 0","OK")))</f>
        <v>Negative discount (invalid)</v>
      </c>
      <c r="U58">
        <v>19522.79</v>
      </c>
      <c r="V58">
        <v>12455.78</v>
      </c>
      <c r="W58">
        <v>7067.01</v>
      </c>
      <c r="X58" t="s">
        <v>32</v>
      </c>
      <c r="Y58" t="s">
        <v>33</v>
      </c>
      <c r="Z58" t="s">
        <v>2793</v>
      </c>
      <c r="AA58" t="str">
        <f>IF(Z58="N/A","N/A",Z58-V58)</f>
        <v>N/A</v>
      </c>
      <c r="AB58" s="8" t="str">
        <f>IF(Z58&lt;&gt;"N/A", AA58/Z58, "N/A")</f>
        <v>N/A</v>
      </c>
      <c r="AC58">
        <f>MONTH(B58)</f>
        <v>1</v>
      </c>
      <c r="AD58">
        <f>YEAR(B58)</f>
        <v>2024</v>
      </c>
      <c r="AE58" s="10" t="str">
        <f t="shared" si="0"/>
        <v>N/A</v>
      </c>
      <c r="AF58" t="s">
        <v>2802</v>
      </c>
      <c r="AG58" t="s">
        <v>2789</v>
      </c>
    </row>
    <row r="59" spans="1:33">
      <c r="A59" t="s">
        <v>392</v>
      </c>
      <c r="B59" s="4">
        <v>45541</v>
      </c>
      <c r="C59" s="4">
        <v>45544</v>
      </c>
      <c r="D59">
        <f>_xlfn.DAYS(C59,B59)</f>
        <v>3</v>
      </c>
      <c r="E59" t="s">
        <v>2804</v>
      </c>
      <c r="F59" t="s">
        <v>393</v>
      </c>
      <c r="G59" t="s">
        <v>162</v>
      </c>
      <c r="H59" t="s">
        <v>24</v>
      </c>
      <c r="I59" t="s">
        <v>25</v>
      </c>
      <c r="J59" t="s">
        <v>236</v>
      </c>
      <c r="K59" t="s">
        <v>237</v>
      </c>
      <c r="L59" t="s">
        <v>74</v>
      </c>
      <c r="M59" t="s">
        <v>171</v>
      </c>
      <c r="N59" t="s">
        <v>394</v>
      </c>
      <c r="O59" t="s">
        <v>31</v>
      </c>
      <c r="P59">
        <v>7</v>
      </c>
      <c r="Q59">
        <v>3781.53</v>
      </c>
      <c r="R59">
        <v>0</v>
      </c>
      <c r="S59">
        <f>IF(ISNUMBER(SEARCH("%",R59)), VALUE(SUBSTITUTE(R59,"%",""))/100,IF(ISNUMBER(R59), R59, 0))</f>
        <v>0</v>
      </c>
      <c r="T59" t="str">
        <f>IF(S59&lt;0,"Negative discount (invalid)",IF(S59&gt;0.5,"Discount above allowed range (invalid)",IF(AND(R59="",S59=0),"Missing discount set to 0","OK")))</f>
        <v>OK</v>
      </c>
      <c r="U59">
        <v>26470.71</v>
      </c>
      <c r="V59">
        <v>21367.599999999999</v>
      </c>
      <c r="W59">
        <v>5103.1099999999997</v>
      </c>
      <c r="X59" t="s">
        <v>111</v>
      </c>
      <c r="Y59" t="s">
        <v>68</v>
      </c>
      <c r="Z59">
        <f>IF(T59="OK",P59*Q59*(1-S59),"invalid")</f>
        <v>26470.710000000003</v>
      </c>
      <c r="AA59">
        <f>IF(Z59="N/A","N/A",Z59-V59)</f>
        <v>5103.1100000000042</v>
      </c>
      <c r="AB59" s="8">
        <f>IF(Z59&lt;&gt;"N/A", AA59/Z59, "N/A")</f>
        <v>0.19278326875251944</v>
      </c>
      <c r="AC59">
        <f>MONTH(B59)</f>
        <v>9</v>
      </c>
      <c r="AD59">
        <f>YEAR(B59)</f>
        <v>2024</v>
      </c>
      <c r="AE59" s="10">
        <f t="shared" si="0"/>
        <v>3.637978807091713E-12</v>
      </c>
      <c r="AF59" t="s">
        <v>2804</v>
      </c>
      <c r="AG59" t="s">
        <v>2811</v>
      </c>
    </row>
    <row r="60" spans="1:33">
      <c r="A60" t="s">
        <v>398</v>
      </c>
      <c r="B60" s="4">
        <v>45448</v>
      </c>
      <c r="C60" s="4">
        <v>45450</v>
      </c>
      <c r="D60">
        <f>_xlfn.DAYS(C60,B60)</f>
        <v>2</v>
      </c>
      <c r="E60" t="s">
        <v>2804</v>
      </c>
      <c r="F60" t="s">
        <v>399</v>
      </c>
      <c r="G60" t="s">
        <v>118</v>
      </c>
      <c r="H60" t="s">
        <v>95</v>
      </c>
      <c r="I60" t="s">
        <v>38</v>
      </c>
      <c r="J60" t="s">
        <v>39</v>
      </c>
      <c r="K60" t="s">
        <v>40</v>
      </c>
      <c r="L60" t="s">
        <v>74</v>
      </c>
      <c r="M60" t="s">
        <v>80</v>
      </c>
      <c r="N60" t="s">
        <v>400</v>
      </c>
      <c r="O60" t="s">
        <v>31</v>
      </c>
      <c r="P60">
        <v>2</v>
      </c>
      <c r="Q60">
        <v>2259.2399999999998</v>
      </c>
      <c r="R60">
        <v>0.15</v>
      </c>
      <c r="S60">
        <f>IF(ISNUMBER(SEARCH("%",R60)), VALUE(SUBSTITUTE(R60,"%",""))/100,IF(ISNUMBER(R60), R60, 0))</f>
        <v>0.15</v>
      </c>
      <c r="T60" t="str">
        <f>IF(S60&lt;0,"Negative discount (invalid)",IF(S60&gt;0.5,"Discount above allowed range (invalid)",IF(AND(R60="",S60=0),"Missing discount set to 0","OK")))</f>
        <v>OK</v>
      </c>
      <c r="U60">
        <v>3840.71</v>
      </c>
      <c r="V60">
        <v>2516.29</v>
      </c>
      <c r="W60">
        <v>1324.42</v>
      </c>
      <c r="X60" t="s">
        <v>32</v>
      </c>
      <c r="Y60" t="s">
        <v>33</v>
      </c>
      <c r="Z60">
        <f>IF(T60="OK",P60*Q60*(1-S60),"invalid")</f>
        <v>3840.7079999999996</v>
      </c>
      <c r="AA60">
        <f>IF(Z60="N/A","N/A",Z60-V60)</f>
        <v>1324.4179999999997</v>
      </c>
      <c r="AB60" s="8">
        <f>IF(Z60&lt;&gt;"N/A", AA60/Z60, "N/A")</f>
        <v>0.34483694152224009</v>
      </c>
      <c r="AC60">
        <f>MONTH(B60)</f>
        <v>6</v>
      </c>
      <c r="AD60">
        <f>YEAR(B60)</f>
        <v>2024</v>
      </c>
      <c r="AE60" s="10">
        <f t="shared" si="0"/>
        <v>2.0000000004074536E-3</v>
      </c>
      <c r="AF60" t="s">
        <v>2804</v>
      </c>
      <c r="AG60" t="s">
        <v>2811</v>
      </c>
    </row>
    <row r="61" spans="1:33">
      <c r="A61" t="s">
        <v>404</v>
      </c>
      <c r="B61" s="4">
        <v>45317</v>
      </c>
      <c r="C61" s="4">
        <v>45323</v>
      </c>
      <c r="D61">
        <f>_xlfn.DAYS(C61,B61)</f>
        <v>6</v>
      </c>
      <c r="E61" t="s">
        <v>2804</v>
      </c>
      <c r="F61" t="s">
        <v>405</v>
      </c>
      <c r="G61" t="s">
        <v>141</v>
      </c>
      <c r="H61" t="s">
        <v>95</v>
      </c>
      <c r="I61" t="s">
        <v>54</v>
      </c>
      <c r="J61" t="s">
        <v>185</v>
      </c>
      <c r="K61" t="s">
        <v>186</v>
      </c>
      <c r="L61" t="s">
        <v>74</v>
      </c>
      <c r="M61" t="s">
        <v>80</v>
      </c>
      <c r="N61" t="s">
        <v>406</v>
      </c>
      <c r="O61" t="s">
        <v>2785</v>
      </c>
      <c r="P61">
        <v>8</v>
      </c>
      <c r="Q61">
        <v>2108.9299999999998</v>
      </c>
      <c r="R61">
        <v>0.1</v>
      </c>
      <c r="S61">
        <f>IF(ISNUMBER(SEARCH("%",R61)), VALUE(SUBSTITUTE(R61,"%",""))/100,IF(ISNUMBER(R61), R61, 0))</f>
        <v>0.1</v>
      </c>
      <c r="T61" t="str">
        <f>IF(S61&lt;0,"Negative discount (invalid)",IF(S61&gt;0.5,"Discount above allowed range (invalid)",IF(AND(R61="",S61=0),"Missing discount set to 0","OK")))</f>
        <v>OK</v>
      </c>
      <c r="U61">
        <v>15184.3</v>
      </c>
      <c r="V61">
        <v>11270.74</v>
      </c>
      <c r="W61">
        <v>3913.56</v>
      </c>
      <c r="X61" t="s">
        <v>32</v>
      </c>
      <c r="Y61" t="s">
        <v>33</v>
      </c>
      <c r="Z61">
        <f>IF(T61="OK",P61*Q61*(1-S61),"invalid")</f>
        <v>15184.295999999998</v>
      </c>
      <c r="AA61">
        <f>IF(Z61="N/A","N/A",Z61-V61)</f>
        <v>3913.5559999999987</v>
      </c>
      <c r="AB61" s="8">
        <f>IF(Z61&lt;&gt;"N/A", AA61/Z61, "N/A")</f>
        <v>0.25773707256497103</v>
      </c>
      <c r="AC61">
        <f>MONTH(B61)</f>
        <v>1</v>
      </c>
      <c r="AD61">
        <f>YEAR(B61)</f>
        <v>2024</v>
      </c>
      <c r="AE61" s="10">
        <f t="shared" si="0"/>
        <v>4.0000000008149073E-3</v>
      </c>
      <c r="AF61" t="s">
        <v>2800</v>
      </c>
      <c r="AG61" t="s">
        <v>2798</v>
      </c>
    </row>
    <row r="62" spans="1:33">
      <c r="A62" t="s">
        <v>413</v>
      </c>
      <c r="B62" s="4">
        <v>45465</v>
      </c>
      <c r="C62" s="4">
        <v>45469</v>
      </c>
      <c r="D62">
        <f>_xlfn.DAYS(C62,B62)</f>
        <v>4</v>
      </c>
      <c r="E62" t="s">
        <v>2804</v>
      </c>
      <c r="F62" t="s">
        <v>414</v>
      </c>
      <c r="G62" t="s">
        <v>141</v>
      </c>
      <c r="H62" t="s">
        <v>95</v>
      </c>
      <c r="I62" t="s">
        <v>38</v>
      </c>
      <c r="J62" t="s">
        <v>145</v>
      </c>
      <c r="K62" t="s">
        <v>146</v>
      </c>
      <c r="L62" t="s">
        <v>41</v>
      </c>
      <c r="M62" t="s">
        <v>57</v>
      </c>
      <c r="N62" t="s">
        <v>415</v>
      </c>
      <c r="O62" t="s">
        <v>50</v>
      </c>
      <c r="P62">
        <v>5</v>
      </c>
      <c r="Q62">
        <v>4396.5200000000004</v>
      </c>
      <c r="R62">
        <v>0.25</v>
      </c>
      <c r="S62">
        <f>IF(ISNUMBER(SEARCH("%",R62)), VALUE(SUBSTITUTE(R62,"%",""))/100,IF(ISNUMBER(R62), R62, 0))</f>
        <v>0.25</v>
      </c>
      <c r="T62" t="str">
        <f>IF(S62&lt;0,"Negative discount (invalid)",IF(S62&gt;0.5,"Discount above allowed range (invalid)",IF(AND(R62="",S62=0),"Missing discount set to 0","OK")))</f>
        <v>OK</v>
      </c>
      <c r="U62">
        <v>16486.95</v>
      </c>
      <c r="V62">
        <v>12054.14</v>
      </c>
      <c r="W62">
        <v>4432.8100000000004</v>
      </c>
      <c r="X62" t="s">
        <v>32</v>
      </c>
      <c r="Y62" t="s">
        <v>33</v>
      </c>
      <c r="Z62">
        <f>IF(T62="OK",P62*Q62*(1-S62),"invalid")</f>
        <v>16486.95</v>
      </c>
      <c r="AA62">
        <f>IF(Z62="N/A","N/A",Z62-V62)</f>
        <v>4432.8100000000013</v>
      </c>
      <c r="AB62" s="8">
        <f>IF(Z62&lt;&gt;"N/A", AA62/Z62, "N/A")</f>
        <v>0.26886780150361356</v>
      </c>
      <c r="AC62">
        <f>MONTH(B62)</f>
        <v>6</v>
      </c>
      <c r="AD62">
        <f>YEAR(B62)</f>
        <v>2024</v>
      </c>
      <c r="AE62" s="10">
        <f t="shared" si="0"/>
        <v>0</v>
      </c>
      <c r="AF62" t="s">
        <v>2804</v>
      </c>
      <c r="AG62" t="s">
        <v>2811</v>
      </c>
    </row>
    <row r="63" spans="1:33">
      <c r="A63" t="s">
        <v>425</v>
      </c>
      <c r="B63" s="4">
        <v>45467</v>
      </c>
      <c r="C63" s="4">
        <v>45472</v>
      </c>
      <c r="D63">
        <f>_xlfn.DAYS(C63,B63)</f>
        <v>5</v>
      </c>
      <c r="E63" t="s">
        <v>2804</v>
      </c>
      <c r="F63" t="s">
        <v>426</v>
      </c>
      <c r="G63" t="s">
        <v>36</v>
      </c>
      <c r="H63" t="s">
        <v>95</v>
      </c>
      <c r="I63" t="s">
        <v>38</v>
      </c>
      <c r="J63" t="s">
        <v>99</v>
      </c>
      <c r="K63" t="s">
        <v>100</v>
      </c>
      <c r="L63" t="s">
        <v>41</v>
      </c>
      <c r="M63" t="s">
        <v>42</v>
      </c>
      <c r="N63" t="s">
        <v>427</v>
      </c>
      <c r="O63" t="s">
        <v>31</v>
      </c>
      <c r="P63">
        <v>2</v>
      </c>
      <c r="Q63">
        <v>685</v>
      </c>
      <c r="R63">
        <v>0.1</v>
      </c>
      <c r="S63">
        <f>IF(ISNUMBER(SEARCH("%",R63)), VALUE(SUBSTITUTE(R63,"%",""))/100,IF(ISNUMBER(R63), R63, 0))</f>
        <v>0.1</v>
      </c>
      <c r="T63" t="str">
        <f>IF(S63&lt;0,"Negative discount (invalid)",IF(S63&gt;0.5,"Discount above allowed range (invalid)",IF(AND(R63="",S63=0),"Missing discount set to 0","OK")))</f>
        <v>OK</v>
      </c>
      <c r="U63">
        <v>1233</v>
      </c>
      <c r="V63">
        <v>1006.9</v>
      </c>
      <c r="W63">
        <v>226.1</v>
      </c>
      <c r="X63" t="s">
        <v>32</v>
      </c>
      <c r="Y63" t="s">
        <v>33</v>
      </c>
      <c r="Z63">
        <f>IF(T63="OK",P63*Q63*(1-S63),"invalid")</f>
        <v>1233</v>
      </c>
      <c r="AA63">
        <f>IF(Z63="N/A","N/A",Z63-V63)</f>
        <v>226.10000000000002</v>
      </c>
      <c r="AB63" s="8">
        <f>IF(Z63&lt;&gt;"N/A", AA63/Z63, "N/A")</f>
        <v>0.18337388483373887</v>
      </c>
      <c r="AC63">
        <f>MONTH(B63)</f>
        <v>6</v>
      </c>
      <c r="AD63">
        <f>YEAR(B63)</f>
        <v>2024</v>
      </c>
      <c r="AE63" s="10">
        <f t="shared" si="0"/>
        <v>0</v>
      </c>
      <c r="AF63" t="s">
        <v>2804</v>
      </c>
      <c r="AG63" t="s">
        <v>2811</v>
      </c>
    </row>
    <row r="64" spans="1:33">
      <c r="A64" t="s">
        <v>428</v>
      </c>
      <c r="B64" s="4">
        <v>45342</v>
      </c>
      <c r="C64" s="4">
        <v>45350</v>
      </c>
      <c r="D64">
        <f>_xlfn.DAYS(C64,B64)</f>
        <v>8</v>
      </c>
      <c r="E64" t="s">
        <v>2804</v>
      </c>
      <c r="F64" t="s">
        <v>429</v>
      </c>
      <c r="G64" t="s">
        <v>53</v>
      </c>
      <c r="H64" t="s">
        <v>95</v>
      </c>
      <c r="I64" t="s">
        <v>38</v>
      </c>
      <c r="J64" t="s">
        <v>99</v>
      </c>
      <c r="K64" t="s">
        <v>100</v>
      </c>
      <c r="L64" t="s">
        <v>28</v>
      </c>
      <c r="M64" t="s">
        <v>29</v>
      </c>
      <c r="N64" t="s">
        <v>430</v>
      </c>
      <c r="O64" t="s">
        <v>59</v>
      </c>
      <c r="P64">
        <v>2</v>
      </c>
      <c r="Q64">
        <v>4004.04</v>
      </c>
      <c r="R64">
        <v>0</v>
      </c>
      <c r="S64">
        <f>IF(ISNUMBER(SEARCH("%",R64)), VALUE(SUBSTITUTE(R64,"%",""))/100,IF(ISNUMBER(R64), R64, 0))</f>
        <v>0</v>
      </c>
      <c r="T64" t="str">
        <f>IF(S64&lt;0,"Negative discount (invalid)",IF(S64&gt;0.5,"Discount above allowed range (invalid)",IF(AND(R64="",S64=0),"Missing discount set to 0","OK")))</f>
        <v>OK</v>
      </c>
      <c r="U64">
        <v>7207.27</v>
      </c>
      <c r="V64">
        <v>5709.39</v>
      </c>
      <c r="W64">
        <v>1497.88</v>
      </c>
      <c r="X64" t="s">
        <v>32</v>
      </c>
      <c r="Y64" t="s">
        <v>68</v>
      </c>
      <c r="Z64">
        <f>IF(T64="OK",P64*Q64*(1-S64),"invalid")</f>
        <v>8008.08</v>
      </c>
      <c r="AA64">
        <f>IF(Z64="N/A","N/A",Z64-V64)</f>
        <v>2298.6899999999996</v>
      </c>
      <c r="AB64" s="8">
        <f>IF(Z64&lt;&gt;"N/A", AA64/Z64, "N/A")</f>
        <v>0.28704633320346445</v>
      </c>
      <c r="AC64">
        <f>MONTH(B64)</f>
        <v>2</v>
      </c>
      <c r="AD64">
        <f>YEAR(B64)</f>
        <v>2024</v>
      </c>
      <c r="AE64" s="10">
        <f t="shared" si="0"/>
        <v>800.80999999999949</v>
      </c>
      <c r="AF64" t="s">
        <v>2807</v>
      </c>
      <c r="AG64" t="s">
        <v>2789</v>
      </c>
    </row>
    <row r="65" spans="1:33">
      <c r="A65" t="s">
        <v>431</v>
      </c>
      <c r="B65" s="4">
        <v>45594</v>
      </c>
      <c r="C65" s="4">
        <v>45600</v>
      </c>
      <c r="D65">
        <f>_xlfn.DAYS(C65,B65)</f>
        <v>6</v>
      </c>
      <c r="E65" t="s">
        <v>2804</v>
      </c>
      <c r="F65" t="s">
        <v>432</v>
      </c>
      <c r="G65" t="s">
        <v>141</v>
      </c>
      <c r="H65" t="s">
        <v>95</v>
      </c>
      <c r="I65" t="s">
        <v>38</v>
      </c>
      <c r="J65" t="s">
        <v>99</v>
      </c>
      <c r="K65" t="s">
        <v>100</v>
      </c>
      <c r="L65" t="s">
        <v>41</v>
      </c>
      <c r="M65" t="s">
        <v>57</v>
      </c>
      <c r="N65" t="s">
        <v>433</v>
      </c>
      <c r="O65" t="s">
        <v>50</v>
      </c>
      <c r="P65">
        <v>3</v>
      </c>
      <c r="Q65">
        <v>4302.8900000000003</v>
      </c>
      <c r="R65">
        <v>0.05</v>
      </c>
      <c r="S65">
        <f>IF(ISNUMBER(SEARCH("%",R65)), VALUE(SUBSTITUTE(R65,"%",""))/100,IF(ISNUMBER(R65), R65, 0))</f>
        <v>0.05</v>
      </c>
      <c r="T65" t="str">
        <f>IF(S65&lt;0,"Negative discount (invalid)",IF(S65&gt;0.5,"Discount above allowed range (invalid)",IF(AND(R65="",S65=0),"Missing discount set to 0","OK")))</f>
        <v>OK</v>
      </c>
      <c r="U65">
        <v>12263.24</v>
      </c>
      <c r="V65">
        <v>8925.57</v>
      </c>
      <c r="W65">
        <v>3337.67</v>
      </c>
      <c r="X65" t="s">
        <v>32</v>
      </c>
      <c r="Y65" t="s">
        <v>33</v>
      </c>
      <c r="Z65">
        <f>IF(T65="OK",P65*Q65*(1-S65),"invalid")</f>
        <v>12263.236500000001</v>
      </c>
      <c r="AA65">
        <f>IF(Z65="N/A","N/A",Z65-V65)</f>
        <v>3337.6665000000012</v>
      </c>
      <c r="AB65" s="8">
        <f>IF(Z65&lt;&gt;"N/A", AA65/Z65, "N/A")</f>
        <v>0.27216848504878799</v>
      </c>
      <c r="AC65">
        <f>MONTH(B65)</f>
        <v>10</v>
      </c>
      <c r="AD65">
        <f>YEAR(B65)</f>
        <v>2024</v>
      </c>
      <c r="AE65" s="10">
        <f t="shared" si="0"/>
        <v>3.4999999988940544E-3</v>
      </c>
      <c r="AF65" t="s">
        <v>2804</v>
      </c>
      <c r="AG65" t="s">
        <v>2811</v>
      </c>
    </row>
    <row r="66" spans="1:33">
      <c r="A66" t="s">
        <v>434</v>
      </c>
      <c r="B66" s="4">
        <v>45519</v>
      </c>
      <c r="C66" s="4">
        <v>45527</v>
      </c>
      <c r="D66">
        <f>_xlfn.DAYS(C66,B66)</f>
        <v>8</v>
      </c>
      <c r="E66" t="s">
        <v>2804</v>
      </c>
      <c r="F66" t="s">
        <v>435</v>
      </c>
      <c r="G66" t="s">
        <v>89</v>
      </c>
      <c r="H66" t="s">
        <v>37</v>
      </c>
      <c r="I66" t="s">
        <v>38</v>
      </c>
      <c r="J66" t="s">
        <v>39</v>
      </c>
      <c r="K66" t="s">
        <v>40</v>
      </c>
      <c r="L66" t="s">
        <v>41</v>
      </c>
      <c r="M66" t="s">
        <v>158</v>
      </c>
      <c r="N66" t="s">
        <v>436</v>
      </c>
      <c r="O66" t="s">
        <v>44</v>
      </c>
      <c r="P66">
        <v>2</v>
      </c>
      <c r="Q66">
        <v>537.54</v>
      </c>
      <c r="R66">
        <v>0.25</v>
      </c>
      <c r="S66">
        <f>IF(ISNUMBER(SEARCH("%",R66)), VALUE(SUBSTITUTE(R66,"%",""))/100,IF(ISNUMBER(R66), R66, 0))</f>
        <v>0.25</v>
      </c>
      <c r="T66" t="str">
        <f>IF(S66&lt;0,"Negative discount (invalid)",IF(S66&gt;0.5,"Discount above allowed range (invalid)",IF(AND(R66="",S66=0),"Missing discount set to 0","OK")))</f>
        <v>OK</v>
      </c>
      <c r="U66">
        <v>806.31</v>
      </c>
      <c r="V66">
        <v>498.5</v>
      </c>
      <c r="W66">
        <v>307.81</v>
      </c>
      <c r="X66" t="s">
        <v>32</v>
      </c>
      <c r="Y66" t="s">
        <v>33</v>
      </c>
      <c r="Z66">
        <f>IF(T66="OK",P66*Q66*(1-S66),"invalid")</f>
        <v>806.31</v>
      </c>
      <c r="AA66">
        <f>IF(Z66="N/A","N/A",Z66-V66)</f>
        <v>307.80999999999995</v>
      </c>
      <c r="AB66" s="8">
        <f>IF(Z66&lt;&gt;"N/A", AA66/Z66, "N/A")</f>
        <v>0.38175143555208291</v>
      </c>
      <c r="AC66">
        <f>MONTH(B66)</f>
        <v>8</v>
      </c>
      <c r="AD66">
        <f>YEAR(B66)</f>
        <v>2024</v>
      </c>
      <c r="AE66" s="10">
        <f t="shared" si="0"/>
        <v>0</v>
      </c>
      <c r="AF66" t="s">
        <v>2804</v>
      </c>
      <c r="AG66" t="s">
        <v>2811</v>
      </c>
    </row>
    <row r="67" spans="1:33">
      <c r="A67" t="s">
        <v>440</v>
      </c>
      <c r="B67" s="4">
        <v>45583</v>
      </c>
      <c r="C67" s="4">
        <v>45589</v>
      </c>
      <c r="D67">
        <f>_xlfn.DAYS(C67,B67)</f>
        <v>6</v>
      </c>
      <c r="E67" t="s">
        <v>2804</v>
      </c>
      <c r="F67" t="s">
        <v>441</v>
      </c>
      <c r="G67" t="s">
        <v>71</v>
      </c>
      <c r="H67" t="s">
        <v>90</v>
      </c>
      <c r="I67" t="s">
        <v>54</v>
      </c>
      <c r="J67" t="s">
        <v>185</v>
      </c>
      <c r="K67" t="s">
        <v>186</v>
      </c>
      <c r="L67" t="s">
        <v>28</v>
      </c>
      <c r="M67" t="s">
        <v>91</v>
      </c>
      <c r="N67" t="s">
        <v>442</v>
      </c>
      <c r="O67" t="s">
        <v>50</v>
      </c>
      <c r="P67">
        <v>2</v>
      </c>
      <c r="Q67">
        <v>2250.4699999999998</v>
      </c>
      <c r="R67">
        <v>0</v>
      </c>
      <c r="S67">
        <f>IF(ISNUMBER(SEARCH("%",R67)), VALUE(SUBSTITUTE(R67,"%",""))/100,IF(ISNUMBER(R67), R67, 0))</f>
        <v>0</v>
      </c>
      <c r="T67" t="str">
        <f>IF(S67&lt;0,"Negative discount (invalid)",IF(S67&gt;0.5,"Discount above allowed range (invalid)",IF(AND(R67="",S67=0),"Missing discount set to 0","OK")))</f>
        <v>OK</v>
      </c>
      <c r="U67">
        <v>4500.9399999999996</v>
      </c>
      <c r="V67">
        <v>2607.73</v>
      </c>
      <c r="W67">
        <v>1893.21</v>
      </c>
      <c r="X67" t="s">
        <v>102</v>
      </c>
      <c r="Y67" t="s">
        <v>68</v>
      </c>
      <c r="Z67">
        <f>IF(T67="OK",P67*Q67*(1-S67),"invalid")</f>
        <v>4500.9399999999996</v>
      </c>
      <c r="AA67">
        <f>IF(Z67="N/A","N/A",Z67-V67)</f>
        <v>1893.2099999999996</v>
      </c>
      <c r="AB67" s="8">
        <f>IF(Z67&lt;&gt;"N/A", AA67/Z67, "N/A")</f>
        <v>0.42062546934640316</v>
      </c>
      <c r="AC67">
        <f>MONTH(B67)</f>
        <v>10</v>
      </c>
      <c r="AD67">
        <f>YEAR(B67)</f>
        <v>2024</v>
      </c>
      <c r="AE67" s="10">
        <f t="shared" ref="AE67:AE130" si="1">IF(Z67&lt;&gt;"N/A",ABS(Z67-U67),"N/A")</f>
        <v>0</v>
      </c>
      <c r="AF67" t="s">
        <v>2804</v>
      </c>
      <c r="AG67" t="s">
        <v>2811</v>
      </c>
    </row>
    <row r="68" spans="1:33">
      <c r="A68" t="s">
        <v>446</v>
      </c>
      <c r="B68" s="4">
        <v>45301</v>
      </c>
      <c r="C68" s="4">
        <v>45305</v>
      </c>
      <c r="D68">
        <f>_xlfn.DAYS(C68,B68)</f>
        <v>4</v>
      </c>
      <c r="E68" t="s">
        <v>2804</v>
      </c>
      <c r="F68" t="s">
        <v>447</v>
      </c>
      <c r="G68" t="s">
        <v>132</v>
      </c>
      <c r="H68" t="s">
        <v>24</v>
      </c>
      <c r="I68" t="s">
        <v>2785</v>
      </c>
      <c r="J68" t="s">
        <v>180</v>
      </c>
      <c r="K68" t="s">
        <v>181</v>
      </c>
      <c r="L68" t="s">
        <v>74</v>
      </c>
      <c r="M68" t="s">
        <v>75</v>
      </c>
      <c r="N68" t="s">
        <v>448</v>
      </c>
      <c r="O68" t="s">
        <v>59</v>
      </c>
      <c r="P68">
        <v>3</v>
      </c>
      <c r="Q68">
        <v>3829.48</v>
      </c>
      <c r="R68">
        <v>0.05</v>
      </c>
      <c r="S68">
        <f>IF(ISNUMBER(SEARCH("%",R68)), VALUE(SUBSTITUTE(R68,"%",""))/100,IF(ISNUMBER(R68), R68, 0))</f>
        <v>0.05</v>
      </c>
      <c r="T68" t="str">
        <f>IF(S68&lt;0,"Negative discount (invalid)",IF(S68&gt;0.5,"Discount above allowed range (invalid)",IF(AND(R68="",S68=0),"Missing discount set to 0","OK")))</f>
        <v>OK</v>
      </c>
      <c r="U68">
        <v>10914.02</v>
      </c>
      <c r="V68">
        <v>6548.74</v>
      </c>
      <c r="W68">
        <v>4365.28</v>
      </c>
      <c r="X68" t="s">
        <v>32</v>
      </c>
      <c r="Y68" t="s">
        <v>33</v>
      </c>
      <c r="Z68">
        <f>IF(T68="OK",P68*Q68*(1-S68),"invalid")</f>
        <v>10914.018</v>
      </c>
      <c r="AA68">
        <f>IF(Z68="N/A","N/A",Z68-V68)</f>
        <v>4365.2780000000002</v>
      </c>
      <c r="AB68" s="8">
        <f>IF(Z68&lt;&gt;"N/A", AA68/Z68, "N/A")</f>
        <v>0.39996983695647198</v>
      </c>
      <c r="AC68">
        <f>MONTH(B68)</f>
        <v>1</v>
      </c>
      <c r="AD68">
        <f>YEAR(B68)</f>
        <v>2024</v>
      </c>
      <c r="AE68" s="10">
        <f t="shared" si="1"/>
        <v>2.0000000004074536E-3</v>
      </c>
      <c r="AF68" t="s">
        <v>2799</v>
      </c>
      <c r="AG68" t="s">
        <v>2798</v>
      </c>
    </row>
    <row r="69" spans="1:33">
      <c r="A69" t="s">
        <v>449</v>
      </c>
      <c r="B69" s="4">
        <v>45334</v>
      </c>
      <c r="C69" s="4">
        <v>45334</v>
      </c>
      <c r="D69">
        <f>_xlfn.DAYS(C69,B69)</f>
        <v>0</v>
      </c>
      <c r="E69" t="s">
        <v>2804</v>
      </c>
      <c r="F69" t="s">
        <v>360</v>
      </c>
      <c r="G69" t="s">
        <v>47</v>
      </c>
      <c r="H69" t="s">
        <v>95</v>
      </c>
      <c r="I69" t="s">
        <v>54</v>
      </c>
      <c r="J69" t="s">
        <v>247</v>
      </c>
      <c r="K69" t="s">
        <v>248</v>
      </c>
      <c r="L69" t="s">
        <v>41</v>
      </c>
      <c r="M69" t="s">
        <v>42</v>
      </c>
      <c r="N69" t="s">
        <v>450</v>
      </c>
      <c r="O69" t="s">
        <v>59</v>
      </c>
      <c r="P69">
        <v>3</v>
      </c>
      <c r="Q69">
        <v>1089.1500000000001</v>
      </c>
      <c r="R69">
        <v>0.25</v>
      </c>
      <c r="S69">
        <f>IF(ISNUMBER(SEARCH("%",R69)), VALUE(SUBSTITUTE(R69,"%",""))/100,IF(ISNUMBER(R69), R69, 0))</f>
        <v>0.25</v>
      </c>
      <c r="T69" t="str">
        <f>IF(S69&lt;0,"Negative discount (invalid)",IF(S69&gt;0.5,"Discount above allowed range (invalid)",IF(AND(R69="",S69=0),"Missing discount set to 0","OK")))</f>
        <v>OK</v>
      </c>
      <c r="U69">
        <v>2450.59</v>
      </c>
      <c r="V69">
        <v>1639.89</v>
      </c>
      <c r="W69">
        <v>810.7</v>
      </c>
      <c r="X69" t="s">
        <v>32</v>
      </c>
      <c r="Y69" t="s">
        <v>33</v>
      </c>
      <c r="Z69">
        <f>IF(T69="OK",P69*Q69*(1-S69),"invalid")</f>
        <v>2450.5875000000001</v>
      </c>
      <c r="AA69">
        <f>IF(Z69="N/A","N/A",Z69-V69)</f>
        <v>810.69749999999999</v>
      </c>
      <c r="AB69" s="8">
        <f>IF(Z69&lt;&gt;"N/A", AA69/Z69, "N/A")</f>
        <v>0.33081761006289306</v>
      </c>
      <c r="AC69">
        <f>MONTH(B69)</f>
        <v>2</v>
      </c>
      <c r="AD69">
        <f>YEAR(B69)</f>
        <v>2024</v>
      </c>
      <c r="AE69" s="10">
        <f t="shared" si="1"/>
        <v>2.5000000000545697E-3</v>
      </c>
      <c r="AF69" t="s">
        <v>2804</v>
      </c>
      <c r="AG69" t="s">
        <v>2811</v>
      </c>
    </row>
    <row r="70" spans="1:33">
      <c r="A70" t="s">
        <v>451</v>
      </c>
      <c r="B70" s="4">
        <v>45560</v>
      </c>
      <c r="C70" s="4">
        <v>45565</v>
      </c>
      <c r="D70">
        <f>_xlfn.DAYS(C70,B70)</f>
        <v>5</v>
      </c>
      <c r="E70" t="s">
        <v>2804</v>
      </c>
      <c r="F70" t="s">
        <v>452</v>
      </c>
      <c r="G70" t="s">
        <v>79</v>
      </c>
      <c r="H70" t="s">
        <v>37</v>
      </c>
      <c r="I70" t="s">
        <v>25</v>
      </c>
      <c r="J70" t="s">
        <v>26</v>
      </c>
      <c r="K70" t="s">
        <v>27</v>
      </c>
      <c r="L70" t="s">
        <v>74</v>
      </c>
      <c r="M70" t="s">
        <v>75</v>
      </c>
      <c r="N70" t="s">
        <v>453</v>
      </c>
      <c r="O70" t="s">
        <v>31</v>
      </c>
      <c r="P70">
        <v>1</v>
      </c>
      <c r="Q70">
        <v>4388.3999999999996</v>
      </c>
      <c r="R70">
        <v>0.1</v>
      </c>
      <c r="S70">
        <f>IF(ISNUMBER(SEARCH("%",R70)), VALUE(SUBSTITUTE(R70,"%",""))/100,IF(ISNUMBER(R70), R70, 0))</f>
        <v>0.1</v>
      </c>
      <c r="T70" t="str">
        <f>IF(S70&lt;0,"Negative discount (invalid)",IF(S70&gt;0.5,"Discount above allowed range (invalid)",IF(AND(R70="",S70=0),"Missing discount set to 0","OK")))</f>
        <v>OK</v>
      </c>
      <c r="U70">
        <v>3949.56</v>
      </c>
      <c r="V70">
        <v>3186.73</v>
      </c>
      <c r="W70">
        <v>762.83</v>
      </c>
      <c r="X70" t="s">
        <v>111</v>
      </c>
      <c r="Y70" t="s">
        <v>68</v>
      </c>
      <c r="Z70">
        <f>IF(T70="OK",P70*Q70*(1-S70),"invalid")</f>
        <v>3949.56</v>
      </c>
      <c r="AA70">
        <f>IF(Z70="N/A","N/A",Z70-V70)</f>
        <v>762.82999999999993</v>
      </c>
      <c r="AB70" s="8">
        <f>IF(Z70&lt;&gt;"N/A", AA70/Z70, "N/A")</f>
        <v>0.19314303365438173</v>
      </c>
      <c r="AC70">
        <f>MONTH(B70)</f>
        <v>9</v>
      </c>
      <c r="AD70">
        <f>YEAR(B70)</f>
        <v>2024</v>
      </c>
      <c r="AE70" s="10">
        <f t="shared" si="1"/>
        <v>0</v>
      </c>
      <c r="AF70" t="s">
        <v>2804</v>
      </c>
      <c r="AG70" t="s">
        <v>2811</v>
      </c>
    </row>
    <row r="71" spans="1:33">
      <c r="A71" t="s">
        <v>454</v>
      </c>
      <c r="B71" s="4">
        <v>45653</v>
      </c>
      <c r="C71" s="4">
        <v>45658</v>
      </c>
      <c r="D71">
        <f>_xlfn.DAYS(C71,B71)</f>
        <v>5</v>
      </c>
      <c r="E71" t="s">
        <v>2804</v>
      </c>
      <c r="F71" t="s">
        <v>455</v>
      </c>
      <c r="G71" t="s">
        <v>264</v>
      </c>
      <c r="H71" t="s">
        <v>90</v>
      </c>
      <c r="I71" t="s">
        <v>54</v>
      </c>
      <c r="J71" t="s">
        <v>247</v>
      </c>
      <c r="K71" t="s">
        <v>248</v>
      </c>
      <c r="L71" t="s">
        <v>28</v>
      </c>
      <c r="M71" t="s">
        <v>153</v>
      </c>
      <c r="N71" t="s">
        <v>456</v>
      </c>
      <c r="O71" t="s">
        <v>44</v>
      </c>
      <c r="P71">
        <v>2</v>
      </c>
      <c r="Q71">
        <v>446.34</v>
      </c>
      <c r="R71">
        <v>0.15</v>
      </c>
      <c r="S71">
        <f>IF(ISNUMBER(SEARCH("%",R71)), VALUE(SUBSTITUTE(R71,"%",""))/100,IF(ISNUMBER(R71), R71, 0))</f>
        <v>0.15</v>
      </c>
      <c r="T71" t="str">
        <f>IF(S71&lt;0,"Negative discount (invalid)",IF(S71&gt;0.5,"Discount above allowed range (invalid)",IF(AND(R71="",S71=0),"Missing discount set to 0","OK")))</f>
        <v>OK</v>
      </c>
      <c r="U71">
        <v>758.78</v>
      </c>
      <c r="V71">
        <v>490.74</v>
      </c>
      <c r="W71">
        <v>268.04000000000002</v>
      </c>
      <c r="X71" t="s">
        <v>32</v>
      </c>
      <c r="Y71" t="s">
        <v>68</v>
      </c>
      <c r="Z71">
        <f>IF(T71="OK",P71*Q71*(1-S71),"invalid")</f>
        <v>758.77799999999991</v>
      </c>
      <c r="AA71">
        <f>IF(Z71="N/A","N/A",Z71-V71)</f>
        <v>268.0379999999999</v>
      </c>
      <c r="AB71" s="8">
        <f>IF(Z71&lt;&gt;"N/A", AA71/Z71, "N/A")</f>
        <v>0.35324956706704719</v>
      </c>
      <c r="AC71">
        <f>MONTH(B71)</f>
        <v>12</v>
      </c>
      <c r="AD71">
        <f>YEAR(B71)</f>
        <v>2024</v>
      </c>
      <c r="AE71" s="10">
        <f t="shared" si="1"/>
        <v>2.0000000000663931E-3</v>
      </c>
      <c r="AF71" t="s">
        <v>2804</v>
      </c>
      <c r="AG71" t="s">
        <v>2811</v>
      </c>
    </row>
    <row r="72" spans="1:33">
      <c r="A72" t="s">
        <v>460</v>
      </c>
      <c r="B72" s="4">
        <v>45337</v>
      </c>
      <c r="C72" s="4">
        <v>45339</v>
      </c>
      <c r="D72">
        <f>_xlfn.DAYS(C72,B72)</f>
        <v>2</v>
      </c>
      <c r="E72" t="s">
        <v>2804</v>
      </c>
      <c r="F72" t="s">
        <v>461</v>
      </c>
      <c r="G72" t="s">
        <v>36</v>
      </c>
      <c r="H72" t="s">
        <v>95</v>
      </c>
      <c r="I72" t="s">
        <v>54</v>
      </c>
      <c r="J72" t="s">
        <v>247</v>
      </c>
      <c r="K72" t="s">
        <v>248</v>
      </c>
      <c r="L72" t="s">
        <v>74</v>
      </c>
      <c r="M72" t="s">
        <v>274</v>
      </c>
      <c r="N72" t="s">
        <v>462</v>
      </c>
      <c r="O72" t="s">
        <v>59</v>
      </c>
      <c r="P72">
        <v>9</v>
      </c>
      <c r="Q72">
        <v>3324.55</v>
      </c>
      <c r="R72" t="s">
        <v>463</v>
      </c>
      <c r="S72">
        <f>IF(ISNUMBER(SEARCH("%",R72)), VALUE(SUBSTITUTE(R72,"%",""))/100,IF(ISNUMBER(R72), R72, 0))</f>
        <v>0.7</v>
      </c>
      <c r="T72" t="str">
        <f>IF(S72&lt;0,"Negative discount (invalid)",IF(S72&gt;0.5,"Discount above allowed range (invalid)",IF(AND(R72="",S72=0),"Missing discount set to 0","OK")))</f>
        <v>Discount above allowed range (invalid)</v>
      </c>
      <c r="U72">
        <v>25432.81</v>
      </c>
      <c r="V72">
        <v>20370.16</v>
      </c>
      <c r="W72">
        <v>5062.6499999999996</v>
      </c>
      <c r="X72" t="s">
        <v>32</v>
      </c>
      <c r="Y72" t="s">
        <v>33</v>
      </c>
      <c r="Z72" t="s">
        <v>2793</v>
      </c>
      <c r="AA72" t="str">
        <f>IF(Z72="N/A","N/A",Z72-V72)</f>
        <v>N/A</v>
      </c>
      <c r="AB72" s="8" t="str">
        <f>IF(Z72&lt;&gt;"N/A", AA72/Z72, "N/A")</f>
        <v>N/A</v>
      </c>
      <c r="AC72">
        <f>MONTH(B72)</f>
        <v>2</v>
      </c>
      <c r="AD72">
        <f>YEAR(B72)</f>
        <v>2024</v>
      </c>
      <c r="AE72" s="10" t="str">
        <f t="shared" si="1"/>
        <v>N/A</v>
      </c>
      <c r="AF72" t="s">
        <v>2802</v>
      </c>
      <c r="AG72" t="s">
        <v>2789</v>
      </c>
    </row>
    <row r="73" spans="1:33">
      <c r="A73" t="s">
        <v>464</v>
      </c>
      <c r="B73" s="4">
        <v>45453</v>
      </c>
      <c r="C73" s="4">
        <v>45461</v>
      </c>
      <c r="D73">
        <f>_xlfn.DAYS(C73,B73)</f>
        <v>8</v>
      </c>
      <c r="E73" t="s">
        <v>2804</v>
      </c>
      <c r="F73" t="s">
        <v>465</v>
      </c>
      <c r="G73" t="s">
        <v>71</v>
      </c>
      <c r="H73" t="s">
        <v>95</v>
      </c>
      <c r="I73" t="s">
        <v>54</v>
      </c>
      <c r="J73" t="s">
        <v>84</v>
      </c>
      <c r="K73" t="s">
        <v>85</v>
      </c>
      <c r="L73" t="s">
        <v>74</v>
      </c>
      <c r="M73" t="s">
        <v>80</v>
      </c>
      <c r="N73" t="s">
        <v>466</v>
      </c>
      <c r="O73" t="s">
        <v>44</v>
      </c>
      <c r="P73">
        <v>5</v>
      </c>
      <c r="Q73">
        <v>1580.27</v>
      </c>
      <c r="R73">
        <v>0.2</v>
      </c>
      <c r="S73">
        <f>IF(ISNUMBER(SEARCH("%",R73)), VALUE(SUBSTITUTE(R73,"%",""))/100,IF(ISNUMBER(R73), R73, 0))</f>
        <v>0.2</v>
      </c>
      <c r="T73" t="str">
        <f>IF(S73&lt;0,"Negative discount (invalid)",IF(S73&gt;0.5,"Discount above allowed range (invalid)",IF(AND(R73="",S73=0),"Missing discount set to 0","OK")))</f>
        <v>OK</v>
      </c>
      <c r="U73">
        <v>6321.08</v>
      </c>
      <c r="V73">
        <v>4407.22</v>
      </c>
      <c r="W73">
        <v>1913.86</v>
      </c>
      <c r="X73" t="s">
        <v>32</v>
      </c>
      <c r="Y73" t="s">
        <v>33</v>
      </c>
      <c r="Z73">
        <f>IF(T73="OK",P73*Q73*(1-S73),"invalid")</f>
        <v>6321.0800000000008</v>
      </c>
      <c r="AA73">
        <f>IF(Z73="N/A","N/A",Z73-V73)</f>
        <v>1913.8600000000006</v>
      </c>
      <c r="AB73" s="8">
        <f>IF(Z73&lt;&gt;"N/A", AA73/Z73, "N/A")</f>
        <v>0.30277420947053357</v>
      </c>
      <c r="AC73">
        <f>MONTH(B73)</f>
        <v>6</v>
      </c>
      <c r="AD73">
        <f>YEAR(B73)</f>
        <v>2024</v>
      </c>
      <c r="AE73" s="10">
        <f t="shared" si="1"/>
        <v>9.0949470177292824E-13</v>
      </c>
      <c r="AF73" t="s">
        <v>2804</v>
      </c>
      <c r="AG73" t="s">
        <v>2811</v>
      </c>
    </row>
    <row r="74" spans="1:33">
      <c r="A74" t="s">
        <v>467</v>
      </c>
      <c r="B74" s="4">
        <v>45455</v>
      </c>
      <c r="C74" s="4">
        <v>45462</v>
      </c>
      <c r="D74">
        <f>_xlfn.DAYS(C74,B74)</f>
        <v>7</v>
      </c>
      <c r="E74" t="s">
        <v>2804</v>
      </c>
      <c r="F74" t="s">
        <v>468</v>
      </c>
      <c r="G74" t="s">
        <v>89</v>
      </c>
      <c r="H74" t="s">
        <v>37</v>
      </c>
      <c r="I74" t="s">
        <v>54</v>
      </c>
      <c r="J74" t="s">
        <v>185</v>
      </c>
      <c r="K74" t="s">
        <v>186</v>
      </c>
      <c r="L74" t="s">
        <v>41</v>
      </c>
      <c r="M74" t="s">
        <v>66</v>
      </c>
      <c r="N74" t="s">
        <v>469</v>
      </c>
      <c r="O74" t="s">
        <v>59</v>
      </c>
      <c r="P74">
        <v>8</v>
      </c>
      <c r="Q74">
        <v>314.05</v>
      </c>
      <c r="R74">
        <v>0.25</v>
      </c>
      <c r="S74">
        <f>IF(ISNUMBER(SEARCH("%",R74)), VALUE(SUBSTITUTE(R74,"%",""))/100,IF(ISNUMBER(R74), R74, 0))</f>
        <v>0.25</v>
      </c>
      <c r="T74" t="str">
        <f>IF(S74&lt;0,"Negative discount (invalid)",IF(S74&gt;0.5,"Discount above allowed range (invalid)",IF(AND(R74="",S74=0),"Missing discount set to 0","OK")))</f>
        <v>OK</v>
      </c>
      <c r="U74">
        <v>1884.3</v>
      </c>
      <c r="V74">
        <v>1517.69</v>
      </c>
      <c r="W74">
        <v>366.61</v>
      </c>
      <c r="X74" t="s">
        <v>102</v>
      </c>
      <c r="Y74" t="s">
        <v>103</v>
      </c>
      <c r="Z74">
        <f>IF(T74="OK",P74*Q74*(1-S74),"invalid")</f>
        <v>1884.3000000000002</v>
      </c>
      <c r="AA74">
        <f>IF(Z74="N/A","N/A",Z74-V74)</f>
        <v>366.61000000000013</v>
      </c>
      <c r="AB74" s="8">
        <f>IF(Z74&lt;&gt;"N/A", AA74/Z74, "N/A")</f>
        <v>0.19456031417502526</v>
      </c>
      <c r="AC74">
        <f>MONTH(B74)</f>
        <v>6</v>
      </c>
      <c r="AD74">
        <f>YEAR(B74)</f>
        <v>2024</v>
      </c>
      <c r="AE74" s="10">
        <f t="shared" si="1"/>
        <v>2.2737367544323206E-13</v>
      </c>
      <c r="AF74" t="s">
        <v>2804</v>
      </c>
      <c r="AG74" t="s">
        <v>2811</v>
      </c>
    </row>
    <row r="75" spans="1:33">
      <c r="A75" t="s">
        <v>470</v>
      </c>
      <c r="B75" s="4">
        <v>45514</v>
      </c>
      <c r="C75" s="4">
        <v>45522</v>
      </c>
      <c r="D75">
        <f>_xlfn.DAYS(C75,B75)</f>
        <v>8</v>
      </c>
      <c r="E75" t="s">
        <v>2804</v>
      </c>
      <c r="F75" t="s">
        <v>471</v>
      </c>
      <c r="G75" t="s">
        <v>132</v>
      </c>
      <c r="H75" t="s">
        <v>37</v>
      </c>
      <c r="I75" t="s">
        <v>38</v>
      </c>
      <c r="J75" t="s">
        <v>145</v>
      </c>
      <c r="K75" t="s">
        <v>146</v>
      </c>
      <c r="L75" t="s">
        <v>74</v>
      </c>
      <c r="M75" t="s">
        <v>171</v>
      </c>
      <c r="N75" t="s">
        <v>472</v>
      </c>
      <c r="O75" t="s">
        <v>59</v>
      </c>
      <c r="P75">
        <v>1</v>
      </c>
      <c r="Q75">
        <v>1823.67</v>
      </c>
      <c r="R75">
        <v>0.2</v>
      </c>
      <c r="S75">
        <f>IF(ISNUMBER(SEARCH("%",R75)), VALUE(SUBSTITUTE(R75,"%",""))/100,IF(ISNUMBER(R75), R75, 0))</f>
        <v>0.2</v>
      </c>
      <c r="T75" t="str">
        <f>IF(S75&lt;0,"Negative discount (invalid)",IF(S75&gt;0.5,"Discount above allowed range (invalid)",IF(AND(R75="",S75=0),"Missing discount set to 0","OK")))</f>
        <v>OK</v>
      </c>
      <c r="U75">
        <v>1458.94</v>
      </c>
      <c r="V75">
        <v>893.2</v>
      </c>
      <c r="W75">
        <v>565.74</v>
      </c>
      <c r="X75" t="s">
        <v>32</v>
      </c>
      <c r="Y75" t="s">
        <v>103</v>
      </c>
      <c r="Z75">
        <f>IF(T75="OK",P75*Q75*(1-S75),"invalid")</f>
        <v>1458.9360000000001</v>
      </c>
      <c r="AA75">
        <f>IF(Z75="N/A","N/A",Z75-V75)</f>
        <v>565.7360000000001</v>
      </c>
      <c r="AB75" s="8">
        <f>IF(Z75&lt;&gt;"N/A", AA75/Z75, "N/A")</f>
        <v>0.38777300717783375</v>
      </c>
      <c r="AC75">
        <f>MONTH(B75)</f>
        <v>8</v>
      </c>
      <c r="AD75">
        <f>YEAR(B75)</f>
        <v>2024</v>
      </c>
      <c r="AE75" s="10">
        <f t="shared" si="1"/>
        <v>3.9999999999054126E-3</v>
      </c>
      <c r="AF75" t="s">
        <v>2804</v>
      </c>
      <c r="AG75" t="s">
        <v>2811</v>
      </c>
    </row>
    <row r="76" spans="1:33">
      <c r="A76" t="s">
        <v>476</v>
      </c>
      <c r="B76" s="4">
        <v>45626</v>
      </c>
      <c r="C76" s="4">
        <v>45630</v>
      </c>
      <c r="D76">
        <f>_xlfn.DAYS(C76,B76)</f>
        <v>4</v>
      </c>
      <c r="E76" t="s">
        <v>2804</v>
      </c>
      <c r="F76" t="s">
        <v>477</v>
      </c>
      <c r="G76" t="s">
        <v>62</v>
      </c>
      <c r="H76" t="s">
        <v>37</v>
      </c>
      <c r="I76" t="s">
        <v>38</v>
      </c>
      <c r="J76" t="s">
        <v>166</v>
      </c>
      <c r="K76" t="s">
        <v>167</v>
      </c>
      <c r="L76" t="s">
        <v>41</v>
      </c>
      <c r="M76" t="s">
        <v>66</v>
      </c>
      <c r="N76" t="s">
        <v>478</v>
      </c>
      <c r="O76" t="s">
        <v>31</v>
      </c>
      <c r="P76">
        <v>3</v>
      </c>
      <c r="Q76">
        <v>170.35</v>
      </c>
      <c r="R76">
        <v>0</v>
      </c>
      <c r="S76">
        <f>IF(ISNUMBER(SEARCH("%",R76)), VALUE(SUBSTITUTE(R76,"%",""))/100,IF(ISNUMBER(R76), R76, 0))</f>
        <v>0</v>
      </c>
      <c r="T76" t="str">
        <f>IF(S76&lt;0,"Negative discount (invalid)",IF(S76&gt;0.5,"Discount above allowed range (invalid)",IF(AND(R76="",S76=0),"Missing discount set to 0","OK")))</f>
        <v>OK</v>
      </c>
      <c r="U76">
        <v>511.05</v>
      </c>
      <c r="V76">
        <v>367.18</v>
      </c>
      <c r="W76">
        <v>143.87</v>
      </c>
      <c r="X76" t="s">
        <v>32</v>
      </c>
      <c r="Y76" t="s">
        <v>33</v>
      </c>
      <c r="Z76">
        <f>IF(T76="OK",P76*Q76*(1-S76),"invalid")</f>
        <v>511.04999999999995</v>
      </c>
      <c r="AA76">
        <f>IF(Z76="N/A","N/A",Z76-V76)</f>
        <v>143.86999999999995</v>
      </c>
      <c r="AB76" s="8">
        <f>IF(Z76&lt;&gt;"N/A", AA76/Z76, "N/A")</f>
        <v>0.28151844242246349</v>
      </c>
      <c r="AC76">
        <f>MONTH(B76)</f>
        <v>11</v>
      </c>
      <c r="AD76">
        <f>YEAR(B76)</f>
        <v>2024</v>
      </c>
      <c r="AE76" s="10">
        <f t="shared" si="1"/>
        <v>5.6843418860808015E-14</v>
      </c>
      <c r="AF76" t="s">
        <v>2804</v>
      </c>
      <c r="AG76" t="s">
        <v>2811</v>
      </c>
    </row>
    <row r="77" spans="1:33">
      <c r="A77" t="s">
        <v>479</v>
      </c>
      <c r="B77" s="4">
        <v>45436</v>
      </c>
      <c r="C77" s="4">
        <v>45437</v>
      </c>
      <c r="D77">
        <f>_xlfn.DAYS(C77,B77)</f>
        <v>1</v>
      </c>
      <c r="E77" t="s">
        <v>2804</v>
      </c>
      <c r="F77" t="s">
        <v>480</v>
      </c>
      <c r="G77" t="s">
        <v>132</v>
      </c>
      <c r="H77" t="s">
        <v>37</v>
      </c>
      <c r="I77" t="s">
        <v>25</v>
      </c>
      <c r="J77" t="s">
        <v>122</v>
      </c>
      <c r="K77" t="s">
        <v>123</v>
      </c>
      <c r="L77" t="s">
        <v>74</v>
      </c>
      <c r="M77" t="s">
        <v>80</v>
      </c>
      <c r="N77" t="s">
        <v>482</v>
      </c>
      <c r="O77" t="s">
        <v>44</v>
      </c>
      <c r="P77">
        <v>1</v>
      </c>
      <c r="Q77">
        <v>634.13</v>
      </c>
      <c r="R77">
        <v>0</v>
      </c>
      <c r="S77">
        <f>IF(ISNUMBER(SEARCH("%",R77)), VALUE(SUBSTITUTE(R77,"%",""))/100,IF(ISNUMBER(R77), R77, 0))</f>
        <v>0</v>
      </c>
      <c r="T77" t="str">
        <f>IF(S77&lt;0,"Negative discount (invalid)",IF(S77&gt;0.5,"Discount above allowed range (invalid)",IF(AND(R77="",S77=0),"Missing discount set to 0","OK")))</f>
        <v>OK</v>
      </c>
      <c r="U77">
        <v>634.13</v>
      </c>
      <c r="V77">
        <v>453.35</v>
      </c>
      <c r="W77">
        <v>180.78</v>
      </c>
      <c r="X77" t="s">
        <v>102</v>
      </c>
      <c r="Y77" t="s">
        <v>68</v>
      </c>
      <c r="Z77">
        <f>IF(T77="OK",P77*Q77*(1-S77),"invalid")</f>
        <v>634.13</v>
      </c>
      <c r="AA77">
        <f>IF(Z77="N/A","N/A",Z77-V77)</f>
        <v>180.77999999999997</v>
      </c>
      <c r="AB77" s="8">
        <f>IF(Z77&lt;&gt;"N/A", AA77/Z77, "N/A")</f>
        <v>0.28508350022865969</v>
      </c>
      <c r="AC77">
        <f>MONTH(B77)</f>
        <v>5</v>
      </c>
      <c r="AD77">
        <f>YEAR(B77)</f>
        <v>2024</v>
      </c>
      <c r="AE77" s="10">
        <f t="shared" si="1"/>
        <v>0</v>
      </c>
      <c r="AF77" t="s">
        <v>2804</v>
      </c>
      <c r="AG77" t="s">
        <v>2811</v>
      </c>
    </row>
    <row r="78" spans="1:33">
      <c r="A78" t="s">
        <v>479</v>
      </c>
      <c r="B78" s="4">
        <v>45436</v>
      </c>
      <c r="C78" s="4">
        <v>45437</v>
      </c>
      <c r="D78">
        <f>_xlfn.DAYS(C78,B78)</f>
        <v>1</v>
      </c>
      <c r="E78" t="s">
        <v>2804</v>
      </c>
      <c r="F78" t="s">
        <v>480</v>
      </c>
      <c r="G78" t="s">
        <v>132</v>
      </c>
      <c r="H78" t="s">
        <v>37</v>
      </c>
      <c r="I78" t="s">
        <v>25</v>
      </c>
      <c r="J78" t="s">
        <v>122</v>
      </c>
      <c r="K78" t="s">
        <v>123</v>
      </c>
      <c r="L78" t="s">
        <v>74</v>
      </c>
      <c r="M78" t="s">
        <v>80</v>
      </c>
      <c r="N78" t="s">
        <v>482</v>
      </c>
      <c r="O78" t="s">
        <v>44</v>
      </c>
      <c r="P78">
        <v>1</v>
      </c>
      <c r="Q78">
        <v>634.13</v>
      </c>
      <c r="R78">
        <v>0</v>
      </c>
      <c r="S78">
        <f>IF(ISNUMBER(SEARCH("%",R78)), VALUE(SUBSTITUTE(R78,"%",""))/100,IF(ISNUMBER(R78), R78, 0))</f>
        <v>0</v>
      </c>
      <c r="T78" t="str">
        <f>IF(S78&lt;0,"Negative discount (invalid)",IF(S78&gt;0.5,"Discount above allowed range (invalid)",IF(AND(R78="",S78=0),"Missing discount set to 0","OK")))</f>
        <v>OK</v>
      </c>
      <c r="U78">
        <v>808.67</v>
      </c>
      <c r="V78">
        <v>453.35</v>
      </c>
      <c r="W78">
        <v>180.78</v>
      </c>
      <c r="X78" t="s">
        <v>102</v>
      </c>
      <c r="Y78" t="s">
        <v>103</v>
      </c>
      <c r="Z78">
        <f>IF(T78="OK",P78*Q78*(1-S78),"invalid")</f>
        <v>634.13</v>
      </c>
      <c r="AA78">
        <f>IF(Z78="N/A","N/A",Z78-V78)</f>
        <v>180.77999999999997</v>
      </c>
      <c r="AB78" s="8">
        <f>IF(Z78&lt;&gt;"N/A", AA78/Z78, "N/A")</f>
        <v>0.28508350022865969</v>
      </c>
      <c r="AC78">
        <f>MONTH(B78)</f>
        <v>5</v>
      </c>
      <c r="AD78">
        <f>YEAR(B78)</f>
        <v>2024</v>
      </c>
      <c r="AE78" s="10">
        <f t="shared" si="1"/>
        <v>174.53999999999996</v>
      </c>
      <c r="AF78" t="s">
        <v>2807</v>
      </c>
      <c r="AG78" t="s">
        <v>2789</v>
      </c>
    </row>
    <row r="79" spans="1:33">
      <c r="A79" t="s">
        <v>483</v>
      </c>
      <c r="B79" s="4">
        <v>45494</v>
      </c>
      <c r="C79" s="4">
        <v>45497</v>
      </c>
      <c r="D79">
        <f>_xlfn.DAYS(C79,B79)</f>
        <v>3</v>
      </c>
      <c r="E79" t="s">
        <v>2804</v>
      </c>
      <c r="F79" t="s">
        <v>484</v>
      </c>
      <c r="G79" t="s">
        <v>47</v>
      </c>
      <c r="H79" t="s">
        <v>90</v>
      </c>
      <c r="I79" t="s">
        <v>54</v>
      </c>
      <c r="J79" t="s">
        <v>175</v>
      </c>
      <c r="K79" t="s">
        <v>176</v>
      </c>
      <c r="L79" t="s">
        <v>74</v>
      </c>
      <c r="M79" t="s">
        <v>80</v>
      </c>
      <c r="N79" t="s">
        <v>485</v>
      </c>
      <c r="O79" t="s">
        <v>59</v>
      </c>
      <c r="P79">
        <v>9</v>
      </c>
      <c r="Q79">
        <v>465.06</v>
      </c>
      <c r="R79">
        <v>-0.15</v>
      </c>
      <c r="S79">
        <f>IF(ISNUMBER(SEARCH("%",R79)), VALUE(SUBSTITUTE(R79,"%",""))/100,IF(ISNUMBER(R79), R79, 0))</f>
        <v>-0.15</v>
      </c>
      <c r="T79" t="str">
        <f>IF(S79&lt;0,"Negative discount (invalid)",IF(S79&gt;0.5,"Discount above allowed range (invalid)",IF(AND(R79="",S79=0),"Missing discount set to 0","OK")))</f>
        <v>Negative discount (invalid)</v>
      </c>
      <c r="U79">
        <v>4185.54</v>
      </c>
      <c r="V79">
        <v>3443.74</v>
      </c>
      <c r="W79">
        <v>741.8</v>
      </c>
      <c r="X79" t="s">
        <v>32</v>
      </c>
      <c r="Y79" t="s">
        <v>33</v>
      </c>
      <c r="Z79" t="s">
        <v>2793</v>
      </c>
      <c r="AA79" t="str">
        <f>IF(Z79="N/A","N/A",Z79-V79)</f>
        <v>N/A</v>
      </c>
      <c r="AB79" s="8" t="str">
        <f>IF(Z79&lt;&gt;"N/A", AA79/Z79, "N/A")</f>
        <v>N/A</v>
      </c>
      <c r="AC79">
        <f>MONTH(B79)</f>
        <v>7</v>
      </c>
      <c r="AD79">
        <f>YEAR(B79)</f>
        <v>2024</v>
      </c>
      <c r="AE79" s="10" t="str">
        <f t="shared" si="1"/>
        <v>N/A</v>
      </c>
      <c r="AF79" t="s">
        <v>2802</v>
      </c>
      <c r="AG79" t="s">
        <v>2789</v>
      </c>
    </row>
    <row r="80" spans="1:33">
      <c r="A80" t="s">
        <v>495</v>
      </c>
      <c r="B80" s="4">
        <v>45639</v>
      </c>
      <c r="C80" s="4">
        <v>45642</v>
      </c>
      <c r="D80">
        <f>_xlfn.DAYS(C80,B80)</f>
        <v>3</v>
      </c>
      <c r="E80" t="s">
        <v>2804</v>
      </c>
      <c r="F80" t="s">
        <v>496</v>
      </c>
      <c r="G80" t="s">
        <v>79</v>
      </c>
      <c r="H80" t="s">
        <v>37</v>
      </c>
      <c r="I80" t="s">
        <v>38</v>
      </c>
      <c r="J80" t="s">
        <v>39</v>
      </c>
      <c r="K80" t="s">
        <v>40</v>
      </c>
      <c r="L80" t="s">
        <v>41</v>
      </c>
      <c r="M80" t="s">
        <v>57</v>
      </c>
      <c r="N80" t="s">
        <v>497</v>
      </c>
      <c r="O80" t="s">
        <v>59</v>
      </c>
      <c r="P80">
        <v>5</v>
      </c>
      <c r="Q80">
        <v>923.45</v>
      </c>
      <c r="R80">
        <v>0.05</v>
      </c>
      <c r="S80">
        <f>IF(ISNUMBER(SEARCH("%",R80)), VALUE(SUBSTITUTE(R80,"%",""))/100,IF(ISNUMBER(R80), R80, 0))</f>
        <v>0.05</v>
      </c>
      <c r="T80" t="str">
        <f>IF(S80&lt;0,"Negative discount (invalid)",IF(S80&gt;0.5,"Discount above allowed range (invalid)",IF(AND(R80="",S80=0),"Missing discount set to 0","OK")))</f>
        <v>OK</v>
      </c>
      <c r="U80">
        <v>4386.3900000000003</v>
      </c>
      <c r="V80">
        <v>3366.88</v>
      </c>
      <c r="W80">
        <v>1019.51</v>
      </c>
      <c r="X80" t="s">
        <v>32</v>
      </c>
      <c r="Y80" t="s">
        <v>103</v>
      </c>
      <c r="Z80">
        <f>IF(T80="OK",P80*Q80*(1-S80),"invalid")</f>
        <v>4386.3874999999998</v>
      </c>
      <c r="AA80">
        <f>IF(Z80="N/A","N/A",Z80-V80)</f>
        <v>1019.5074999999997</v>
      </c>
      <c r="AB80" s="8">
        <f>IF(Z80&lt;&gt;"N/A", AA80/Z80, "N/A")</f>
        <v>0.2324253158208206</v>
      </c>
      <c r="AC80">
        <f>MONTH(B80)</f>
        <v>12</v>
      </c>
      <c r="AD80">
        <f>YEAR(B80)</f>
        <v>2024</v>
      </c>
      <c r="AE80" s="10">
        <f t="shared" si="1"/>
        <v>2.500000000509317E-3</v>
      </c>
      <c r="AF80" t="s">
        <v>2804</v>
      </c>
      <c r="AG80" t="s">
        <v>2811</v>
      </c>
    </row>
    <row r="81" spans="1:33">
      <c r="A81" t="s">
        <v>498</v>
      </c>
      <c r="B81" s="4">
        <v>45492</v>
      </c>
      <c r="C81" s="4">
        <v>45498</v>
      </c>
      <c r="D81">
        <f>_xlfn.DAYS(C81,B81)</f>
        <v>6</v>
      </c>
      <c r="E81" t="s">
        <v>2804</v>
      </c>
      <c r="F81" t="s">
        <v>499</v>
      </c>
      <c r="G81" t="s">
        <v>47</v>
      </c>
      <c r="H81" t="s">
        <v>37</v>
      </c>
      <c r="I81" t="s">
        <v>63</v>
      </c>
      <c r="J81" t="s">
        <v>190</v>
      </c>
      <c r="K81" t="s">
        <v>191</v>
      </c>
      <c r="L81" t="s">
        <v>28</v>
      </c>
      <c r="M81" t="s">
        <v>153</v>
      </c>
      <c r="N81" t="s">
        <v>500</v>
      </c>
      <c r="O81" t="s">
        <v>59</v>
      </c>
      <c r="P81">
        <v>7</v>
      </c>
      <c r="Q81">
        <v>2741.29</v>
      </c>
      <c r="R81">
        <v>0.05</v>
      </c>
      <c r="S81">
        <f>IF(ISNUMBER(SEARCH("%",R81)), VALUE(SUBSTITUTE(R81,"%",""))/100,IF(ISNUMBER(R81), R81, 0))</f>
        <v>0.05</v>
      </c>
      <c r="T81" t="str">
        <f>IF(S81&lt;0,"Negative discount (invalid)",IF(S81&gt;0.5,"Discount above allowed range (invalid)",IF(AND(R81="",S81=0),"Missing discount set to 0","OK")))</f>
        <v>OK</v>
      </c>
      <c r="U81">
        <v>18229.580000000002</v>
      </c>
      <c r="V81">
        <v>15139.15</v>
      </c>
      <c r="W81">
        <v>3090.43</v>
      </c>
      <c r="X81" t="s">
        <v>32</v>
      </c>
      <c r="Y81" t="s">
        <v>33</v>
      </c>
      <c r="Z81">
        <f>IF(T81="OK",P81*Q81*(1-S81),"invalid")</f>
        <v>18229.5785</v>
      </c>
      <c r="AA81">
        <f>IF(Z81="N/A","N/A",Z81-V81)</f>
        <v>3090.4285</v>
      </c>
      <c r="AB81" s="8">
        <f>IF(Z81&lt;&gt;"N/A", AA81/Z81, "N/A")</f>
        <v>0.16952824773211295</v>
      </c>
      <c r="AC81">
        <f>MONTH(B81)</f>
        <v>7</v>
      </c>
      <c r="AD81">
        <f>YEAR(B81)</f>
        <v>2024</v>
      </c>
      <c r="AE81" s="10">
        <f t="shared" si="1"/>
        <v>1.5000000021245796E-3</v>
      </c>
      <c r="AF81" t="s">
        <v>2804</v>
      </c>
      <c r="AG81" t="s">
        <v>2811</v>
      </c>
    </row>
    <row r="82" spans="1:33">
      <c r="A82" t="s">
        <v>501</v>
      </c>
      <c r="B82" s="4">
        <v>45318</v>
      </c>
      <c r="C82" s="4">
        <v>45324</v>
      </c>
      <c r="D82">
        <f>_xlfn.DAYS(C82,B82)</f>
        <v>6</v>
      </c>
      <c r="E82" t="s">
        <v>2804</v>
      </c>
      <c r="F82" t="s">
        <v>502</v>
      </c>
      <c r="G82" t="s">
        <v>53</v>
      </c>
      <c r="H82" t="s">
        <v>24</v>
      </c>
      <c r="I82" t="s">
        <v>63</v>
      </c>
      <c r="J82" t="s">
        <v>180</v>
      </c>
      <c r="K82" t="s">
        <v>181</v>
      </c>
      <c r="L82" t="s">
        <v>28</v>
      </c>
      <c r="M82" t="s">
        <v>91</v>
      </c>
      <c r="N82" t="s">
        <v>503</v>
      </c>
      <c r="O82" t="s">
        <v>44</v>
      </c>
      <c r="P82">
        <v>5</v>
      </c>
      <c r="Q82">
        <v>218.42</v>
      </c>
      <c r="R82">
        <v>0.2</v>
      </c>
      <c r="S82">
        <f>IF(ISNUMBER(SEARCH("%",R82)), VALUE(SUBSTITUTE(R82,"%",""))/100,IF(ISNUMBER(R82), R82, 0))</f>
        <v>0.2</v>
      </c>
      <c r="T82" t="str">
        <f>IF(S82&lt;0,"Negative discount (invalid)",IF(S82&gt;0.5,"Discount above allowed range (invalid)",IF(AND(R82="",S82=0),"Missing discount set to 0","OK")))</f>
        <v>OK</v>
      </c>
      <c r="U82">
        <v>873.68</v>
      </c>
      <c r="V82">
        <v>661.72</v>
      </c>
      <c r="W82">
        <v>211.96</v>
      </c>
      <c r="X82" t="s">
        <v>111</v>
      </c>
      <c r="Y82" t="s">
        <v>68</v>
      </c>
      <c r="Z82">
        <f>IF(T82="OK",P82*Q82*(1-S82),"invalid")</f>
        <v>873.68</v>
      </c>
      <c r="AA82">
        <f>IF(Z82="N/A","N/A",Z82-V82)</f>
        <v>211.95999999999992</v>
      </c>
      <c r="AB82" s="8">
        <f>IF(Z82&lt;&gt;"N/A", AA82/Z82, "N/A")</f>
        <v>0.24260598846259493</v>
      </c>
      <c r="AC82">
        <f>MONTH(B82)</f>
        <v>1</v>
      </c>
      <c r="AD82">
        <f>YEAR(B82)</f>
        <v>2024</v>
      </c>
      <c r="AE82" s="10">
        <f t="shared" si="1"/>
        <v>0</v>
      </c>
      <c r="AF82" t="s">
        <v>2804</v>
      </c>
      <c r="AG82" t="s">
        <v>2811</v>
      </c>
    </row>
    <row r="83" spans="1:33">
      <c r="A83" t="s">
        <v>507</v>
      </c>
      <c r="B83" s="4">
        <v>45600</v>
      </c>
      <c r="C83" s="4">
        <v>45600</v>
      </c>
      <c r="D83">
        <f>_xlfn.DAYS(C83,B83)</f>
        <v>0</v>
      </c>
      <c r="E83" t="s">
        <v>2804</v>
      </c>
      <c r="F83" t="s">
        <v>508</v>
      </c>
      <c r="G83" t="s">
        <v>264</v>
      </c>
      <c r="H83" t="s">
        <v>90</v>
      </c>
      <c r="I83" t="s">
        <v>38</v>
      </c>
      <c r="J83" t="s">
        <v>166</v>
      </c>
      <c r="K83" t="s">
        <v>167</v>
      </c>
      <c r="L83" t="s">
        <v>74</v>
      </c>
      <c r="M83" t="s">
        <v>274</v>
      </c>
      <c r="N83" t="s">
        <v>509</v>
      </c>
      <c r="O83" t="s">
        <v>50</v>
      </c>
      <c r="P83">
        <v>2</v>
      </c>
      <c r="Q83">
        <v>533.08000000000004</v>
      </c>
      <c r="R83">
        <v>0</v>
      </c>
      <c r="S83">
        <f>IF(ISNUMBER(SEARCH("%",R83)), VALUE(SUBSTITUTE(R83,"%",""))/100,IF(ISNUMBER(R83), R83, 0))</f>
        <v>0</v>
      </c>
      <c r="T83" t="str">
        <f>IF(S83&lt;0,"Negative discount (invalid)",IF(S83&gt;0.5,"Discount above allowed range (invalid)",IF(AND(R83="",S83=0),"Missing discount set to 0","OK")))</f>
        <v>OK</v>
      </c>
      <c r="U83">
        <v>1066.1600000000001</v>
      </c>
      <c r="V83">
        <v>656.3</v>
      </c>
      <c r="W83">
        <v>409.86</v>
      </c>
      <c r="X83" t="s">
        <v>155</v>
      </c>
      <c r="Y83" t="s">
        <v>68</v>
      </c>
      <c r="Z83">
        <f>IF(T83="OK",P83*Q83*(1-S83),"invalid")</f>
        <v>1066.1600000000001</v>
      </c>
      <c r="AA83">
        <f>IF(Z83="N/A","N/A",Z83-V83)</f>
        <v>409.86000000000013</v>
      </c>
      <c r="AB83" s="8">
        <f>IF(Z83&lt;&gt;"N/A", AA83/Z83, "N/A")</f>
        <v>0.38442635251744589</v>
      </c>
      <c r="AC83">
        <f>MONTH(B83)</f>
        <v>11</v>
      </c>
      <c r="AD83">
        <f>YEAR(B83)</f>
        <v>2024</v>
      </c>
      <c r="AE83" s="10">
        <f t="shared" si="1"/>
        <v>0</v>
      </c>
      <c r="AF83" t="s">
        <v>2804</v>
      </c>
      <c r="AG83" t="s">
        <v>2811</v>
      </c>
    </row>
    <row r="84" spans="1:33">
      <c r="A84" t="s">
        <v>510</v>
      </c>
      <c r="B84" s="4">
        <v>45639</v>
      </c>
      <c r="C84" s="4">
        <v>45644</v>
      </c>
      <c r="D84">
        <f>_xlfn.DAYS(C84,B84)</f>
        <v>5</v>
      </c>
      <c r="E84" t="s">
        <v>2804</v>
      </c>
      <c r="F84" t="s">
        <v>511</v>
      </c>
      <c r="G84" t="s">
        <v>23</v>
      </c>
      <c r="H84" t="s">
        <v>24</v>
      </c>
      <c r="I84" t="s">
        <v>63</v>
      </c>
      <c r="J84" t="s">
        <v>190</v>
      </c>
      <c r="K84" t="s">
        <v>191</v>
      </c>
      <c r="L84" t="s">
        <v>74</v>
      </c>
      <c r="M84" t="s">
        <v>171</v>
      </c>
      <c r="N84" t="s">
        <v>512</v>
      </c>
      <c r="O84" t="s">
        <v>31</v>
      </c>
      <c r="P84">
        <v>8</v>
      </c>
      <c r="Q84">
        <v>3372.15</v>
      </c>
      <c r="R84">
        <v>0.15</v>
      </c>
      <c r="S84">
        <f>IF(ISNUMBER(SEARCH("%",R84)), VALUE(SUBSTITUTE(R84,"%",""))/100,IF(ISNUMBER(R84), R84, 0))</f>
        <v>0.15</v>
      </c>
      <c r="T84" t="str">
        <f>IF(S84&lt;0,"Negative discount (invalid)",IF(S84&gt;0.5,"Discount above allowed range (invalid)",IF(AND(R84="",S84=0),"Missing discount set to 0","OK")))</f>
        <v>OK</v>
      </c>
      <c r="U84">
        <v>22930.62</v>
      </c>
      <c r="V84">
        <v>16875.55</v>
      </c>
      <c r="W84">
        <v>6055.07</v>
      </c>
      <c r="X84" t="s">
        <v>32</v>
      </c>
      <c r="Y84" t="s">
        <v>33</v>
      </c>
      <c r="Z84">
        <f>IF(T84="OK",P84*Q84*(1-S84),"invalid")</f>
        <v>22930.62</v>
      </c>
      <c r="AA84">
        <f>IF(Z84="N/A","N/A",Z84-V84)</f>
        <v>6055.07</v>
      </c>
      <c r="AB84" s="8">
        <f>IF(Z84&lt;&gt;"N/A", AA84/Z84, "N/A")</f>
        <v>0.26406045715292475</v>
      </c>
      <c r="AC84">
        <f>MONTH(B84)</f>
        <v>12</v>
      </c>
      <c r="AD84">
        <f>YEAR(B84)</f>
        <v>2024</v>
      </c>
      <c r="AE84" s="10">
        <f t="shared" si="1"/>
        <v>0</v>
      </c>
      <c r="AF84" t="s">
        <v>2804</v>
      </c>
      <c r="AG84" t="s">
        <v>2811</v>
      </c>
    </row>
    <row r="85" spans="1:33">
      <c r="A85" t="s">
        <v>525</v>
      </c>
      <c r="B85" s="4">
        <v>45311</v>
      </c>
      <c r="C85" s="4">
        <v>45317</v>
      </c>
      <c r="D85">
        <f>_xlfn.DAYS(C85,B85)</f>
        <v>6</v>
      </c>
      <c r="E85" t="s">
        <v>2804</v>
      </c>
      <c r="F85" t="s">
        <v>526</v>
      </c>
      <c r="G85" t="s">
        <v>162</v>
      </c>
      <c r="H85" t="s">
        <v>95</v>
      </c>
      <c r="I85" t="s">
        <v>38</v>
      </c>
      <c r="J85" t="s">
        <v>228</v>
      </c>
      <c r="K85" t="s">
        <v>229</v>
      </c>
      <c r="L85" t="s">
        <v>74</v>
      </c>
      <c r="M85" t="s">
        <v>274</v>
      </c>
      <c r="N85" t="s">
        <v>527</v>
      </c>
      <c r="O85" t="s">
        <v>59</v>
      </c>
      <c r="P85">
        <v>8</v>
      </c>
      <c r="Q85">
        <v>4003.05</v>
      </c>
      <c r="R85">
        <v>0.25</v>
      </c>
      <c r="S85">
        <f>IF(ISNUMBER(SEARCH("%",R85)), VALUE(SUBSTITUTE(R85,"%",""))/100,IF(ISNUMBER(R85), R85, 0))</f>
        <v>0.25</v>
      </c>
      <c r="T85" t="str">
        <f>IF(S85&lt;0,"Negative discount (invalid)",IF(S85&gt;0.5,"Discount above allowed range (invalid)",IF(AND(R85="",S85=0),"Missing discount set to 0","OK")))</f>
        <v>OK</v>
      </c>
      <c r="U85">
        <v>24018.3</v>
      </c>
      <c r="V85">
        <v>14070.78</v>
      </c>
      <c r="W85">
        <v>9947.52</v>
      </c>
      <c r="X85" t="s">
        <v>32</v>
      </c>
      <c r="Y85" t="s">
        <v>33</v>
      </c>
      <c r="Z85">
        <f>IF(T85="OK",P85*Q85*(1-S85),"invalid")</f>
        <v>24018.300000000003</v>
      </c>
      <c r="AA85">
        <f>IF(Z85="N/A","N/A",Z85-V85)</f>
        <v>9947.5200000000023</v>
      </c>
      <c r="AB85" s="8">
        <f>IF(Z85&lt;&gt;"N/A", AA85/Z85, "N/A")</f>
        <v>0.41416419979765434</v>
      </c>
      <c r="AC85">
        <f>MONTH(B85)</f>
        <v>1</v>
      </c>
      <c r="AD85">
        <f>YEAR(B85)</f>
        <v>2024</v>
      </c>
      <c r="AE85" s="10">
        <f t="shared" si="1"/>
        <v>3.637978807091713E-12</v>
      </c>
      <c r="AF85" t="s">
        <v>2804</v>
      </c>
      <c r="AG85" t="s">
        <v>2811</v>
      </c>
    </row>
    <row r="86" spans="1:33">
      <c r="A86" t="s">
        <v>531</v>
      </c>
      <c r="B86" s="4">
        <v>45443</v>
      </c>
      <c r="C86" s="4">
        <v>45444</v>
      </c>
      <c r="D86">
        <f>_xlfn.DAYS(C86,B86)</f>
        <v>1</v>
      </c>
      <c r="E86" t="s">
        <v>2804</v>
      </c>
      <c r="F86" t="s">
        <v>532</v>
      </c>
      <c r="G86" t="s">
        <v>36</v>
      </c>
      <c r="H86" t="s">
        <v>90</v>
      </c>
      <c r="I86" t="s">
        <v>54</v>
      </c>
      <c r="J86" t="s">
        <v>175</v>
      </c>
      <c r="K86" t="s">
        <v>176</v>
      </c>
      <c r="L86" t="s">
        <v>41</v>
      </c>
      <c r="M86" t="s">
        <v>158</v>
      </c>
      <c r="N86" t="s">
        <v>533</v>
      </c>
      <c r="O86" t="s">
        <v>44</v>
      </c>
      <c r="P86">
        <v>3</v>
      </c>
      <c r="Q86">
        <v>2914.55</v>
      </c>
      <c r="R86">
        <v>0</v>
      </c>
      <c r="S86">
        <f>IF(ISNUMBER(SEARCH("%",R86)), VALUE(SUBSTITUTE(R86,"%",""))/100,IF(ISNUMBER(R86), R86, 0))</f>
        <v>0</v>
      </c>
      <c r="T86" t="str">
        <f>IF(S86&lt;0,"Negative discount (invalid)",IF(S86&gt;0.5,"Discount above allowed range (invalid)",IF(AND(R86="",S86=0),"Missing discount set to 0","OK")))</f>
        <v>OK</v>
      </c>
      <c r="U86">
        <v>8743.65</v>
      </c>
      <c r="V86">
        <v>6603.76</v>
      </c>
      <c r="W86">
        <v>2139.89</v>
      </c>
      <c r="X86" t="s">
        <v>32</v>
      </c>
      <c r="Y86" t="s">
        <v>33</v>
      </c>
      <c r="Z86">
        <f>IF(T86="OK",P86*Q86*(1-S86),"invalid")</f>
        <v>8743.6500000000015</v>
      </c>
      <c r="AA86">
        <f>IF(Z86="N/A","N/A",Z86-V86)</f>
        <v>2139.8900000000012</v>
      </c>
      <c r="AB86" s="8">
        <f>IF(Z86&lt;&gt;"N/A", AA86/Z86, "N/A")</f>
        <v>0.24473646589239059</v>
      </c>
      <c r="AC86">
        <f>MONTH(B86)</f>
        <v>5</v>
      </c>
      <c r="AD86">
        <f>YEAR(B86)</f>
        <v>2024</v>
      </c>
      <c r="AE86" s="10">
        <f t="shared" si="1"/>
        <v>1.8189894035458565E-12</v>
      </c>
      <c r="AF86" t="s">
        <v>2804</v>
      </c>
      <c r="AG86" t="s">
        <v>2811</v>
      </c>
    </row>
    <row r="87" spans="1:33">
      <c r="A87" t="s">
        <v>534</v>
      </c>
      <c r="B87" s="4">
        <v>45374</v>
      </c>
      <c r="C87" s="4">
        <v>45380</v>
      </c>
      <c r="D87">
        <f>_xlfn.DAYS(C87,B87)</f>
        <v>6</v>
      </c>
      <c r="E87" t="s">
        <v>2804</v>
      </c>
      <c r="F87" t="s">
        <v>535</v>
      </c>
      <c r="G87" t="s">
        <v>114</v>
      </c>
      <c r="H87" t="s">
        <v>90</v>
      </c>
      <c r="I87" t="s">
        <v>25</v>
      </c>
      <c r="J87" t="s">
        <v>350</v>
      </c>
      <c r="K87" t="s">
        <v>351</v>
      </c>
      <c r="L87" t="s">
        <v>41</v>
      </c>
      <c r="M87" t="s">
        <v>158</v>
      </c>
      <c r="N87" t="s">
        <v>536</v>
      </c>
      <c r="O87" t="s">
        <v>44</v>
      </c>
      <c r="P87">
        <v>7</v>
      </c>
      <c r="Q87">
        <v>634.29</v>
      </c>
      <c r="R87">
        <v>0.1</v>
      </c>
      <c r="S87">
        <f>IF(ISNUMBER(SEARCH("%",R87)), VALUE(SUBSTITUTE(R87,"%",""))/100,IF(ISNUMBER(R87), R87, 0))</f>
        <v>0.1</v>
      </c>
      <c r="T87" t="str">
        <f>IF(S87&lt;0,"Negative discount (invalid)",IF(S87&gt;0.5,"Discount above allowed range (invalid)",IF(AND(R87="",S87=0),"Missing discount set to 0","OK")))</f>
        <v>OK</v>
      </c>
      <c r="U87">
        <v>3996.03</v>
      </c>
      <c r="V87">
        <v>2859.51</v>
      </c>
      <c r="W87">
        <v>1136.52</v>
      </c>
      <c r="X87" t="s">
        <v>32</v>
      </c>
      <c r="Y87" t="s">
        <v>103</v>
      </c>
      <c r="Z87">
        <f>IF(T87="OK",P87*Q87*(1-S87),"invalid")</f>
        <v>3996.027</v>
      </c>
      <c r="AA87">
        <f>IF(Z87="N/A","N/A",Z87-V87)</f>
        <v>1136.5169999999998</v>
      </c>
      <c r="AB87" s="8">
        <f>IF(Z87&lt;&gt;"N/A", AA87/Z87, "N/A")</f>
        <v>0.28441174196270441</v>
      </c>
      <c r="AC87">
        <f>MONTH(B87)</f>
        <v>3</v>
      </c>
      <c r="AD87">
        <f>YEAR(B87)</f>
        <v>2024</v>
      </c>
      <c r="AE87" s="10">
        <f t="shared" si="1"/>
        <v>3.0000000001564331E-3</v>
      </c>
      <c r="AF87" t="s">
        <v>2804</v>
      </c>
      <c r="AG87" t="s">
        <v>2811</v>
      </c>
    </row>
    <row r="88" spans="1:33">
      <c r="A88" t="s">
        <v>537</v>
      </c>
      <c r="B88" s="4">
        <v>45381</v>
      </c>
      <c r="C88" s="4">
        <v>45377</v>
      </c>
      <c r="D88">
        <f>_xlfn.DAYS(C88,B88)</f>
        <v>-4</v>
      </c>
      <c r="E88" t="str">
        <f>IF(B88="INVALID","Missing/Invalid order_date", IF(C88="INVALID","Missing/Invalid ship_date",IF(AND(B88&lt;&gt;"",C88&lt;&gt;"",C88&lt;B88),"Ship date before order date","")))</f>
        <v>Ship date before order date</v>
      </c>
      <c r="F88" t="s">
        <v>538</v>
      </c>
      <c r="G88" t="s">
        <v>89</v>
      </c>
      <c r="H88" t="s">
        <v>95</v>
      </c>
      <c r="I88" t="s">
        <v>25</v>
      </c>
      <c r="J88" t="s">
        <v>26</v>
      </c>
      <c r="K88" t="s">
        <v>27</v>
      </c>
      <c r="L88" t="s">
        <v>74</v>
      </c>
      <c r="M88" t="s">
        <v>171</v>
      </c>
      <c r="N88" t="s">
        <v>539</v>
      </c>
      <c r="O88" t="s">
        <v>31</v>
      </c>
      <c r="P88">
        <v>5</v>
      </c>
      <c r="Q88">
        <v>907.54</v>
      </c>
      <c r="R88">
        <v>0.15</v>
      </c>
      <c r="S88">
        <f>IF(ISNUMBER(SEARCH("%",R88)), VALUE(SUBSTITUTE(R88,"%",""))/100,IF(ISNUMBER(R88), R88, 0))</f>
        <v>0.15</v>
      </c>
      <c r="T88" t="str">
        <f>IF(S88&lt;0,"Negative discount (invalid)",IF(S88&gt;0.5,"Discount above allowed range (invalid)",IF(AND(R88="",S88=0),"Missing discount set to 0","OK")))</f>
        <v>OK</v>
      </c>
      <c r="U88">
        <v>3857.04</v>
      </c>
      <c r="V88">
        <v>2769.26</v>
      </c>
      <c r="W88">
        <v>1087.78</v>
      </c>
      <c r="X88" t="s">
        <v>32</v>
      </c>
      <c r="Y88" t="s">
        <v>33</v>
      </c>
      <c r="Z88">
        <f>IF(T88="OK",P88*Q88*(1-S88),"invalid")</f>
        <v>3857.0449999999996</v>
      </c>
      <c r="AA88">
        <f>IF(Z88="N/A","N/A",Z88-V88)</f>
        <v>1087.7849999999994</v>
      </c>
      <c r="AB88" s="8">
        <f>IF(Z88&lt;&gt;"N/A", AA88/Z88, "N/A")</f>
        <v>0.28202548842442843</v>
      </c>
      <c r="AC88">
        <f>MONTH(B88)</f>
        <v>3</v>
      </c>
      <c r="AD88">
        <f>YEAR(B88)</f>
        <v>2024</v>
      </c>
      <c r="AE88" s="10">
        <f t="shared" si="1"/>
        <v>4.999999999654392E-3</v>
      </c>
      <c r="AF88" t="s">
        <v>2806</v>
      </c>
      <c r="AG88" t="s">
        <v>2789</v>
      </c>
    </row>
    <row r="89" spans="1:33">
      <c r="A89" t="s">
        <v>537</v>
      </c>
      <c r="B89" s="4">
        <v>45381</v>
      </c>
      <c r="C89" s="4">
        <v>45377</v>
      </c>
      <c r="D89">
        <f>_xlfn.DAYS(C89,B89)</f>
        <v>-4</v>
      </c>
      <c r="E89" t="str">
        <f>IF(B89="INVALID","Missing/Invalid order_date", IF(C89="INVALID","Missing/Invalid ship_date",IF(AND(B89&lt;&gt;"",C89&lt;&gt;"",C89&lt;B89),"Ship date before order date","")))</f>
        <v>Ship date before order date</v>
      </c>
      <c r="F89" t="s">
        <v>538</v>
      </c>
      <c r="G89" t="s">
        <v>89</v>
      </c>
      <c r="H89" t="s">
        <v>95</v>
      </c>
      <c r="I89" t="s">
        <v>25</v>
      </c>
      <c r="J89" t="s">
        <v>26</v>
      </c>
      <c r="K89" t="s">
        <v>27</v>
      </c>
      <c r="L89" t="s">
        <v>74</v>
      </c>
      <c r="M89" t="s">
        <v>171</v>
      </c>
      <c r="N89" t="s">
        <v>539</v>
      </c>
      <c r="O89" t="s">
        <v>31</v>
      </c>
      <c r="P89">
        <v>5</v>
      </c>
      <c r="Q89">
        <v>907.54</v>
      </c>
      <c r="R89">
        <v>0.15</v>
      </c>
      <c r="S89">
        <f>IF(ISNUMBER(SEARCH("%",R89)), VALUE(SUBSTITUTE(R89,"%",""))/100,IF(ISNUMBER(R89), R89, 0))</f>
        <v>0.15</v>
      </c>
      <c r="T89" t="str">
        <f>IF(S89&lt;0,"Negative discount (invalid)",IF(S89&gt;0.5,"Discount above allowed range (invalid)",IF(AND(R89="",S89=0),"Missing discount set to 0","OK")))</f>
        <v>OK</v>
      </c>
      <c r="U89">
        <v>4099.6899999999996</v>
      </c>
      <c r="V89">
        <v>2769.26</v>
      </c>
      <c r="W89">
        <v>1087.78</v>
      </c>
      <c r="X89" t="s">
        <v>32</v>
      </c>
      <c r="Y89" t="s">
        <v>103</v>
      </c>
      <c r="Z89">
        <f>IF(T89="OK",P89*Q89*(1-S89),"invalid")</f>
        <v>3857.0449999999996</v>
      </c>
      <c r="AA89">
        <f>IF(Z89="N/A","N/A",Z89-V89)</f>
        <v>1087.7849999999994</v>
      </c>
      <c r="AB89" s="8">
        <f>IF(Z89&lt;&gt;"N/A", AA89/Z89, "N/A")</f>
        <v>0.28202548842442843</v>
      </c>
      <c r="AC89">
        <f>MONTH(B89)</f>
        <v>3</v>
      </c>
      <c r="AD89">
        <f>YEAR(B89)</f>
        <v>2024</v>
      </c>
      <c r="AE89" s="10">
        <f t="shared" si="1"/>
        <v>242.64499999999998</v>
      </c>
      <c r="AF89" t="s">
        <v>2808</v>
      </c>
      <c r="AG89" t="s">
        <v>2789</v>
      </c>
    </row>
    <row r="90" spans="1:33">
      <c r="A90" t="s">
        <v>540</v>
      </c>
      <c r="B90" s="4">
        <v>45375</v>
      </c>
      <c r="C90" s="4">
        <v>45377</v>
      </c>
      <c r="D90">
        <f>_xlfn.DAYS(C90,B90)</f>
        <v>2</v>
      </c>
      <c r="E90" t="s">
        <v>2804</v>
      </c>
      <c r="F90" t="s">
        <v>541</v>
      </c>
      <c r="G90" t="s">
        <v>114</v>
      </c>
      <c r="H90" t="s">
        <v>24</v>
      </c>
      <c r="I90" t="s">
        <v>63</v>
      </c>
      <c r="J90" t="s">
        <v>180</v>
      </c>
      <c r="K90" t="s">
        <v>181</v>
      </c>
      <c r="L90" t="s">
        <v>28</v>
      </c>
      <c r="M90" t="s">
        <v>29</v>
      </c>
      <c r="N90" t="s">
        <v>542</v>
      </c>
      <c r="O90" t="s">
        <v>31</v>
      </c>
      <c r="P90">
        <v>1</v>
      </c>
      <c r="Q90">
        <v>3409.5</v>
      </c>
      <c r="R90">
        <v>0.1</v>
      </c>
      <c r="S90">
        <f>IF(ISNUMBER(SEARCH("%",R90)), VALUE(SUBSTITUTE(R90,"%",""))/100,IF(ISNUMBER(R90), R90, 0))</f>
        <v>0.1</v>
      </c>
      <c r="T90" t="str">
        <f>IF(S90&lt;0,"Negative discount (invalid)",IF(S90&gt;0.5,"Discount above allowed range (invalid)",IF(AND(R90="",S90=0),"Missing discount set to 0","OK")))</f>
        <v>OK</v>
      </c>
      <c r="U90">
        <v>3068.55</v>
      </c>
      <c r="V90">
        <v>1916.16</v>
      </c>
      <c r="W90">
        <v>1152.3900000000001</v>
      </c>
      <c r="X90" t="s">
        <v>32</v>
      </c>
      <c r="Y90" t="s">
        <v>103</v>
      </c>
      <c r="Z90">
        <f>IF(T90="OK",P90*Q90*(1-S90),"invalid")</f>
        <v>3068.55</v>
      </c>
      <c r="AA90">
        <f>IF(Z90="N/A","N/A",Z90-V90)</f>
        <v>1152.3900000000001</v>
      </c>
      <c r="AB90" s="8">
        <f>IF(Z90&lt;&gt;"N/A", AA90/Z90, "N/A")</f>
        <v>0.3755487119323459</v>
      </c>
      <c r="AC90">
        <f>MONTH(B90)</f>
        <v>3</v>
      </c>
      <c r="AD90">
        <f>YEAR(B90)</f>
        <v>2024</v>
      </c>
      <c r="AE90" s="10">
        <f t="shared" si="1"/>
        <v>0</v>
      </c>
      <c r="AF90" t="s">
        <v>2804</v>
      </c>
      <c r="AG90" t="s">
        <v>2811</v>
      </c>
    </row>
    <row r="91" spans="1:33">
      <c r="A91" t="s">
        <v>543</v>
      </c>
      <c r="B91" s="4">
        <v>45450</v>
      </c>
      <c r="C91" s="4">
        <v>45458</v>
      </c>
      <c r="D91">
        <f>_xlfn.DAYS(C91,B91)</f>
        <v>8</v>
      </c>
      <c r="E91" t="s">
        <v>2804</v>
      </c>
      <c r="F91" t="s">
        <v>544</v>
      </c>
      <c r="G91" t="s">
        <v>264</v>
      </c>
      <c r="H91" t="s">
        <v>37</v>
      </c>
      <c r="I91" t="s">
        <v>54</v>
      </c>
      <c r="J91" t="s">
        <v>55</v>
      </c>
      <c r="K91" t="s">
        <v>56</v>
      </c>
      <c r="L91" t="s">
        <v>74</v>
      </c>
      <c r="M91" t="s">
        <v>75</v>
      </c>
      <c r="N91" t="s">
        <v>545</v>
      </c>
      <c r="O91" t="s">
        <v>50</v>
      </c>
      <c r="P91">
        <v>7</v>
      </c>
      <c r="Q91">
        <v>2147.9899999999998</v>
      </c>
      <c r="R91">
        <v>0.25</v>
      </c>
      <c r="S91">
        <f>IF(ISNUMBER(SEARCH("%",R91)), VALUE(SUBSTITUTE(R91,"%",""))/100,IF(ISNUMBER(R91), R91, 0))</f>
        <v>0.25</v>
      </c>
      <c r="T91" t="str">
        <f>IF(S91&lt;0,"Negative discount (invalid)",IF(S91&gt;0.5,"Discount above allowed range (invalid)",IF(AND(R91="",S91=0),"Missing discount set to 0","OK")))</f>
        <v>OK</v>
      </c>
      <c r="U91">
        <v>11276.95</v>
      </c>
      <c r="V91">
        <v>6908.76</v>
      </c>
      <c r="W91">
        <v>4368.1899999999996</v>
      </c>
      <c r="X91" t="s">
        <v>102</v>
      </c>
      <c r="Y91" t="s">
        <v>103</v>
      </c>
      <c r="Z91">
        <f>IF(T91="OK",P91*Q91*(1-S91),"invalid")</f>
        <v>11276.947499999998</v>
      </c>
      <c r="AA91">
        <f>IF(Z91="N/A","N/A",Z91-V91)</f>
        <v>4368.1874999999982</v>
      </c>
      <c r="AB91" s="8">
        <f>IF(Z91&lt;&gt;"N/A", AA91/Z91, "N/A")</f>
        <v>0.38735548782150481</v>
      </c>
      <c r="AC91">
        <f>MONTH(B91)</f>
        <v>6</v>
      </c>
      <c r="AD91">
        <f>YEAR(B91)</f>
        <v>2024</v>
      </c>
      <c r="AE91" s="10">
        <f t="shared" si="1"/>
        <v>2.5000000023283064E-3</v>
      </c>
      <c r="AF91" t="s">
        <v>2804</v>
      </c>
      <c r="AG91" t="s">
        <v>2811</v>
      </c>
    </row>
    <row r="92" spans="1:33">
      <c r="A92" t="s">
        <v>552</v>
      </c>
      <c r="B92" s="4">
        <v>45649</v>
      </c>
      <c r="C92" s="4">
        <v>45656</v>
      </c>
      <c r="D92">
        <f>_xlfn.DAYS(C92,B92)</f>
        <v>7</v>
      </c>
      <c r="E92" t="s">
        <v>2804</v>
      </c>
      <c r="F92" t="s">
        <v>553</v>
      </c>
      <c r="G92" t="s">
        <v>114</v>
      </c>
      <c r="H92" t="s">
        <v>95</v>
      </c>
      <c r="I92" t="s">
        <v>63</v>
      </c>
      <c r="J92" t="s">
        <v>190</v>
      </c>
      <c r="K92" t="s">
        <v>191</v>
      </c>
      <c r="L92" t="s">
        <v>41</v>
      </c>
      <c r="M92" t="s">
        <v>57</v>
      </c>
      <c r="N92" t="s">
        <v>554</v>
      </c>
      <c r="O92" t="s">
        <v>50</v>
      </c>
      <c r="P92">
        <v>8</v>
      </c>
      <c r="Q92">
        <v>386.1</v>
      </c>
      <c r="R92">
        <v>0.1</v>
      </c>
      <c r="S92">
        <f>IF(ISNUMBER(SEARCH("%",R92)), VALUE(SUBSTITUTE(R92,"%",""))/100,IF(ISNUMBER(R92), R92, 0))</f>
        <v>0.1</v>
      </c>
      <c r="T92" t="str">
        <f>IF(S92&lt;0,"Negative discount (invalid)",IF(S92&gt;0.5,"Discount above allowed range (invalid)",IF(AND(R92="",S92=0),"Missing discount set to 0","OK")))</f>
        <v>OK</v>
      </c>
      <c r="U92">
        <v>2779.92</v>
      </c>
      <c r="V92">
        <v>1744.05</v>
      </c>
      <c r="W92">
        <v>1035.8699999999999</v>
      </c>
      <c r="X92" t="s">
        <v>32</v>
      </c>
      <c r="Y92" t="s">
        <v>33</v>
      </c>
      <c r="Z92">
        <f>IF(T92="OK",P92*Q92*(1-S92),"invalid")</f>
        <v>2779.92</v>
      </c>
      <c r="AA92">
        <f>IF(Z92="N/A","N/A",Z92-V92)</f>
        <v>1035.8700000000001</v>
      </c>
      <c r="AB92" s="8">
        <f>IF(Z92&lt;&gt;"N/A", AA92/Z92, "N/A")</f>
        <v>0.37262583095916435</v>
      </c>
      <c r="AC92">
        <f>MONTH(B92)</f>
        <v>12</v>
      </c>
      <c r="AD92">
        <f>YEAR(B92)</f>
        <v>2024</v>
      </c>
      <c r="AE92" s="10">
        <f t="shared" si="1"/>
        <v>0</v>
      </c>
      <c r="AF92" t="s">
        <v>2804</v>
      </c>
      <c r="AG92" t="s">
        <v>2811</v>
      </c>
    </row>
    <row r="93" spans="1:33">
      <c r="A93" t="s">
        <v>558</v>
      </c>
      <c r="B93" s="4">
        <v>45321</v>
      </c>
      <c r="C93" s="4">
        <v>45321</v>
      </c>
      <c r="D93">
        <f>_xlfn.DAYS(C93,B93)</f>
        <v>0</v>
      </c>
      <c r="E93" t="s">
        <v>2804</v>
      </c>
      <c r="F93" t="s">
        <v>559</v>
      </c>
      <c r="G93" t="s">
        <v>128</v>
      </c>
      <c r="H93" t="s">
        <v>37</v>
      </c>
      <c r="I93" t="s">
        <v>63</v>
      </c>
      <c r="J93" t="s">
        <v>26</v>
      </c>
      <c r="K93" t="s">
        <v>109</v>
      </c>
      <c r="L93" t="s">
        <v>74</v>
      </c>
      <c r="M93" t="s">
        <v>80</v>
      </c>
      <c r="N93" t="s">
        <v>560</v>
      </c>
      <c r="O93" t="s">
        <v>44</v>
      </c>
      <c r="P93">
        <v>7</v>
      </c>
      <c r="Q93">
        <v>2527.61</v>
      </c>
      <c r="R93">
        <v>0.25</v>
      </c>
      <c r="S93">
        <f>IF(ISNUMBER(SEARCH("%",R93)), VALUE(SUBSTITUTE(R93,"%",""))/100,IF(ISNUMBER(R93), R93, 0))</f>
        <v>0.25</v>
      </c>
      <c r="T93" t="str">
        <f>IF(S93&lt;0,"Negative discount (invalid)",IF(S93&gt;0.5,"Discount above allowed range (invalid)",IF(AND(R93="",S93=0),"Missing discount set to 0","OK")))</f>
        <v>OK</v>
      </c>
      <c r="U93">
        <v>13269.95</v>
      </c>
      <c r="V93">
        <v>8977.1</v>
      </c>
      <c r="W93">
        <v>4292.8500000000004</v>
      </c>
      <c r="X93" t="s">
        <v>32</v>
      </c>
      <c r="Y93" t="s">
        <v>33</v>
      </c>
      <c r="Z93">
        <f>IF(T93="OK",P93*Q93*(1-S93),"invalid")</f>
        <v>13269.952499999999</v>
      </c>
      <c r="AA93">
        <f>IF(Z93="N/A","N/A",Z93-V93)</f>
        <v>4292.8524999999991</v>
      </c>
      <c r="AB93" s="8">
        <f>IF(Z93&lt;&gt;"N/A", AA93/Z93, "N/A")</f>
        <v>0.32350172315989822</v>
      </c>
      <c r="AC93">
        <f>MONTH(B93)</f>
        <v>1</v>
      </c>
      <c r="AD93">
        <f>YEAR(B93)</f>
        <v>2024</v>
      </c>
      <c r="AE93" s="10">
        <f t="shared" si="1"/>
        <v>2.4999999986903276E-3</v>
      </c>
      <c r="AF93" t="s">
        <v>2804</v>
      </c>
      <c r="AG93" t="s">
        <v>2811</v>
      </c>
    </row>
    <row r="94" spans="1:33">
      <c r="A94" t="s">
        <v>561</v>
      </c>
      <c r="B94" s="4">
        <v>45355</v>
      </c>
      <c r="C94" s="4">
        <v>45363</v>
      </c>
      <c r="D94">
        <f>_xlfn.DAYS(C94,B94)</f>
        <v>8</v>
      </c>
      <c r="E94" t="s">
        <v>2804</v>
      </c>
      <c r="F94" t="s">
        <v>562</v>
      </c>
      <c r="G94" t="s">
        <v>53</v>
      </c>
      <c r="H94" t="s">
        <v>24</v>
      </c>
      <c r="I94" t="s">
        <v>2785</v>
      </c>
      <c r="J94" t="s">
        <v>180</v>
      </c>
      <c r="K94" t="s">
        <v>181</v>
      </c>
      <c r="L94" t="s">
        <v>41</v>
      </c>
      <c r="M94" t="s">
        <v>158</v>
      </c>
      <c r="N94" t="s">
        <v>563</v>
      </c>
      <c r="O94" t="s">
        <v>50</v>
      </c>
      <c r="P94">
        <v>1</v>
      </c>
      <c r="Q94">
        <v>1554.12</v>
      </c>
      <c r="R94">
        <v>0.1</v>
      </c>
      <c r="S94">
        <f>IF(ISNUMBER(SEARCH("%",R94)), VALUE(SUBSTITUTE(R94,"%",""))/100,IF(ISNUMBER(R94), R94, 0))</f>
        <v>0.1</v>
      </c>
      <c r="T94" t="str">
        <f>IF(S94&lt;0,"Negative discount (invalid)",IF(S94&gt;0.5,"Discount above allowed range (invalid)",IF(AND(R94="",S94=0),"Missing discount set to 0","OK")))</f>
        <v>OK</v>
      </c>
      <c r="U94">
        <v>1398.71</v>
      </c>
      <c r="V94">
        <v>1056.92</v>
      </c>
      <c r="W94">
        <v>341.79</v>
      </c>
      <c r="X94" t="s">
        <v>32</v>
      </c>
      <c r="Y94" t="s">
        <v>33</v>
      </c>
      <c r="Z94">
        <f>IF(T94="OK",P94*Q94*(1-S94),"invalid")</f>
        <v>1398.7079999999999</v>
      </c>
      <c r="AA94">
        <f>IF(Z94="N/A","N/A",Z94-V94)</f>
        <v>341.78799999999978</v>
      </c>
      <c r="AB94" s="8">
        <f>IF(Z94&lt;&gt;"N/A", AA94/Z94, "N/A")</f>
        <v>0.24435979489643286</v>
      </c>
      <c r="AC94">
        <f>MONTH(B94)</f>
        <v>3</v>
      </c>
      <c r="AD94">
        <f>YEAR(B94)</f>
        <v>2024</v>
      </c>
      <c r="AE94" s="10">
        <f t="shared" si="1"/>
        <v>2.00000000018008E-3</v>
      </c>
      <c r="AF94" t="s">
        <v>2799</v>
      </c>
      <c r="AG94" t="s">
        <v>2798</v>
      </c>
    </row>
    <row r="95" spans="1:33">
      <c r="A95" t="s">
        <v>564</v>
      </c>
      <c r="B95" s="4">
        <v>45470</v>
      </c>
      <c r="C95" s="4">
        <v>45470</v>
      </c>
      <c r="D95">
        <f>_xlfn.DAYS(C95,B95)</f>
        <v>0</v>
      </c>
      <c r="E95" t="s">
        <v>2804</v>
      </c>
      <c r="F95" t="s">
        <v>565</v>
      </c>
      <c r="G95" t="s">
        <v>79</v>
      </c>
      <c r="H95" t="s">
        <v>95</v>
      </c>
      <c r="I95" t="s">
        <v>2785</v>
      </c>
      <c r="J95" t="s">
        <v>72</v>
      </c>
      <c r="K95" t="s">
        <v>73</v>
      </c>
      <c r="L95" t="s">
        <v>74</v>
      </c>
      <c r="M95" t="s">
        <v>80</v>
      </c>
      <c r="N95" t="s">
        <v>566</v>
      </c>
      <c r="O95" t="s">
        <v>59</v>
      </c>
      <c r="P95">
        <v>2</v>
      </c>
      <c r="Q95">
        <v>3859.11</v>
      </c>
      <c r="R95">
        <v>0</v>
      </c>
      <c r="S95">
        <f>IF(ISNUMBER(SEARCH("%",R95)), VALUE(SUBSTITUTE(R95,"%",""))/100,IF(ISNUMBER(R95), R95, 0))</f>
        <v>0</v>
      </c>
      <c r="T95" t="str">
        <f>IF(S95&lt;0,"Negative discount (invalid)",IF(S95&gt;0.5,"Discount above allowed range (invalid)",IF(AND(R95="",S95=0),"Missing discount set to 0","OK")))</f>
        <v>OK</v>
      </c>
      <c r="U95">
        <v>7718.22</v>
      </c>
      <c r="V95">
        <v>5355.93</v>
      </c>
      <c r="W95">
        <v>2362.29</v>
      </c>
      <c r="X95" t="s">
        <v>111</v>
      </c>
      <c r="Y95" t="s">
        <v>103</v>
      </c>
      <c r="Z95">
        <f>IF(T95="OK",P95*Q95*(1-S95),"invalid")</f>
        <v>7718.22</v>
      </c>
      <c r="AA95">
        <f>IF(Z95="N/A","N/A",Z95-V95)</f>
        <v>2362.29</v>
      </c>
      <c r="AB95" s="8">
        <f>IF(Z95&lt;&gt;"N/A", AA95/Z95, "N/A")</f>
        <v>0.30606668376905555</v>
      </c>
      <c r="AC95">
        <f>MONTH(B95)</f>
        <v>6</v>
      </c>
      <c r="AD95">
        <f>YEAR(B95)</f>
        <v>2024</v>
      </c>
      <c r="AE95" s="10">
        <f t="shared" si="1"/>
        <v>0</v>
      </c>
      <c r="AF95" t="s">
        <v>2799</v>
      </c>
      <c r="AG95" t="s">
        <v>2798</v>
      </c>
    </row>
    <row r="96" spans="1:33">
      <c r="A96" t="s">
        <v>567</v>
      </c>
      <c r="B96" s="4">
        <v>45457</v>
      </c>
      <c r="C96" s="4">
        <v>45460</v>
      </c>
      <c r="D96">
        <f>_xlfn.DAYS(C96,B96)</f>
        <v>3</v>
      </c>
      <c r="E96" t="s">
        <v>2804</v>
      </c>
      <c r="F96" t="s">
        <v>568</v>
      </c>
      <c r="G96" t="s">
        <v>264</v>
      </c>
      <c r="H96" t="s">
        <v>37</v>
      </c>
      <c r="I96" t="s">
        <v>54</v>
      </c>
      <c r="J96" t="s">
        <v>185</v>
      </c>
      <c r="K96" t="s">
        <v>186</v>
      </c>
      <c r="L96" t="s">
        <v>41</v>
      </c>
      <c r="M96" t="s">
        <v>42</v>
      </c>
      <c r="N96" t="s">
        <v>569</v>
      </c>
      <c r="O96" t="s">
        <v>31</v>
      </c>
      <c r="P96">
        <v>6</v>
      </c>
      <c r="Q96">
        <v>1088.04</v>
      </c>
      <c r="R96">
        <v>0.1</v>
      </c>
      <c r="S96">
        <f>IF(ISNUMBER(SEARCH("%",R96)), VALUE(SUBSTITUTE(R96,"%",""))/100,IF(ISNUMBER(R96), R96, 0))</f>
        <v>0.1</v>
      </c>
      <c r="T96" t="str">
        <f>IF(S96&lt;0,"Negative discount (invalid)",IF(S96&gt;0.5,"Discount above allowed range (invalid)",IF(AND(R96="",S96=0),"Missing discount set to 0","OK")))</f>
        <v>OK</v>
      </c>
      <c r="U96">
        <v>5875.42</v>
      </c>
      <c r="V96">
        <v>4380.55</v>
      </c>
      <c r="W96">
        <v>1494.87</v>
      </c>
      <c r="X96" t="s">
        <v>111</v>
      </c>
      <c r="Y96" t="s">
        <v>103</v>
      </c>
      <c r="Z96">
        <f>IF(T96="OK",P96*Q96*(1-S96),"invalid")</f>
        <v>5875.4160000000002</v>
      </c>
      <c r="AA96">
        <f>IF(Z96="N/A","N/A",Z96-V96)</f>
        <v>1494.866</v>
      </c>
      <c r="AB96" s="8">
        <f>IF(Z96&lt;&gt;"N/A", AA96/Z96, "N/A")</f>
        <v>0.25442726098032886</v>
      </c>
      <c r="AC96">
        <f>MONTH(B96)</f>
        <v>6</v>
      </c>
      <c r="AD96">
        <f>YEAR(B96)</f>
        <v>2024</v>
      </c>
      <c r="AE96" s="10">
        <f t="shared" si="1"/>
        <v>3.9999999999054126E-3</v>
      </c>
      <c r="AF96" t="s">
        <v>2804</v>
      </c>
      <c r="AG96" t="s">
        <v>2811</v>
      </c>
    </row>
    <row r="97" spans="1:33">
      <c r="A97" t="s">
        <v>573</v>
      </c>
      <c r="B97" s="4">
        <v>45334</v>
      </c>
      <c r="C97" s="4">
        <v>45333</v>
      </c>
      <c r="D97">
        <f>_xlfn.DAYS(C97,B97)</f>
        <v>-1</v>
      </c>
      <c r="E97" t="str">
        <f>IF(B97="INVALID","Missing/Invalid order_date", IF(C97="INVALID","Missing/Invalid ship_date",IF(AND(B97&lt;&gt;"",C97&lt;&gt;"",C97&lt;B97),"Ship date before order date","")))</f>
        <v>Ship date before order date</v>
      </c>
      <c r="F97" t="s">
        <v>455</v>
      </c>
      <c r="G97" t="s">
        <v>114</v>
      </c>
      <c r="H97" t="s">
        <v>24</v>
      </c>
      <c r="I97" t="s">
        <v>54</v>
      </c>
      <c r="J97" t="s">
        <v>247</v>
      </c>
      <c r="K97" t="s">
        <v>248</v>
      </c>
      <c r="L97" t="s">
        <v>41</v>
      </c>
      <c r="M97" t="s">
        <v>158</v>
      </c>
      <c r="N97" t="s">
        <v>574</v>
      </c>
      <c r="O97" t="s">
        <v>44</v>
      </c>
      <c r="P97">
        <v>1</v>
      </c>
      <c r="Q97">
        <v>2599.12</v>
      </c>
      <c r="R97">
        <v>0.15</v>
      </c>
      <c r="S97">
        <f>IF(ISNUMBER(SEARCH("%",R97)), VALUE(SUBSTITUTE(R97,"%",""))/100,IF(ISNUMBER(R97), R97, 0))</f>
        <v>0.15</v>
      </c>
      <c r="T97" t="str">
        <f>IF(S97&lt;0,"Negative discount (invalid)",IF(S97&gt;0.5,"Discount above allowed range (invalid)",IF(AND(R97="",S97=0),"Missing discount set to 0","OK")))</f>
        <v>OK</v>
      </c>
      <c r="U97">
        <v>2209.25</v>
      </c>
      <c r="V97">
        <v>1523.78</v>
      </c>
      <c r="W97">
        <v>685.47</v>
      </c>
      <c r="X97" t="s">
        <v>32</v>
      </c>
      <c r="Y97" t="s">
        <v>33</v>
      </c>
      <c r="Z97">
        <f>IF(T97="OK",P97*Q97*(1-S97),"invalid")</f>
        <v>2209.252</v>
      </c>
      <c r="AA97">
        <f>IF(Z97="N/A","N/A",Z97-V97)</f>
        <v>685.47199999999998</v>
      </c>
      <c r="AB97" s="8">
        <f>IF(Z97&lt;&gt;"N/A", AA97/Z97, "N/A")</f>
        <v>0.31027334138432372</v>
      </c>
      <c r="AC97">
        <f>MONTH(B97)</f>
        <v>2</v>
      </c>
      <c r="AD97">
        <f>YEAR(B97)</f>
        <v>2024</v>
      </c>
      <c r="AE97" s="10">
        <f t="shared" si="1"/>
        <v>1.9999999999527063E-3</v>
      </c>
      <c r="AF97" t="s">
        <v>2806</v>
      </c>
      <c r="AG97" t="s">
        <v>2789</v>
      </c>
    </row>
    <row r="98" spans="1:33">
      <c r="A98" t="s">
        <v>581</v>
      </c>
      <c r="B98" s="4">
        <v>45587</v>
      </c>
      <c r="C98" s="4">
        <v>45589</v>
      </c>
      <c r="D98">
        <f>_xlfn.DAYS(C98,B98)</f>
        <v>2</v>
      </c>
      <c r="E98" t="s">
        <v>2804</v>
      </c>
      <c r="F98" t="s">
        <v>582</v>
      </c>
      <c r="G98" t="s">
        <v>141</v>
      </c>
      <c r="H98" t="s">
        <v>37</v>
      </c>
      <c r="I98" t="s">
        <v>54</v>
      </c>
      <c r="J98" t="s">
        <v>84</v>
      </c>
      <c r="K98" t="s">
        <v>85</v>
      </c>
      <c r="L98" t="s">
        <v>41</v>
      </c>
      <c r="M98" t="s">
        <v>158</v>
      </c>
      <c r="N98" t="s">
        <v>583</v>
      </c>
      <c r="O98" t="s">
        <v>59</v>
      </c>
      <c r="P98">
        <v>3</v>
      </c>
      <c r="Q98">
        <v>915.84</v>
      </c>
      <c r="R98">
        <v>0.15</v>
      </c>
      <c r="S98">
        <f>IF(ISNUMBER(SEARCH("%",R98)), VALUE(SUBSTITUTE(R98,"%",""))/100,IF(ISNUMBER(R98), R98, 0))</f>
        <v>0.15</v>
      </c>
      <c r="T98" t="str">
        <f>IF(S98&lt;0,"Negative discount (invalid)",IF(S98&gt;0.5,"Discount above allowed range (invalid)",IF(AND(R98="",S98=0),"Missing discount set to 0","OK")))</f>
        <v>OK</v>
      </c>
      <c r="U98">
        <v>2335.39</v>
      </c>
      <c r="V98">
        <v>1466.15</v>
      </c>
      <c r="W98">
        <v>869.24</v>
      </c>
      <c r="X98" t="s">
        <v>32</v>
      </c>
      <c r="Y98" t="s">
        <v>33</v>
      </c>
      <c r="Z98">
        <f>IF(T98="OK",P98*Q98*(1-S98),"invalid")</f>
        <v>2335.3919999999998</v>
      </c>
      <c r="AA98">
        <f>IF(Z98="N/A","N/A",Z98-V98)</f>
        <v>869.24199999999973</v>
      </c>
      <c r="AB98" s="8">
        <f>IF(Z98&lt;&gt;"N/A", AA98/Z98, "N/A")</f>
        <v>0.3722038955344541</v>
      </c>
      <c r="AC98">
        <f>MONTH(B98)</f>
        <v>10</v>
      </c>
      <c r="AD98">
        <f>YEAR(B98)</f>
        <v>2024</v>
      </c>
      <c r="AE98" s="10">
        <f t="shared" si="1"/>
        <v>1.9999999999527063E-3</v>
      </c>
      <c r="AF98" t="s">
        <v>2804</v>
      </c>
      <c r="AG98" t="s">
        <v>2811</v>
      </c>
    </row>
    <row r="99" spans="1:33">
      <c r="A99" t="s">
        <v>584</v>
      </c>
      <c r="B99" s="4">
        <v>45544</v>
      </c>
      <c r="C99" s="4">
        <v>45546</v>
      </c>
      <c r="D99">
        <f>_xlfn.DAYS(C99,B99)</f>
        <v>2</v>
      </c>
      <c r="E99" t="s">
        <v>2804</v>
      </c>
      <c r="F99" t="s">
        <v>585</v>
      </c>
      <c r="G99" t="s">
        <v>79</v>
      </c>
      <c r="H99" t="s">
        <v>95</v>
      </c>
      <c r="I99" t="s">
        <v>54</v>
      </c>
      <c r="J99" t="s">
        <v>55</v>
      </c>
      <c r="K99" t="s">
        <v>56</v>
      </c>
      <c r="L99" t="s">
        <v>41</v>
      </c>
      <c r="M99" t="s">
        <v>158</v>
      </c>
      <c r="N99" t="s">
        <v>586</v>
      </c>
      <c r="O99" t="s">
        <v>50</v>
      </c>
      <c r="P99">
        <v>1</v>
      </c>
      <c r="Q99">
        <v>4199.54</v>
      </c>
      <c r="R99">
        <v>0.05</v>
      </c>
      <c r="S99">
        <f>IF(ISNUMBER(SEARCH("%",R99)), VALUE(SUBSTITUTE(R99,"%",""))/100,IF(ISNUMBER(R99), R99, 0))</f>
        <v>0.05</v>
      </c>
      <c r="T99" t="str">
        <f>IF(S99&lt;0,"Negative discount (invalid)",IF(S99&gt;0.5,"Discount above allowed range (invalid)",IF(AND(R99="",S99=0),"Missing discount set to 0","OK")))</f>
        <v>OK</v>
      </c>
      <c r="U99">
        <v>3989.56</v>
      </c>
      <c r="V99">
        <v>2381.38</v>
      </c>
      <c r="W99">
        <v>1608.18</v>
      </c>
      <c r="X99" t="s">
        <v>32</v>
      </c>
      <c r="Y99" t="s">
        <v>33</v>
      </c>
      <c r="Z99">
        <f>IF(T99="OK",P99*Q99*(1-S99),"invalid")</f>
        <v>3989.5629999999996</v>
      </c>
      <c r="AA99">
        <f>IF(Z99="N/A","N/A",Z99-V99)</f>
        <v>1608.1829999999995</v>
      </c>
      <c r="AB99" s="8">
        <f>IF(Z99&lt;&gt;"N/A", AA99/Z99, "N/A")</f>
        <v>0.40309753223598666</v>
      </c>
      <c r="AC99">
        <f>MONTH(B99)</f>
        <v>9</v>
      </c>
      <c r="AD99">
        <f>YEAR(B99)</f>
        <v>2024</v>
      </c>
      <c r="AE99" s="10">
        <f t="shared" si="1"/>
        <v>2.9999999997016857E-3</v>
      </c>
      <c r="AF99" t="s">
        <v>2804</v>
      </c>
      <c r="AG99" t="s">
        <v>2811</v>
      </c>
    </row>
    <row r="100" spans="1:33">
      <c r="A100" t="s">
        <v>596</v>
      </c>
      <c r="B100" s="4">
        <v>45360</v>
      </c>
      <c r="C100" s="4">
        <v>45365</v>
      </c>
      <c r="D100">
        <f>_xlfn.DAYS(C100,B100)</f>
        <v>5</v>
      </c>
      <c r="E100" t="s">
        <v>2804</v>
      </c>
      <c r="F100" t="s">
        <v>597</v>
      </c>
      <c r="G100" t="s">
        <v>79</v>
      </c>
      <c r="H100" t="s">
        <v>37</v>
      </c>
      <c r="I100" t="s">
        <v>63</v>
      </c>
      <c r="J100" t="s">
        <v>190</v>
      </c>
      <c r="K100" t="s">
        <v>191</v>
      </c>
      <c r="L100" t="s">
        <v>41</v>
      </c>
      <c r="M100" t="s">
        <v>57</v>
      </c>
      <c r="N100" t="s">
        <v>598</v>
      </c>
      <c r="O100" t="s">
        <v>31</v>
      </c>
      <c r="P100">
        <v>8</v>
      </c>
      <c r="Q100">
        <v>4472.84</v>
      </c>
      <c r="R100">
        <v>0</v>
      </c>
      <c r="S100">
        <f>IF(ISNUMBER(SEARCH("%",R100)), VALUE(SUBSTITUTE(R100,"%",""))/100,IF(ISNUMBER(R100), R100, 0))</f>
        <v>0</v>
      </c>
      <c r="T100" t="str">
        <f>IF(S100&lt;0,"Negative discount (invalid)",IF(S100&gt;0.5,"Discount above allowed range (invalid)",IF(AND(R100="",S100=0),"Missing discount set to 0","OK")))</f>
        <v>OK</v>
      </c>
      <c r="U100">
        <v>35997.620000000003</v>
      </c>
      <c r="V100">
        <v>26424.41</v>
      </c>
      <c r="W100">
        <v>9358.31</v>
      </c>
      <c r="X100" t="s">
        <v>111</v>
      </c>
      <c r="Y100" t="s">
        <v>103</v>
      </c>
      <c r="Z100">
        <f>IF(T100="OK",P100*Q100*(1-S100),"invalid")</f>
        <v>35782.720000000001</v>
      </c>
      <c r="AA100">
        <f>IF(Z100="N/A","N/A",Z100-V100)</f>
        <v>9358.3100000000013</v>
      </c>
      <c r="AB100" s="8">
        <f>IF(Z100&lt;&gt;"N/A", AA100/Z100, "N/A")</f>
        <v>0.2615315437171909</v>
      </c>
      <c r="AC100">
        <f>MONTH(B100)</f>
        <v>3</v>
      </c>
      <c r="AD100">
        <f>YEAR(B100)</f>
        <v>2024</v>
      </c>
      <c r="AE100" s="10">
        <f t="shared" si="1"/>
        <v>214.90000000000146</v>
      </c>
      <c r="AF100" t="s">
        <v>2807</v>
      </c>
      <c r="AG100" t="s">
        <v>2789</v>
      </c>
    </row>
    <row r="101" spans="1:33">
      <c r="A101" t="s">
        <v>605</v>
      </c>
      <c r="B101" s="4">
        <v>45618</v>
      </c>
      <c r="C101" s="4">
        <v>45625</v>
      </c>
      <c r="D101">
        <f>_xlfn.DAYS(C101,B101)</f>
        <v>7</v>
      </c>
      <c r="E101" t="s">
        <v>2804</v>
      </c>
      <c r="F101" t="s">
        <v>606</v>
      </c>
      <c r="G101" t="s">
        <v>36</v>
      </c>
      <c r="H101" t="s">
        <v>95</v>
      </c>
      <c r="I101" t="s">
        <v>38</v>
      </c>
      <c r="J101" t="s">
        <v>145</v>
      </c>
      <c r="K101" t="s">
        <v>146</v>
      </c>
      <c r="L101" t="s">
        <v>41</v>
      </c>
      <c r="M101" t="s">
        <v>66</v>
      </c>
      <c r="N101" t="s">
        <v>607</v>
      </c>
      <c r="O101" t="s">
        <v>59</v>
      </c>
      <c r="P101">
        <v>4</v>
      </c>
      <c r="Q101">
        <v>3422.99</v>
      </c>
      <c r="R101">
        <v>0.25</v>
      </c>
      <c r="S101">
        <f>IF(ISNUMBER(SEARCH("%",R101)), VALUE(SUBSTITUTE(R101,"%",""))/100,IF(ISNUMBER(R101), R101, 0))</f>
        <v>0.25</v>
      </c>
      <c r="T101" t="str">
        <f>IF(S101&lt;0,"Negative discount (invalid)",IF(S101&gt;0.5,"Discount above allowed range (invalid)",IF(AND(R101="",S101=0),"Missing discount set to 0","OK")))</f>
        <v>OK</v>
      </c>
      <c r="U101">
        <v>10268.969999999999</v>
      </c>
      <c r="V101">
        <v>6470.92</v>
      </c>
      <c r="W101">
        <v>3798.05</v>
      </c>
      <c r="X101" t="s">
        <v>32</v>
      </c>
      <c r="Y101" t="s">
        <v>33</v>
      </c>
      <c r="Z101">
        <f>IF(T101="OK",P101*Q101*(1-S101),"invalid")</f>
        <v>10268.969999999999</v>
      </c>
      <c r="AA101">
        <f>IF(Z101="N/A","N/A",Z101-V101)</f>
        <v>3798.0499999999993</v>
      </c>
      <c r="AB101" s="8">
        <f>IF(Z101&lt;&gt;"N/A", AA101/Z101, "N/A")</f>
        <v>0.36985695741637181</v>
      </c>
      <c r="AC101">
        <f>MONTH(B101)</f>
        <v>11</v>
      </c>
      <c r="AD101">
        <f>YEAR(B101)</f>
        <v>2024</v>
      </c>
      <c r="AE101" s="10">
        <f t="shared" si="1"/>
        <v>0</v>
      </c>
      <c r="AF101" t="s">
        <v>2804</v>
      </c>
      <c r="AG101" t="s">
        <v>2811</v>
      </c>
    </row>
    <row r="102" spans="1:33">
      <c r="A102" t="s">
        <v>629</v>
      </c>
      <c r="B102" s="4">
        <v>45414</v>
      </c>
      <c r="C102" s="4">
        <v>45420</v>
      </c>
      <c r="D102">
        <f>_xlfn.DAYS(C102,B102)</f>
        <v>6</v>
      </c>
      <c r="E102" t="s">
        <v>2804</v>
      </c>
      <c r="F102" t="s">
        <v>630</v>
      </c>
      <c r="G102" t="s">
        <v>114</v>
      </c>
      <c r="H102" t="s">
        <v>95</v>
      </c>
      <c r="I102" t="s">
        <v>25</v>
      </c>
      <c r="J102" t="s">
        <v>122</v>
      </c>
      <c r="K102" t="s">
        <v>123</v>
      </c>
      <c r="L102" t="s">
        <v>74</v>
      </c>
      <c r="M102" t="s">
        <v>80</v>
      </c>
      <c r="N102" t="s">
        <v>631</v>
      </c>
      <c r="O102" t="s">
        <v>31</v>
      </c>
      <c r="P102">
        <v>1</v>
      </c>
      <c r="Q102">
        <v>2312.25</v>
      </c>
      <c r="R102">
        <v>0.25</v>
      </c>
      <c r="S102">
        <f>IF(ISNUMBER(SEARCH("%",R102)), VALUE(SUBSTITUTE(R102,"%",""))/100,IF(ISNUMBER(R102), R102, 0))</f>
        <v>0.25</v>
      </c>
      <c r="T102" t="str">
        <f>IF(S102&lt;0,"Negative discount (invalid)",IF(S102&gt;0.5,"Discount above allowed range (invalid)",IF(AND(R102="",S102=0),"Missing discount set to 0","OK")))</f>
        <v>OK</v>
      </c>
      <c r="U102">
        <v>1734.19</v>
      </c>
      <c r="V102">
        <v>1386.07</v>
      </c>
      <c r="W102">
        <v>348.12</v>
      </c>
      <c r="X102" t="s">
        <v>32</v>
      </c>
      <c r="Y102" t="s">
        <v>33</v>
      </c>
      <c r="Z102">
        <f>IF(T102="OK",P102*Q102*(1-S102),"invalid")</f>
        <v>1734.1875</v>
      </c>
      <c r="AA102">
        <f>IF(Z102="N/A","N/A",Z102-V102)</f>
        <v>348.11750000000006</v>
      </c>
      <c r="AB102" s="8">
        <f>IF(Z102&lt;&gt;"N/A", AA102/Z102, "N/A")</f>
        <v>0.20073809781237614</v>
      </c>
      <c r="AC102">
        <f>MONTH(B102)</f>
        <v>5</v>
      </c>
      <c r="AD102">
        <f>YEAR(B102)</f>
        <v>2024</v>
      </c>
      <c r="AE102" s="10">
        <f t="shared" si="1"/>
        <v>2.5000000000545697E-3</v>
      </c>
      <c r="AF102" t="s">
        <v>2804</v>
      </c>
      <c r="AG102" t="s">
        <v>2811</v>
      </c>
    </row>
    <row r="103" spans="1:33">
      <c r="A103" t="s">
        <v>635</v>
      </c>
      <c r="B103" s="4">
        <v>45318</v>
      </c>
      <c r="C103" s="4">
        <v>45325</v>
      </c>
      <c r="D103">
        <f>_xlfn.DAYS(C103,B103)</f>
        <v>7</v>
      </c>
      <c r="E103" t="s">
        <v>2804</v>
      </c>
      <c r="F103" t="s">
        <v>636</v>
      </c>
      <c r="G103" t="s">
        <v>53</v>
      </c>
      <c r="H103" t="s">
        <v>37</v>
      </c>
      <c r="I103" t="s">
        <v>38</v>
      </c>
      <c r="J103" t="s">
        <v>145</v>
      </c>
      <c r="K103" t="s">
        <v>146</v>
      </c>
      <c r="L103" t="s">
        <v>74</v>
      </c>
      <c r="M103" t="s">
        <v>274</v>
      </c>
      <c r="N103" t="s">
        <v>637</v>
      </c>
      <c r="O103" t="s">
        <v>44</v>
      </c>
      <c r="P103">
        <v>7</v>
      </c>
      <c r="Q103">
        <v>2673.42</v>
      </c>
      <c r="R103">
        <v>0.15</v>
      </c>
      <c r="S103">
        <f>IF(ISNUMBER(SEARCH("%",R103)), VALUE(SUBSTITUTE(R103,"%",""))/100,IF(ISNUMBER(R103), R103, 0))</f>
        <v>0.15</v>
      </c>
      <c r="T103" t="str">
        <f>IF(S103&lt;0,"Negative discount (invalid)",IF(S103&gt;0.5,"Discount above allowed range (invalid)",IF(AND(R103="",S103=0),"Missing discount set to 0","OK")))</f>
        <v>OK</v>
      </c>
      <c r="U103">
        <v>15906.85</v>
      </c>
      <c r="V103">
        <v>11014.46</v>
      </c>
      <c r="W103">
        <v>4892.3900000000003</v>
      </c>
      <c r="X103" t="s">
        <v>32</v>
      </c>
      <c r="Y103" t="s">
        <v>103</v>
      </c>
      <c r="Z103">
        <f>IF(T103="OK",P103*Q103*(1-S103),"invalid")</f>
        <v>15906.849000000002</v>
      </c>
      <c r="AA103">
        <f>IF(Z103="N/A","N/A",Z103-V103)</f>
        <v>4892.3890000000029</v>
      </c>
      <c r="AB103" s="8">
        <f>IF(Z103&lt;&gt;"N/A", AA103/Z103, "N/A")</f>
        <v>0.30756493633654297</v>
      </c>
      <c r="AC103">
        <f>MONTH(B103)</f>
        <v>1</v>
      </c>
      <c r="AD103">
        <f>YEAR(B103)</f>
        <v>2024</v>
      </c>
      <c r="AE103" s="10">
        <f t="shared" si="1"/>
        <v>9.9999999838473741E-4</v>
      </c>
      <c r="AF103" t="s">
        <v>2804</v>
      </c>
      <c r="AG103" t="s">
        <v>2811</v>
      </c>
    </row>
    <row r="104" spans="1:33">
      <c r="A104" t="s">
        <v>641</v>
      </c>
      <c r="B104" s="4">
        <v>45444</v>
      </c>
      <c r="C104" s="4">
        <v>45446</v>
      </c>
      <c r="D104">
        <f>_xlfn.DAYS(C104,B104)</f>
        <v>2</v>
      </c>
      <c r="E104" t="s">
        <v>2804</v>
      </c>
      <c r="F104" t="s">
        <v>642</v>
      </c>
      <c r="G104" t="s">
        <v>132</v>
      </c>
      <c r="H104" t="s">
        <v>95</v>
      </c>
      <c r="I104" t="s">
        <v>2785</v>
      </c>
      <c r="J104" t="s">
        <v>145</v>
      </c>
      <c r="K104" t="s">
        <v>146</v>
      </c>
      <c r="L104" t="s">
        <v>28</v>
      </c>
      <c r="M104" t="s">
        <v>48</v>
      </c>
      <c r="N104" t="s">
        <v>643</v>
      </c>
      <c r="O104" t="s">
        <v>44</v>
      </c>
      <c r="P104">
        <v>8</v>
      </c>
      <c r="Q104">
        <v>3879.95</v>
      </c>
      <c r="R104">
        <v>0</v>
      </c>
      <c r="S104">
        <f>IF(ISNUMBER(SEARCH("%",R104)), VALUE(SUBSTITUTE(R104,"%",""))/100,IF(ISNUMBER(R104), R104, 0))</f>
        <v>0</v>
      </c>
      <c r="T104" t="str">
        <f>IF(S104&lt;0,"Negative discount (invalid)",IF(S104&gt;0.5,"Discount above allowed range (invalid)",IF(AND(R104="",S104=0),"Missing discount set to 0","OK")))</f>
        <v>OK</v>
      </c>
      <c r="U104">
        <v>31039.599999999999</v>
      </c>
      <c r="V104">
        <v>20866.72</v>
      </c>
      <c r="W104">
        <v>10172.879999999999</v>
      </c>
      <c r="X104" t="s">
        <v>32</v>
      </c>
      <c r="Y104" t="s">
        <v>33</v>
      </c>
      <c r="Z104">
        <f>IF(T104="OK",P104*Q104*(1-S104),"invalid")</f>
        <v>31039.599999999999</v>
      </c>
      <c r="AA104">
        <f>IF(Z104="N/A","N/A",Z104-V104)</f>
        <v>10172.879999999997</v>
      </c>
      <c r="AB104" s="8">
        <f>IF(Z104&lt;&gt;"N/A", AA104/Z104, "N/A")</f>
        <v>0.32773875952009685</v>
      </c>
      <c r="AC104">
        <f>MONTH(B104)</f>
        <v>6</v>
      </c>
      <c r="AD104">
        <f>YEAR(B104)</f>
        <v>2024</v>
      </c>
      <c r="AE104" s="10">
        <f t="shared" si="1"/>
        <v>0</v>
      </c>
      <c r="AF104" t="s">
        <v>2799</v>
      </c>
      <c r="AG104" t="s">
        <v>2798</v>
      </c>
    </row>
    <row r="105" spans="1:33">
      <c r="A105" t="s">
        <v>644</v>
      </c>
      <c r="B105" s="4">
        <v>45565</v>
      </c>
      <c r="C105" s="4">
        <v>45565</v>
      </c>
      <c r="D105">
        <f>_xlfn.DAYS(C105,B105)</f>
        <v>0</v>
      </c>
      <c r="E105" t="s">
        <v>2804</v>
      </c>
      <c r="F105" t="s">
        <v>645</v>
      </c>
      <c r="G105" t="s">
        <v>47</v>
      </c>
      <c r="H105" t="s">
        <v>90</v>
      </c>
      <c r="I105" t="s">
        <v>54</v>
      </c>
      <c r="J105" t="s">
        <v>55</v>
      </c>
      <c r="K105" t="s">
        <v>56</v>
      </c>
      <c r="L105" t="s">
        <v>28</v>
      </c>
      <c r="M105" t="s">
        <v>48</v>
      </c>
      <c r="N105" t="s">
        <v>646</v>
      </c>
      <c r="O105" t="s">
        <v>59</v>
      </c>
      <c r="P105">
        <v>4</v>
      </c>
      <c r="Q105">
        <v>3281.74</v>
      </c>
      <c r="R105">
        <v>0</v>
      </c>
      <c r="S105">
        <f>IF(ISNUMBER(SEARCH("%",R105)), VALUE(SUBSTITUTE(R105,"%",""))/100,IF(ISNUMBER(R105), R105, 0))</f>
        <v>0</v>
      </c>
      <c r="T105" t="str">
        <f>IF(S105&lt;0,"Negative discount (invalid)",IF(S105&gt;0.5,"Discount above allowed range (invalid)",IF(AND(R105="",S105=0),"Missing discount set to 0","OK")))</f>
        <v>OK</v>
      </c>
      <c r="U105">
        <v>13126.96</v>
      </c>
      <c r="V105">
        <v>10732.44</v>
      </c>
      <c r="W105">
        <v>2394.52</v>
      </c>
      <c r="X105" t="s">
        <v>32</v>
      </c>
      <c r="Y105" t="s">
        <v>33</v>
      </c>
      <c r="Z105">
        <f>IF(T105="OK",P105*Q105*(1-S105),"invalid")</f>
        <v>13126.96</v>
      </c>
      <c r="AA105">
        <f>IF(Z105="N/A","N/A",Z105-V105)</f>
        <v>2394.5199999999986</v>
      </c>
      <c r="AB105" s="8">
        <f>IF(Z105&lt;&gt;"N/A", AA105/Z105, "N/A")</f>
        <v>0.18241237879905162</v>
      </c>
      <c r="AC105">
        <f>MONTH(B105)</f>
        <v>9</v>
      </c>
      <c r="AD105">
        <f>YEAR(B105)</f>
        <v>2024</v>
      </c>
      <c r="AE105" s="10">
        <f t="shared" si="1"/>
        <v>0</v>
      </c>
      <c r="AF105" t="s">
        <v>2804</v>
      </c>
      <c r="AG105" t="s">
        <v>2811</v>
      </c>
    </row>
    <row r="106" spans="1:33">
      <c r="A106" t="s">
        <v>647</v>
      </c>
      <c r="B106" s="4">
        <v>45366</v>
      </c>
      <c r="C106" s="4">
        <v>45370</v>
      </c>
      <c r="D106">
        <f>_xlfn.DAYS(C106,B106)</f>
        <v>4</v>
      </c>
      <c r="E106" t="s">
        <v>2804</v>
      </c>
      <c r="F106" t="s">
        <v>648</v>
      </c>
      <c r="G106" t="s">
        <v>62</v>
      </c>
      <c r="H106" t="s">
        <v>37</v>
      </c>
      <c r="I106" t="s">
        <v>54</v>
      </c>
      <c r="J106" t="s">
        <v>247</v>
      </c>
      <c r="K106" t="s">
        <v>248</v>
      </c>
      <c r="L106" t="s">
        <v>41</v>
      </c>
      <c r="M106" t="s">
        <v>57</v>
      </c>
      <c r="N106" t="s">
        <v>649</v>
      </c>
      <c r="O106" t="s">
        <v>59</v>
      </c>
      <c r="P106">
        <v>4</v>
      </c>
      <c r="Q106">
        <v>3186.3</v>
      </c>
      <c r="R106">
        <v>0.25</v>
      </c>
      <c r="S106">
        <f>IF(ISNUMBER(SEARCH("%",R106)), VALUE(SUBSTITUTE(R106,"%",""))/100,IF(ISNUMBER(R106), R106, 0))</f>
        <v>0.25</v>
      </c>
      <c r="T106" t="str">
        <f>IF(S106&lt;0,"Negative discount (invalid)",IF(S106&gt;0.5,"Discount above allowed range (invalid)",IF(AND(R106="",S106=0),"Missing discount set to 0","OK")))</f>
        <v>OK</v>
      </c>
      <c r="U106">
        <v>9558.9</v>
      </c>
      <c r="V106">
        <v>5516.76</v>
      </c>
      <c r="W106">
        <v>4042.14</v>
      </c>
      <c r="X106" t="s">
        <v>102</v>
      </c>
      <c r="Y106" t="s">
        <v>103</v>
      </c>
      <c r="Z106">
        <f>IF(T106="OK",P106*Q106*(1-S106),"invalid")</f>
        <v>9558.9000000000015</v>
      </c>
      <c r="AA106">
        <f>IF(Z106="N/A","N/A",Z106-V106)</f>
        <v>4042.1400000000012</v>
      </c>
      <c r="AB106" s="8">
        <f>IF(Z106&lt;&gt;"N/A", AA106/Z106, "N/A")</f>
        <v>0.42286664783604816</v>
      </c>
      <c r="AC106">
        <f>MONTH(B106)</f>
        <v>3</v>
      </c>
      <c r="AD106">
        <f>YEAR(B106)</f>
        <v>2024</v>
      </c>
      <c r="AE106" s="10">
        <f t="shared" si="1"/>
        <v>1.8189894035458565E-12</v>
      </c>
      <c r="AF106" t="s">
        <v>2804</v>
      </c>
      <c r="AG106" t="s">
        <v>2811</v>
      </c>
    </row>
    <row r="107" spans="1:33">
      <c r="A107" t="s">
        <v>650</v>
      </c>
      <c r="B107" s="4">
        <v>45530</v>
      </c>
      <c r="C107" s="4">
        <v>45530</v>
      </c>
      <c r="D107">
        <f>_xlfn.DAYS(C107,B107)</f>
        <v>0</v>
      </c>
      <c r="E107" t="s">
        <v>2804</v>
      </c>
      <c r="F107" t="s">
        <v>651</v>
      </c>
      <c r="G107" t="s">
        <v>36</v>
      </c>
      <c r="H107" t="s">
        <v>95</v>
      </c>
      <c r="I107" t="s">
        <v>25</v>
      </c>
      <c r="J107" t="s">
        <v>136</v>
      </c>
      <c r="K107" t="s">
        <v>137</v>
      </c>
      <c r="L107" t="s">
        <v>28</v>
      </c>
      <c r="M107" t="s">
        <v>153</v>
      </c>
      <c r="N107" t="s">
        <v>652</v>
      </c>
      <c r="O107" t="s">
        <v>50</v>
      </c>
      <c r="P107">
        <v>7</v>
      </c>
      <c r="Q107">
        <v>844.59</v>
      </c>
      <c r="R107">
        <v>0.1</v>
      </c>
      <c r="S107">
        <f>IF(ISNUMBER(SEARCH("%",R107)), VALUE(SUBSTITUTE(R107,"%",""))/100,IF(ISNUMBER(R107), R107, 0))</f>
        <v>0.1</v>
      </c>
      <c r="T107" t="str">
        <f>IF(S107&lt;0,"Negative discount (invalid)",IF(S107&gt;0.5,"Discount above allowed range (invalid)",IF(AND(R107="",S107=0),"Missing discount set to 0","OK")))</f>
        <v>OK</v>
      </c>
      <c r="U107">
        <v>5320.92</v>
      </c>
      <c r="V107">
        <v>3041.5</v>
      </c>
      <c r="W107">
        <v>2279.42</v>
      </c>
      <c r="X107" t="s">
        <v>32</v>
      </c>
      <c r="Y107" t="s">
        <v>33</v>
      </c>
      <c r="Z107">
        <f>IF(T107="OK",P107*Q107*(1-S107),"invalid")</f>
        <v>5320.9170000000004</v>
      </c>
      <c r="AA107">
        <f>IF(Z107="N/A","N/A",Z107-V107)</f>
        <v>2279.4170000000004</v>
      </c>
      <c r="AB107" s="8">
        <f>IF(Z107&lt;&gt;"N/A", AA107/Z107, "N/A")</f>
        <v>0.42838800154183954</v>
      </c>
      <c r="AC107">
        <f>MONTH(B107)</f>
        <v>8</v>
      </c>
      <c r="AD107">
        <f>YEAR(B107)</f>
        <v>2024</v>
      </c>
      <c r="AE107" s="10">
        <f t="shared" si="1"/>
        <v>2.9999999997016857E-3</v>
      </c>
      <c r="AF107" t="s">
        <v>2804</v>
      </c>
      <c r="AG107" t="s">
        <v>2811</v>
      </c>
    </row>
    <row r="108" spans="1:33">
      <c r="A108" t="s">
        <v>656</v>
      </c>
      <c r="B108" s="4">
        <v>45581</v>
      </c>
      <c r="C108" s="4">
        <v>45581</v>
      </c>
      <c r="D108">
        <f>_xlfn.DAYS(C108,B108)</f>
        <v>0</v>
      </c>
      <c r="E108" t="s">
        <v>2804</v>
      </c>
      <c r="F108" t="s">
        <v>657</v>
      </c>
      <c r="G108" t="s">
        <v>62</v>
      </c>
      <c r="H108" t="s">
        <v>95</v>
      </c>
      <c r="I108" t="s">
        <v>38</v>
      </c>
      <c r="J108" t="s">
        <v>145</v>
      </c>
      <c r="K108" t="s">
        <v>146</v>
      </c>
      <c r="L108" t="s">
        <v>74</v>
      </c>
      <c r="M108" t="s">
        <v>274</v>
      </c>
      <c r="N108" t="s">
        <v>658</v>
      </c>
      <c r="O108" t="s">
        <v>59</v>
      </c>
      <c r="P108">
        <v>7</v>
      </c>
      <c r="Q108">
        <v>775.77</v>
      </c>
      <c r="R108">
        <v>0</v>
      </c>
      <c r="S108">
        <f>IF(ISNUMBER(SEARCH("%",R108)), VALUE(SUBSTITUTE(R108,"%",""))/100,IF(ISNUMBER(R108), R108, 0))</f>
        <v>0</v>
      </c>
      <c r="T108" t="str">
        <f>IF(S108&lt;0,"Negative discount (invalid)",IF(S108&gt;0.5,"Discount above allowed range (invalid)",IF(AND(R108="",S108=0),"Missing discount set to 0","OK")))</f>
        <v>OK</v>
      </c>
      <c r="U108">
        <v>5430.39</v>
      </c>
      <c r="V108">
        <v>3707.66</v>
      </c>
      <c r="W108">
        <v>1722.73</v>
      </c>
      <c r="X108" t="s">
        <v>32</v>
      </c>
      <c r="Y108" t="s">
        <v>33</v>
      </c>
      <c r="Z108">
        <f>IF(T108="OK",P108*Q108*(1-S108),"invalid")</f>
        <v>5430.3899999999994</v>
      </c>
      <c r="AA108">
        <f>IF(Z108="N/A","N/A",Z108-V108)</f>
        <v>1722.7299999999996</v>
      </c>
      <c r="AB108" s="8">
        <f>IF(Z108&lt;&gt;"N/A", AA108/Z108, "N/A")</f>
        <v>0.31723872502711586</v>
      </c>
      <c r="AC108">
        <f>MONTH(B108)</f>
        <v>10</v>
      </c>
      <c r="AD108">
        <f>YEAR(B108)</f>
        <v>2024</v>
      </c>
      <c r="AE108" s="10">
        <f t="shared" si="1"/>
        <v>9.0949470177292824E-13</v>
      </c>
      <c r="AF108" t="s">
        <v>2804</v>
      </c>
      <c r="AG108" t="s">
        <v>2811</v>
      </c>
    </row>
    <row r="109" spans="1:33">
      <c r="A109" t="s">
        <v>662</v>
      </c>
      <c r="B109" s="4">
        <v>45384</v>
      </c>
      <c r="C109" s="4">
        <v>45388</v>
      </c>
      <c r="D109">
        <f>_xlfn.DAYS(C109,B109)</f>
        <v>4</v>
      </c>
      <c r="E109" t="s">
        <v>2804</v>
      </c>
      <c r="F109" t="s">
        <v>663</v>
      </c>
      <c r="G109" t="s">
        <v>71</v>
      </c>
      <c r="H109" t="s">
        <v>90</v>
      </c>
      <c r="I109" t="s">
        <v>63</v>
      </c>
      <c r="J109" t="s">
        <v>72</v>
      </c>
      <c r="K109" t="s">
        <v>73</v>
      </c>
      <c r="L109" t="s">
        <v>41</v>
      </c>
      <c r="M109" t="s">
        <v>158</v>
      </c>
      <c r="N109" t="s">
        <v>664</v>
      </c>
      <c r="O109" t="s">
        <v>59</v>
      </c>
      <c r="P109">
        <v>2</v>
      </c>
      <c r="Q109">
        <v>888.98</v>
      </c>
      <c r="R109">
        <v>0</v>
      </c>
      <c r="S109">
        <f>IF(ISNUMBER(SEARCH("%",R109)), VALUE(SUBSTITUTE(R109,"%",""))/100,IF(ISNUMBER(R109), R109, 0))</f>
        <v>0</v>
      </c>
      <c r="T109" t="str">
        <f>IF(S109&lt;0,"Negative discount (invalid)",IF(S109&gt;0.5,"Discount above allowed range (invalid)",IF(AND(R109="",S109=0),"Missing discount set to 0","OK")))</f>
        <v>OK</v>
      </c>
      <c r="U109">
        <v>1777.96</v>
      </c>
      <c r="V109">
        <v>1021.16</v>
      </c>
      <c r="W109">
        <v>756.8</v>
      </c>
      <c r="X109" t="s">
        <v>102</v>
      </c>
      <c r="Y109" t="s">
        <v>103</v>
      </c>
      <c r="Z109">
        <f>IF(T109="OK",P109*Q109*(1-S109),"invalid")</f>
        <v>1777.96</v>
      </c>
      <c r="AA109">
        <f>IF(Z109="N/A","N/A",Z109-V109)</f>
        <v>756.80000000000007</v>
      </c>
      <c r="AB109" s="8">
        <f>IF(Z109&lt;&gt;"N/A", AA109/Z109, "N/A")</f>
        <v>0.42565637022205227</v>
      </c>
      <c r="AC109">
        <f>MONTH(B109)</f>
        <v>4</v>
      </c>
      <c r="AD109">
        <f>YEAR(B109)</f>
        <v>2024</v>
      </c>
      <c r="AE109" s="10">
        <f t="shared" si="1"/>
        <v>0</v>
      </c>
      <c r="AF109" t="s">
        <v>2804</v>
      </c>
      <c r="AG109" t="s">
        <v>2811</v>
      </c>
    </row>
    <row r="110" spans="1:33">
      <c r="A110" t="s">
        <v>665</v>
      </c>
      <c r="B110" s="4">
        <v>45601</v>
      </c>
      <c r="C110" s="4">
        <v>45609</v>
      </c>
      <c r="D110">
        <f>_xlfn.DAYS(C110,B110)</f>
        <v>8</v>
      </c>
      <c r="E110" t="s">
        <v>2804</v>
      </c>
      <c r="F110" t="s">
        <v>666</v>
      </c>
      <c r="G110" t="s">
        <v>53</v>
      </c>
      <c r="H110" t="s">
        <v>24</v>
      </c>
      <c r="I110" t="s">
        <v>2785</v>
      </c>
      <c r="J110" t="s">
        <v>122</v>
      </c>
      <c r="K110" t="s">
        <v>123</v>
      </c>
      <c r="L110" t="s">
        <v>28</v>
      </c>
      <c r="M110" t="s">
        <v>91</v>
      </c>
      <c r="N110" t="s">
        <v>667</v>
      </c>
      <c r="O110" t="s">
        <v>31</v>
      </c>
      <c r="P110">
        <v>2</v>
      </c>
      <c r="Q110">
        <v>1003.17</v>
      </c>
      <c r="R110">
        <v>0.2</v>
      </c>
      <c r="S110">
        <f>IF(ISNUMBER(SEARCH("%",R110)), VALUE(SUBSTITUTE(R110,"%",""))/100,IF(ISNUMBER(R110), R110, 0))</f>
        <v>0.2</v>
      </c>
      <c r="T110" t="str">
        <f>IF(S110&lt;0,"Negative discount (invalid)",IF(S110&gt;0.5,"Discount above allowed range (invalid)",IF(AND(R110="",S110=0),"Missing discount set to 0","OK")))</f>
        <v>OK</v>
      </c>
      <c r="U110">
        <v>1605.07</v>
      </c>
      <c r="V110">
        <v>1337.28</v>
      </c>
      <c r="W110">
        <v>267.79000000000002</v>
      </c>
      <c r="X110" t="s">
        <v>32</v>
      </c>
      <c r="Y110" t="s">
        <v>33</v>
      </c>
      <c r="Z110">
        <f>IF(T110="OK",P110*Q110*(1-S110),"invalid")</f>
        <v>1605.0720000000001</v>
      </c>
      <c r="AA110">
        <f>IF(Z110="N/A","N/A",Z110-V110)</f>
        <v>267.79200000000014</v>
      </c>
      <c r="AB110" s="8">
        <f>IF(Z110&lt;&gt;"N/A", AA110/Z110, "N/A")</f>
        <v>0.16684111366966722</v>
      </c>
      <c r="AC110">
        <f>MONTH(B110)</f>
        <v>11</v>
      </c>
      <c r="AD110">
        <f>YEAR(B110)</f>
        <v>2024</v>
      </c>
      <c r="AE110" s="10">
        <f t="shared" si="1"/>
        <v>2.00000000018008E-3</v>
      </c>
      <c r="AF110" t="s">
        <v>2799</v>
      </c>
      <c r="AG110" t="s">
        <v>2798</v>
      </c>
    </row>
    <row r="111" spans="1:33">
      <c r="A111" t="s">
        <v>668</v>
      </c>
      <c r="B111" s="4">
        <v>45492</v>
      </c>
      <c r="C111" s="4">
        <v>45493</v>
      </c>
      <c r="D111">
        <f>_xlfn.DAYS(C111,B111)</f>
        <v>1</v>
      </c>
      <c r="E111" t="s">
        <v>2804</v>
      </c>
      <c r="F111" t="s">
        <v>263</v>
      </c>
      <c r="G111" t="s">
        <v>71</v>
      </c>
      <c r="H111" t="s">
        <v>24</v>
      </c>
      <c r="I111" t="s">
        <v>54</v>
      </c>
      <c r="J111" t="s">
        <v>247</v>
      </c>
      <c r="K111" t="s">
        <v>248</v>
      </c>
      <c r="L111" t="s">
        <v>41</v>
      </c>
      <c r="M111" t="s">
        <v>42</v>
      </c>
      <c r="N111" t="s">
        <v>669</v>
      </c>
      <c r="O111" t="s">
        <v>50</v>
      </c>
      <c r="P111">
        <v>7</v>
      </c>
      <c r="Q111">
        <v>3608.43</v>
      </c>
      <c r="R111">
        <v>0.05</v>
      </c>
      <c r="S111">
        <f>IF(ISNUMBER(SEARCH("%",R111)), VALUE(SUBSTITUTE(R111,"%",""))/100,IF(ISNUMBER(R111), R111, 0))</f>
        <v>0.05</v>
      </c>
      <c r="T111" t="str">
        <f>IF(S111&lt;0,"Negative discount (invalid)",IF(S111&gt;0.5,"Discount above allowed range (invalid)",IF(AND(R111="",S111=0),"Missing discount set to 0","OK")))</f>
        <v>OK</v>
      </c>
      <c r="U111">
        <v>23996.06</v>
      </c>
      <c r="V111">
        <v>20167.28</v>
      </c>
      <c r="W111">
        <v>3828.78</v>
      </c>
      <c r="X111" t="s">
        <v>32</v>
      </c>
      <c r="Y111" t="s">
        <v>33</v>
      </c>
      <c r="Z111">
        <f>IF(T111="OK",P111*Q111*(1-S111),"invalid")</f>
        <v>23996.059499999996</v>
      </c>
      <c r="AA111">
        <f>IF(Z111="N/A","N/A",Z111-V111)</f>
        <v>3828.7794999999969</v>
      </c>
      <c r="AB111" s="8">
        <f>IF(Z111&lt;&gt;"N/A", AA111/Z111, "N/A")</f>
        <v>0.15955867670689838</v>
      </c>
      <c r="AC111">
        <f>MONTH(B111)</f>
        <v>7</v>
      </c>
      <c r="AD111">
        <f>YEAR(B111)</f>
        <v>2024</v>
      </c>
      <c r="AE111" s="10">
        <f t="shared" si="1"/>
        <v>5.0000000555883162E-4</v>
      </c>
      <c r="AF111" t="s">
        <v>2804</v>
      </c>
      <c r="AG111" t="s">
        <v>2811</v>
      </c>
    </row>
    <row r="112" spans="1:33">
      <c r="A112" t="s">
        <v>682</v>
      </c>
      <c r="B112" s="4">
        <v>45584</v>
      </c>
      <c r="C112" s="4">
        <v>45589</v>
      </c>
      <c r="D112">
        <f>_xlfn.DAYS(C112,B112)</f>
        <v>5</v>
      </c>
      <c r="E112" t="s">
        <v>2804</v>
      </c>
      <c r="F112" t="s">
        <v>683</v>
      </c>
      <c r="G112" t="s">
        <v>132</v>
      </c>
      <c r="H112" t="s">
        <v>37</v>
      </c>
      <c r="I112" t="s">
        <v>54</v>
      </c>
      <c r="J112" t="s">
        <v>247</v>
      </c>
      <c r="K112" t="s">
        <v>248</v>
      </c>
      <c r="L112" t="s">
        <v>41</v>
      </c>
      <c r="M112" t="s">
        <v>158</v>
      </c>
      <c r="N112" t="s">
        <v>684</v>
      </c>
      <c r="O112" t="s">
        <v>31</v>
      </c>
      <c r="P112">
        <v>6</v>
      </c>
      <c r="Q112">
        <v>4308.3999999999996</v>
      </c>
      <c r="R112">
        <v>0.65</v>
      </c>
      <c r="S112">
        <f>IF(ISNUMBER(SEARCH("%",R112)), VALUE(SUBSTITUTE(R112,"%",""))/100,IF(ISNUMBER(R112), R112, 0))</f>
        <v>0.65</v>
      </c>
      <c r="T112" t="str">
        <f>IF(S112&lt;0,"Negative discount (invalid)",IF(S112&gt;0.5,"Discount above allowed range (invalid)",IF(AND(R112="",S112=0),"Missing discount set to 0","OK")))</f>
        <v>Discount above allowed range (invalid)</v>
      </c>
      <c r="U112">
        <v>25850.400000000001</v>
      </c>
      <c r="V112">
        <v>19397.68</v>
      </c>
      <c r="W112">
        <v>6452.72</v>
      </c>
      <c r="X112" t="s">
        <v>32</v>
      </c>
      <c r="Y112" t="s">
        <v>33</v>
      </c>
      <c r="Z112" t="s">
        <v>2793</v>
      </c>
      <c r="AA112" t="str">
        <f>IF(Z112="N/A","N/A",Z112-V112)</f>
        <v>N/A</v>
      </c>
      <c r="AB112" s="8" t="str">
        <f>IF(Z112&lt;&gt;"N/A", AA112/Z112, "N/A")</f>
        <v>N/A</v>
      </c>
      <c r="AC112">
        <f>MONTH(B112)</f>
        <v>10</v>
      </c>
      <c r="AD112">
        <f>YEAR(B112)</f>
        <v>2024</v>
      </c>
      <c r="AE112" s="10" t="str">
        <f t="shared" si="1"/>
        <v>N/A</v>
      </c>
      <c r="AF112" t="s">
        <v>2802</v>
      </c>
      <c r="AG112" t="s">
        <v>2789</v>
      </c>
    </row>
    <row r="113" spans="1:33">
      <c r="A113" t="s">
        <v>685</v>
      </c>
      <c r="B113" s="4">
        <v>45635</v>
      </c>
      <c r="C113" s="4">
        <v>45642</v>
      </c>
      <c r="D113">
        <f>_xlfn.DAYS(C113,B113)</f>
        <v>7</v>
      </c>
      <c r="E113" t="s">
        <v>2804</v>
      </c>
      <c r="F113" t="s">
        <v>686</v>
      </c>
      <c r="G113" t="s">
        <v>47</v>
      </c>
      <c r="H113" t="s">
        <v>95</v>
      </c>
      <c r="I113" t="s">
        <v>63</v>
      </c>
      <c r="J113" t="s">
        <v>180</v>
      </c>
      <c r="K113" t="s">
        <v>181</v>
      </c>
      <c r="L113" t="s">
        <v>41</v>
      </c>
      <c r="M113" t="s">
        <v>66</v>
      </c>
      <c r="N113" t="s">
        <v>687</v>
      </c>
      <c r="O113" t="s">
        <v>50</v>
      </c>
      <c r="P113">
        <v>4</v>
      </c>
      <c r="Q113">
        <v>2191.0300000000002</v>
      </c>
      <c r="R113">
        <v>0</v>
      </c>
      <c r="S113">
        <f>IF(ISNUMBER(SEARCH("%",R113)), VALUE(SUBSTITUTE(R113,"%",""))/100,IF(ISNUMBER(R113), R113, 0))</f>
        <v>0</v>
      </c>
      <c r="T113" t="str">
        <f>IF(S113&lt;0,"Negative discount (invalid)",IF(S113&gt;0.5,"Discount above allowed range (invalid)",IF(AND(R113="",S113=0),"Missing discount set to 0","OK")))</f>
        <v>OK</v>
      </c>
      <c r="U113">
        <v>8764.1200000000008</v>
      </c>
      <c r="V113">
        <v>7220.05</v>
      </c>
      <c r="W113">
        <v>1544.07</v>
      </c>
      <c r="X113" t="s">
        <v>32</v>
      </c>
      <c r="Y113" t="s">
        <v>33</v>
      </c>
      <c r="Z113">
        <f>IF(T113="OK",P113*Q113*(1-S113),"invalid")</f>
        <v>8764.1200000000008</v>
      </c>
      <c r="AA113">
        <f>IF(Z113="N/A","N/A",Z113-V113)</f>
        <v>1544.0700000000006</v>
      </c>
      <c r="AB113" s="8">
        <f>IF(Z113&lt;&gt;"N/A", AA113/Z113, "N/A")</f>
        <v>0.17618083732308554</v>
      </c>
      <c r="AC113">
        <f>MONTH(B113)</f>
        <v>12</v>
      </c>
      <c r="AD113">
        <f>YEAR(B113)</f>
        <v>2024</v>
      </c>
      <c r="AE113" s="10">
        <f t="shared" si="1"/>
        <v>0</v>
      </c>
      <c r="AF113" t="s">
        <v>2804</v>
      </c>
      <c r="AG113" t="s">
        <v>2811</v>
      </c>
    </row>
    <row r="114" spans="1:33">
      <c r="A114" t="s">
        <v>688</v>
      </c>
      <c r="B114" s="4">
        <v>45466</v>
      </c>
      <c r="C114" s="4">
        <v>45471</v>
      </c>
      <c r="D114">
        <f>_xlfn.DAYS(C114,B114)</f>
        <v>5</v>
      </c>
      <c r="E114" t="s">
        <v>2804</v>
      </c>
      <c r="F114" t="s">
        <v>689</v>
      </c>
      <c r="G114" t="s">
        <v>114</v>
      </c>
      <c r="H114" t="s">
        <v>37</v>
      </c>
      <c r="I114" t="s">
        <v>25</v>
      </c>
      <c r="J114" t="s">
        <v>122</v>
      </c>
      <c r="K114" t="s">
        <v>123</v>
      </c>
      <c r="L114" t="s">
        <v>74</v>
      </c>
      <c r="M114" t="s">
        <v>80</v>
      </c>
      <c r="N114" t="s">
        <v>690</v>
      </c>
      <c r="O114" t="s">
        <v>44</v>
      </c>
      <c r="P114">
        <v>6</v>
      </c>
      <c r="Q114">
        <v>1956.63</v>
      </c>
      <c r="R114">
        <v>0.2</v>
      </c>
      <c r="S114">
        <f>IF(ISNUMBER(SEARCH("%",R114)), VALUE(SUBSTITUTE(R114,"%",""))/100,IF(ISNUMBER(R114), R114, 0))</f>
        <v>0.2</v>
      </c>
      <c r="T114" t="str">
        <f>IF(S114&lt;0,"Negative discount (invalid)",IF(S114&gt;0.5,"Discount above allowed range (invalid)",IF(AND(R114="",S114=0),"Missing discount set to 0","OK")))</f>
        <v>OK</v>
      </c>
      <c r="U114">
        <v>9391.82</v>
      </c>
      <c r="V114">
        <v>6013.22</v>
      </c>
      <c r="W114">
        <v>3378.6</v>
      </c>
      <c r="X114" t="s">
        <v>102</v>
      </c>
      <c r="Y114" t="s">
        <v>103</v>
      </c>
      <c r="Z114">
        <f>IF(T114="OK",P114*Q114*(1-S114),"invalid")</f>
        <v>9391.8240000000005</v>
      </c>
      <c r="AA114">
        <f>IF(Z114="N/A","N/A",Z114-V114)</f>
        <v>3378.6040000000003</v>
      </c>
      <c r="AB114" s="8">
        <f>IF(Z114&lt;&gt;"N/A", AA114/Z114, "N/A")</f>
        <v>0.35973885370935399</v>
      </c>
      <c r="AC114">
        <f>MONTH(B114)</f>
        <v>6</v>
      </c>
      <c r="AD114">
        <f>YEAR(B114)</f>
        <v>2024</v>
      </c>
      <c r="AE114" s="10">
        <f t="shared" si="1"/>
        <v>4.0000000008149073E-3</v>
      </c>
      <c r="AF114" t="s">
        <v>2804</v>
      </c>
      <c r="AG114" t="s">
        <v>2811</v>
      </c>
    </row>
    <row r="115" spans="1:33">
      <c r="A115" t="s">
        <v>697</v>
      </c>
      <c r="B115" s="4">
        <v>45313</v>
      </c>
      <c r="C115" s="4">
        <v>45316</v>
      </c>
      <c r="D115">
        <f>_xlfn.DAYS(C115,B115)</f>
        <v>3</v>
      </c>
      <c r="E115" t="s">
        <v>2804</v>
      </c>
      <c r="F115" t="s">
        <v>698</v>
      </c>
      <c r="G115" t="s">
        <v>264</v>
      </c>
      <c r="H115" t="s">
        <v>95</v>
      </c>
      <c r="I115" t="s">
        <v>25</v>
      </c>
      <c r="J115" t="s">
        <v>136</v>
      </c>
      <c r="K115" t="s">
        <v>137</v>
      </c>
      <c r="L115" t="s">
        <v>28</v>
      </c>
      <c r="M115" t="s">
        <v>124</v>
      </c>
      <c r="N115" t="s">
        <v>699</v>
      </c>
      <c r="O115" t="s">
        <v>50</v>
      </c>
      <c r="P115">
        <v>3</v>
      </c>
      <c r="Q115">
        <v>1212.03</v>
      </c>
      <c r="R115">
        <v>0.1</v>
      </c>
      <c r="S115">
        <f>IF(ISNUMBER(SEARCH("%",R115)), VALUE(SUBSTITUTE(R115,"%",""))/100,IF(ISNUMBER(R115), R115, 0))</f>
        <v>0.1</v>
      </c>
      <c r="T115" t="str">
        <f>IF(S115&lt;0,"Negative discount (invalid)",IF(S115&gt;0.5,"Discount above allowed range (invalid)",IF(AND(R115="",S115=0),"Missing discount set to 0","OK")))</f>
        <v>OK</v>
      </c>
      <c r="U115">
        <v>3272.48</v>
      </c>
      <c r="V115">
        <v>2517.44</v>
      </c>
      <c r="W115">
        <v>755.04</v>
      </c>
      <c r="X115" t="s">
        <v>32</v>
      </c>
      <c r="Y115" t="s">
        <v>33</v>
      </c>
      <c r="Z115">
        <f>IF(T115="OK",P115*Q115*(1-S115),"invalid")</f>
        <v>3272.4810000000002</v>
      </c>
      <c r="AA115">
        <f>IF(Z115="N/A","N/A",Z115-V115)</f>
        <v>755.04100000000017</v>
      </c>
      <c r="AB115" s="8">
        <f>IF(Z115&lt;&gt;"N/A", AA115/Z115, "N/A")</f>
        <v>0.23072433422837293</v>
      </c>
      <c r="AC115">
        <f>MONTH(B115)</f>
        <v>1</v>
      </c>
      <c r="AD115">
        <f>YEAR(B115)</f>
        <v>2024</v>
      </c>
      <c r="AE115" s="10">
        <f t="shared" si="1"/>
        <v>1.0000000002037268E-3</v>
      </c>
      <c r="AF115" t="s">
        <v>2804</v>
      </c>
      <c r="AG115" t="s">
        <v>2811</v>
      </c>
    </row>
    <row r="116" spans="1:33">
      <c r="A116" t="s">
        <v>702</v>
      </c>
      <c r="B116" s="4">
        <v>45448</v>
      </c>
      <c r="C116" s="4">
        <v>45449</v>
      </c>
      <c r="D116">
        <f>_xlfn.DAYS(C116,B116)</f>
        <v>1</v>
      </c>
      <c r="E116" t="s">
        <v>2804</v>
      </c>
      <c r="F116" t="s">
        <v>703</v>
      </c>
      <c r="G116" t="s">
        <v>132</v>
      </c>
      <c r="H116" t="s">
        <v>24</v>
      </c>
      <c r="I116" t="s">
        <v>63</v>
      </c>
      <c r="J116" t="s">
        <v>180</v>
      </c>
      <c r="K116" t="s">
        <v>181</v>
      </c>
      <c r="L116" t="s">
        <v>28</v>
      </c>
      <c r="M116" t="s">
        <v>48</v>
      </c>
      <c r="N116" t="s">
        <v>704</v>
      </c>
      <c r="O116" t="s">
        <v>31</v>
      </c>
      <c r="P116">
        <v>1</v>
      </c>
      <c r="Q116">
        <v>1184.58</v>
      </c>
      <c r="R116">
        <v>0.05</v>
      </c>
      <c r="S116">
        <f>IF(ISNUMBER(SEARCH("%",R116)), VALUE(SUBSTITUTE(R116,"%",""))/100,IF(ISNUMBER(R116), R116, 0))</f>
        <v>0.05</v>
      </c>
      <c r="T116" t="str">
        <f>IF(S116&lt;0,"Negative discount (invalid)",IF(S116&gt;0.5,"Discount above allowed range (invalid)",IF(AND(R116="",S116=0),"Missing discount set to 0","OK")))</f>
        <v>OK</v>
      </c>
      <c r="U116">
        <v>1125.3499999999999</v>
      </c>
      <c r="V116">
        <v>676.97</v>
      </c>
      <c r="W116">
        <v>448.38</v>
      </c>
      <c r="X116" t="s">
        <v>155</v>
      </c>
      <c r="Y116" t="s">
        <v>68</v>
      </c>
      <c r="Z116">
        <f>IF(T116="OK",P116*Q116*(1-S116),"invalid")</f>
        <v>1125.3509999999999</v>
      </c>
      <c r="AA116">
        <f>IF(Z116="N/A","N/A",Z116-V116)</f>
        <v>448.38099999999986</v>
      </c>
      <c r="AB116" s="8">
        <f>IF(Z116&lt;&gt;"N/A", AA116/Z116, "N/A")</f>
        <v>0.39843657667696558</v>
      </c>
      <c r="AC116">
        <f>MONTH(B116)</f>
        <v>6</v>
      </c>
      <c r="AD116">
        <f>YEAR(B116)</f>
        <v>2024</v>
      </c>
      <c r="AE116" s="10">
        <f t="shared" si="1"/>
        <v>9.9999999997635314E-4</v>
      </c>
      <c r="AF116" t="s">
        <v>2804</v>
      </c>
      <c r="AG116" t="s">
        <v>2811</v>
      </c>
    </row>
    <row r="117" spans="1:33">
      <c r="A117" t="s">
        <v>705</v>
      </c>
      <c r="B117" s="4">
        <v>45363</v>
      </c>
      <c r="C117" s="4">
        <v>45363</v>
      </c>
      <c r="D117">
        <f>_xlfn.DAYS(C117,B117)</f>
        <v>0</v>
      </c>
      <c r="E117" t="s">
        <v>2804</v>
      </c>
      <c r="F117" t="s">
        <v>706</v>
      </c>
      <c r="G117" t="s">
        <v>118</v>
      </c>
      <c r="H117" t="s">
        <v>95</v>
      </c>
      <c r="I117" t="s">
        <v>38</v>
      </c>
      <c r="J117" t="s">
        <v>145</v>
      </c>
      <c r="K117" t="s">
        <v>146</v>
      </c>
      <c r="L117" t="s">
        <v>74</v>
      </c>
      <c r="M117" t="s">
        <v>274</v>
      </c>
      <c r="N117" t="s">
        <v>707</v>
      </c>
      <c r="O117" t="s">
        <v>2785</v>
      </c>
      <c r="P117">
        <v>6</v>
      </c>
      <c r="Q117">
        <v>2185.58</v>
      </c>
      <c r="R117">
        <v>0.25</v>
      </c>
      <c r="S117">
        <f>IF(ISNUMBER(SEARCH("%",R117)), VALUE(SUBSTITUTE(R117,"%",""))/100,IF(ISNUMBER(R117), R117, 0))</f>
        <v>0.25</v>
      </c>
      <c r="T117" t="str">
        <f>IF(S117&lt;0,"Negative discount (invalid)",IF(S117&gt;0.5,"Discount above allowed range (invalid)",IF(AND(R117="",S117=0),"Missing discount set to 0","OK")))</f>
        <v>OK</v>
      </c>
      <c r="U117">
        <v>9835.11</v>
      </c>
      <c r="V117">
        <v>5437.64</v>
      </c>
      <c r="W117">
        <v>4397.47</v>
      </c>
      <c r="X117" t="s">
        <v>32</v>
      </c>
      <c r="Y117" t="s">
        <v>33</v>
      </c>
      <c r="Z117">
        <f>IF(T117="OK",P117*Q117*(1-S117),"invalid")</f>
        <v>9835.11</v>
      </c>
      <c r="AA117">
        <f>IF(Z117="N/A","N/A",Z117-V117)</f>
        <v>4397.47</v>
      </c>
      <c r="AB117" s="8">
        <f>IF(Z117&lt;&gt;"N/A", AA117/Z117, "N/A")</f>
        <v>0.44711955433136996</v>
      </c>
      <c r="AC117">
        <f>MONTH(B117)</f>
        <v>3</v>
      </c>
      <c r="AD117">
        <f>YEAR(B117)</f>
        <v>2024</v>
      </c>
      <c r="AE117" s="10">
        <f t="shared" si="1"/>
        <v>0</v>
      </c>
      <c r="AF117" t="s">
        <v>2800</v>
      </c>
      <c r="AG117" t="s">
        <v>2798</v>
      </c>
    </row>
    <row r="118" spans="1:33">
      <c r="A118" t="s">
        <v>717</v>
      </c>
      <c r="B118" s="4">
        <v>45379</v>
      </c>
      <c r="C118" s="4">
        <v>45381</v>
      </c>
      <c r="D118">
        <f>_xlfn.DAYS(C118,B118)</f>
        <v>2</v>
      </c>
      <c r="E118" t="s">
        <v>2804</v>
      </c>
      <c r="F118" t="s">
        <v>718</v>
      </c>
      <c r="G118" t="s">
        <v>132</v>
      </c>
      <c r="H118" t="s">
        <v>90</v>
      </c>
      <c r="I118" t="s">
        <v>63</v>
      </c>
      <c r="J118" t="s">
        <v>26</v>
      </c>
      <c r="K118" t="s">
        <v>109</v>
      </c>
      <c r="L118" t="s">
        <v>74</v>
      </c>
      <c r="M118" t="s">
        <v>75</v>
      </c>
      <c r="N118" t="s">
        <v>719</v>
      </c>
      <c r="O118" t="s">
        <v>31</v>
      </c>
      <c r="P118">
        <v>1</v>
      </c>
      <c r="Q118">
        <v>570.34</v>
      </c>
      <c r="R118">
        <v>0.15</v>
      </c>
      <c r="S118">
        <f>IF(ISNUMBER(SEARCH("%",R118)), VALUE(SUBSTITUTE(R118,"%",""))/100,IF(ISNUMBER(R118), R118, 0))</f>
        <v>0.15</v>
      </c>
      <c r="T118" t="str">
        <f>IF(S118&lt;0,"Negative discount (invalid)",IF(S118&gt;0.5,"Discount above allowed range (invalid)",IF(AND(R118="",S118=0),"Missing discount set to 0","OK")))</f>
        <v>OK</v>
      </c>
      <c r="U118">
        <v>484.79</v>
      </c>
      <c r="V118">
        <v>333.54</v>
      </c>
      <c r="W118">
        <v>151.25</v>
      </c>
      <c r="X118" t="s">
        <v>32</v>
      </c>
      <c r="Y118" t="s">
        <v>33</v>
      </c>
      <c r="Z118">
        <f>IF(T118="OK",P118*Q118*(1-S118),"invalid")</f>
        <v>484.78899999999999</v>
      </c>
      <c r="AA118">
        <f>IF(Z118="N/A","N/A",Z118-V118)</f>
        <v>151.24899999999997</v>
      </c>
      <c r="AB118" s="8">
        <f>IF(Z118&lt;&gt;"N/A", AA118/Z118, "N/A")</f>
        <v>0.3119893396921134</v>
      </c>
      <c r="AC118">
        <f>MONTH(B118)</f>
        <v>3</v>
      </c>
      <c r="AD118">
        <f>YEAR(B118)</f>
        <v>2024</v>
      </c>
      <c r="AE118" s="10">
        <f t="shared" si="1"/>
        <v>1.0000000000331966E-3</v>
      </c>
      <c r="AF118" t="s">
        <v>2804</v>
      </c>
      <c r="AG118" t="s">
        <v>2811</v>
      </c>
    </row>
    <row r="119" spans="1:33">
      <c r="A119" t="s">
        <v>729</v>
      </c>
      <c r="B119" s="4">
        <v>45483</v>
      </c>
      <c r="C119" s="4">
        <v>45489</v>
      </c>
      <c r="D119">
        <f>_xlfn.DAYS(C119,B119)</f>
        <v>6</v>
      </c>
      <c r="E119" t="s">
        <v>2804</v>
      </c>
      <c r="F119" t="s">
        <v>730</v>
      </c>
      <c r="G119" t="s">
        <v>128</v>
      </c>
      <c r="H119" t="s">
        <v>95</v>
      </c>
      <c r="I119" t="s">
        <v>63</v>
      </c>
      <c r="J119" t="s">
        <v>190</v>
      </c>
      <c r="K119" t="s">
        <v>191</v>
      </c>
      <c r="L119" t="s">
        <v>41</v>
      </c>
      <c r="M119" t="s">
        <v>158</v>
      </c>
      <c r="N119" t="s">
        <v>731</v>
      </c>
      <c r="O119" t="s">
        <v>31</v>
      </c>
      <c r="P119">
        <v>2</v>
      </c>
      <c r="Q119">
        <v>1095.45</v>
      </c>
      <c r="R119">
        <v>0.2</v>
      </c>
      <c r="S119">
        <f>IF(ISNUMBER(SEARCH("%",R119)), VALUE(SUBSTITUTE(R119,"%",""))/100,IF(ISNUMBER(R119), R119, 0))</f>
        <v>0.2</v>
      </c>
      <c r="T119" t="str">
        <f>IF(S119&lt;0,"Negative discount (invalid)",IF(S119&gt;0.5,"Discount above allowed range (invalid)",IF(AND(R119="",S119=0),"Missing discount set to 0","OK")))</f>
        <v>OK</v>
      </c>
      <c r="U119">
        <v>1752.72</v>
      </c>
      <c r="V119">
        <v>996.41</v>
      </c>
      <c r="W119">
        <v>756.31</v>
      </c>
      <c r="X119" t="s">
        <v>32</v>
      </c>
      <c r="Y119" t="s">
        <v>33</v>
      </c>
      <c r="Z119">
        <f>IF(T119="OK",P119*Q119*(1-S119),"invalid")</f>
        <v>1752.7200000000003</v>
      </c>
      <c r="AA119">
        <f>IF(Z119="N/A","N/A",Z119-V119)</f>
        <v>756.31000000000029</v>
      </c>
      <c r="AB119" s="8">
        <f>IF(Z119&lt;&gt;"N/A", AA119/Z119, "N/A")</f>
        <v>0.43150645853302305</v>
      </c>
      <c r="AC119">
        <f>MONTH(B119)</f>
        <v>7</v>
      </c>
      <c r="AD119">
        <f>YEAR(B119)</f>
        <v>2024</v>
      </c>
      <c r="AE119" s="10">
        <f t="shared" si="1"/>
        <v>2.2737367544323206E-13</v>
      </c>
      <c r="AF119" t="s">
        <v>2804</v>
      </c>
      <c r="AG119" t="s">
        <v>2811</v>
      </c>
    </row>
    <row r="120" spans="1:33">
      <c r="A120" t="s">
        <v>738</v>
      </c>
      <c r="B120" s="4">
        <v>45366</v>
      </c>
      <c r="C120" s="4">
        <v>45369</v>
      </c>
      <c r="D120">
        <f>_xlfn.DAYS(C120,B120)</f>
        <v>3</v>
      </c>
      <c r="E120" t="s">
        <v>2804</v>
      </c>
      <c r="F120" t="s">
        <v>739</v>
      </c>
      <c r="G120" t="s">
        <v>264</v>
      </c>
      <c r="H120" t="s">
        <v>95</v>
      </c>
      <c r="I120" t="s">
        <v>54</v>
      </c>
      <c r="J120" t="s">
        <v>175</v>
      </c>
      <c r="K120" t="s">
        <v>176</v>
      </c>
      <c r="L120" t="s">
        <v>74</v>
      </c>
      <c r="M120" t="s">
        <v>274</v>
      </c>
      <c r="N120" t="s">
        <v>740</v>
      </c>
      <c r="O120" t="s">
        <v>31</v>
      </c>
      <c r="P120">
        <v>1</v>
      </c>
      <c r="Q120">
        <v>4131.3599999999997</v>
      </c>
      <c r="R120">
        <v>0</v>
      </c>
      <c r="S120">
        <f>IF(ISNUMBER(SEARCH("%",R120)), VALUE(SUBSTITUTE(R120,"%",""))/100,IF(ISNUMBER(R120), R120, 0))</f>
        <v>0</v>
      </c>
      <c r="T120" t="str">
        <f>IF(S120&lt;0,"Negative discount (invalid)",IF(S120&gt;0.5,"Discount above allowed range (invalid)",IF(AND(R120="",S120=0),"Missing discount set to 0","OK")))</f>
        <v>OK</v>
      </c>
      <c r="U120">
        <v>4131.3599999999997</v>
      </c>
      <c r="V120">
        <v>2937.07</v>
      </c>
      <c r="W120">
        <v>1194.29</v>
      </c>
      <c r="X120" t="s">
        <v>155</v>
      </c>
      <c r="Y120" t="s">
        <v>103</v>
      </c>
      <c r="Z120">
        <f>IF(T120="OK",P120*Q120*(1-S120),"invalid")</f>
        <v>4131.3599999999997</v>
      </c>
      <c r="AA120">
        <f>IF(Z120="N/A","N/A",Z120-V120)</f>
        <v>1194.2899999999995</v>
      </c>
      <c r="AB120" s="8">
        <f>IF(Z120&lt;&gt;"N/A", AA120/Z120, "N/A")</f>
        <v>0.28907914100925591</v>
      </c>
      <c r="AC120">
        <f>MONTH(B120)</f>
        <v>3</v>
      </c>
      <c r="AD120">
        <f>YEAR(B120)</f>
        <v>2024</v>
      </c>
      <c r="AE120" s="10">
        <f t="shared" si="1"/>
        <v>0</v>
      </c>
      <c r="AF120" t="s">
        <v>2804</v>
      </c>
      <c r="AG120" t="s">
        <v>2811</v>
      </c>
    </row>
    <row r="121" spans="1:33">
      <c r="A121" t="s">
        <v>741</v>
      </c>
      <c r="B121" s="4">
        <v>45428</v>
      </c>
      <c r="C121" s="4">
        <v>45429</v>
      </c>
      <c r="D121">
        <f>_xlfn.DAYS(C121,B121)</f>
        <v>1</v>
      </c>
      <c r="E121" t="s">
        <v>2804</v>
      </c>
      <c r="F121" t="s">
        <v>742</v>
      </c>
      <c r="G121" t="s">
        <v>141</v>
      </c>
      <c r="H121" t="s">
        <v>90</v>
      </c>
      <c r="I121" t="s">
        <v>38</v>
      </c>
      <c r="J121" t="s">
        <v>99</v>
      </c>
      <c r="K121" t="s">
        <v>100</v>
      </c>
      <c r="L121" t="s">
        <v>74</v>
      </c>
      <c r="M121" t="s">
        <v>80</v>
      </c>
      <c r="N121" t="s">
        <v>743</v>
      </c>
      <c r="O121" t="s">
        <v>31</v>
      </c>
      <c r="P121">
        <v>8</v>
      </c>
      <c r="Q121">
        <v>4221.95</v>
      </c>
      <c r="R121">
        <v>0.2</v>
      </c>
      <c r="S121">
        <f>IF(ISNUMBER(SEARCH("%",R121)), VALUE(SUBSTITUTE(R121,"%",""))/100,IF(ISNUMBER(R121), R121, 0))</f>
        <v>0.2</v>
      </c>
      <c r="T121" t="str">
        <f>IF(S121&lt;0,"Negative discount (invalid)",IF(S121&gt;0.5,"Discount above allowed range (invalid)",IF(AND(R121="",S121=0),"Missing discount set to 0","OK")))</f>
        <v>OK</v>
      </c>
      <c r="U121">
        <v>27020.48</v>
      </c>
      <c r="V121">
        <v>22885.24</v>
      </c>
      <c r="W121">
        <v>4135.24</v>
      </c>
      <c r="X121" t="s">
        <v>32</v>
      </c>
      <c r="Y121" t="s">
        <v>33</v>
      </c>
      <c r="Z121">
        <f>IF(T121="OK",P121*Q121*(1-S121),"invalid")</f>
        <v>27020.48</v>
      </c>
      <c r="AA121">
        <f>IF(Z121="N/A","N/A",Z121-V121)</f>
        <v>4135.239999999998</v>
      </c>
      <c r="AB121" s="8">
        <f>IF(Z121&lt;&gt;"N/A", AA121/Z121, "N/A")</f>
        <v>0.15304095264036752</v>
      </c>
      <c r="AC121">
        <f>MONTH(B121)</f>
        <v>5</v>
      </c>
      <c r="AD121">
        <f>YEAR(B121)</f>
        <v>2024</v>
      </c>
      <c r="AE121" s="10">
        <f t="shared" si="1"/>
        <v>0</v>
      </c>
      <c r="AF121" t="s">
        <v>2804</v>
      </c>
      <c r="AG121" t="s">
        <v>2811</v>
      </c>
    </row>
    <row r="122" spans="1:33">
      <c r="A122" t="s">
        <v>744</v>
      </c>
      <c r="B122" s="4">
        <v>45556</v>
      </c>
      <c r="C122" s="4">
        <v>45556</v>
      </c>
      <c r="D122">
        <f>_xlfn.DAYS(C122,B122)</f>
        <v>0</v>
      </c>
      <c r="E122" t="s">
        <v>2804</v>
      </c>
      <c r="F122" t="s">
        <v>745</v>
      </c>
      <c r="G122" t="s">
        <v>62</v>
      </c>
      <c r="H122" t="s">
        <v>37</v>
      </c>
      <c r="I122" t="s">
        <v>38</v>
      </c>
      <c r="J122" t="s">
        <v>39</v>
      </c>
      <c r="K122" t="s">
        <v>40</v>
      </c>
      <c r="L122" t="s">
        <v>74</v>
      </c>
      <c r="M122" t="s">
        <v>171</v>
      </c>
      <c r="N122" t="s">
        <v>746</v>
      </c>
      <c r="O122" t="s">
        <v>44</v>
      </c>
      <c r="P122">
        <v>2</v>
      </c>
      <c r="Q122">
        <v>214.5</v>
      </c>
      <c r="R122">
        <v>0.15</v>
      </c>
      <c r="S122">
        <f>IF(ISNUMBER(SEARCH("%",R122)), VALUE(SUBSTITUTE(R122,"%",""))/100,IF(ISNUMBER(R122), R122, 0))</f>
        <v>0.15</v>
      </c>
      <c r="T122" t="str">
        <f>IF(S122&lt;0,"Negative discount (invalid)",IF(S122&gt;0.5,"Discount above allowed range (invalid)",IF(AND(R122="",S122=0),"Missing discount set to 0","OK")))</f>
        <v>OK</v>
      </c>
      <c r="U122">
        <v>364.65</v>
      </c>
      <c r="V122">
        <v>280.74</v>
      </c>
      <c r="W122">
        <v>83.91</v>
      </c>
      <c r="X122" t="s">
        <v>32</v>
      </c>
      <c r="Y122" t="s">
        <v>33</v>
      </c>
      <c r="Z122">
        <f>IF(T122="OK",P122*Q122*(1-S122),"invalid")</f>
        <v>364.65</v>
      </c>
      <c r="AA122">
        <f>IF(Z122="N/A","N/A",Z122-V122)</f>
        <v>83.909999999999968</v>
      </c>
      <c r="AB122" s="8">
        <f>IF(Z122&lt;&gt;"N/A", AA122/Z122, "N/A")</f>
        <v>0.23011106540518297</v>
      </c>
      <c r="AC122">
        <f>MONTH(B122)</f>
        <v>9</v>
      </c>
      <c r="AD122">
        <f>YEAR(B122)</f>
        <v>2024</v>
      </c>
      <c r="AE122" s="10">
        <f t="shared" si="1"/>
        <v>0</v>
      </c>
      <c r="AF122" t="s">
        <v>2804</v>
      </c>
      <c r="AG122" t="s">
        <v>2811</v>
      </c>
    </row>
    <row r="123" spans="1:33">
      <c r="A123" t="s">
        <v>747</v>
      </c>
      <c r="B123" s="4">
        <v>45427</v>
      </c>
      <c r="C123" s="4">
        <v>45433</v>
      </c>
      <c r="D123">
        <f>_xlfn.DAYS(C123,B123)</f>
        <v>6</v>
      </c>
      <c r="E123" t="s">
        <v>2804</v>
      </c>
      <c r="F123" t="s">
        <v>748</v>
      </c>
      <c r="G123" t="s">
        <v>47</v>
      </c>
      <c r="H123" t="s">
        <v>37</v>
      </c>
      <c r="I123" t="s">
        <v>38</v>
      </c>
      <c r="J123" t="s">
        <v>145</v>
      </c>
      <c r="K123" t="s">
        <v>146</v>
      </c>
      <c r="L123" t="s">
        <v>74</v>
      </c>
      <c r="M123" t="s">
        <v>75</v>
      </c>
      <c r="N123" t="s">
        <v>749</v>
      </c>
      <c r="O123" t="s">
        <v>31</v>
      </c>
      <c r="P123">
        <v>4</v>
      </c>
      <c r="Q123">
        <v>4332.7299999999996</v>
      </c>
      <c r="R123">
        <v>0.2</v>
      </c>
      <c r="S123">
        <f>IF(ISNUMBER(SEARCH("%",R123)), VALUE(SUBSTITUTE(R123,"%",""))/100,IF(ISNUMBER(R123), R123, 0))</f>
        <v>0.2</v>
      </c>
      <c r="T123" t="str">
        <f>IF(S123&lt;0,"Negative discount (invalid)",IF(S123&gt;0.5,"Discount above allowed range (invalid)",IF(AND(R123="",S123=0),"Missing discount set to 0","OK")))</f>
        <v>OK</v>
      </c>
      <c r="U123">
        <v>13864.74</v>
      </c>
      <c r="V123">
        <v>11294.06</v>
      </c>
      <c r="W123">
        <v>2570.6799999999998</v>
      </c>
      <c r="X123" t="s">
        <v>32</v>
      </c>
      <c r="Y123" t="s">
        <v>33</v>
      </c>
      <c r="Z123">
        <f>IF(T123="OK",P123*Q123*(1-S123),"invalid")</f>
        <v>13864.735999999999</v>
      </c>
      <c r="AA123">
        <f>IF(Z123="N/A","N/A",Z123-V123)</f>
        <v>2570.6759999999995</v>
      </c>
      <c r="AB123" s="8">
        <f>IF(Z123&lt;&gt;"N/A", AA123/Z123, "N/A")</f>
        <v>0.18541110339208763</v>
      </c>
      <c r="AC123">
        <f>MONTH(B123)</f>
        <v>5</v>
      </c>
      <c r="AD123">
        <f>YEAR(B123)</f>
        <v>2024</v>
      </c>
      <c r="AE123" s="10">
        <f t="shared" si="1"/>
        <v>4.0000000008149073E-3</v>
      </c>
      <c r="AF123" t="s">
        <v>2804</v>
      </c>
      <c r="AG123" t="s">
        <v>2811</v>
      </c>
    </row>
    <row r="124" spans="1:33">
      <c r="A124" t="s">
        <v>750</v>
      </c>
      <c r="B124" s="4">
        <v>45368</v>
      </c>
      <c r="C124" s="4">
        <v>45374</v>
      </c>
      <c r="D124">
        <f>_xlfn.DAYS(C124,B124)</f>
        <v>6</v>
      </c>
      <c r="E124" t="s">
        <v>2804</v>
      </c>
      <c r="F124" t="s">
        <v>751</v>
      </c>
      <c r="G124" t="s">
        <v>118</v>
      </c>
      <c r="H124" t="s">
        <v>24</v>
      </c>
      <c r="I124" t="s">
        <v>25</v>
      </c>
      <c r="J124" t="s">
        <v>236</v>
      </c>
      <c r="K124" t="s">
        <v>237</v>
      </c>
      <c r="L124" t="s">
        <v>74</v>
      </c>
      <c r="M124" t="s">
        <v>75</v>
      </c>
      <c r="N124" t="s">
        <v>752</v>
      </c>
      <c r="O124" t="s">
        <v>50</v>
      </c>
      <c r="P124">
        <v>3</v>
      </c>
      <c r="Q124">
        <v>248.18</v>
      </c>
      <c r="R124">
        <v>0.05</v>
      </c>
      <c r="S124">
        <f>IF(ISNUMBER(SEARCH("%",R124)), VALUE(SUBSTITUTE(R124,"%",""))/100,IF(ISNUMBER(R124), R124, 0))</f>
        <v>0.05</v>
      </c>
      <c r="T124" t="str">
        <f>IF(S124&lt;0,"Negative discount (invalid)",IF(S124&gt;0.5,"Discount above allowed range (invalid)",IF(AND(R124="",S124=0),"Missing discount set to 0","OK")))</f>
        <v>OK</v>
      </c>
      <c r="U124">
        <v>707.31</v>
      </c>
      <c r="V124">
        <v>569</v>
      </c>
      <c r="W124">
        <v>138.31</v>
      </c>
      <c r="X124" t="s">
        <v>32</v>
      </c>
      <c r="Y124" t="s">
        <v>33</v>
      </c>
      <c r="Z124">
        <f>IF(T124="OK",P124*Q124*(1-S124),"invalid")</f>
        <v>707.31299999999999</v>
      </c>
      <c r="AA124">
        <f>IF(Z124="N/A","N/A",Z124-V124)</f>
        <v>138.31299999999999</v>
      </c>
      <c r="AB124" s="8">
        <f>IF(Z124&lt;&gt;"N/A", AA124/Z124, "N/A")</f>
        <v>0.19554709159876885</v>
      </c>
      <c r="AC124">
        <f>MONTH(B124)</f>
        <v>3</v>
      </c>
      <c r="AD124">
        <f>YEAR(B124)</f>
        <v>2024</v>
      </c>
      <c r="AE124" s="10">
        <f t="shared" si="1"/>
        <v>3.0000000000427463E-3</v>
      </c>
      <c r="AF124" t="s">
        <v>2804</v>
      </c>
      <c r="AG124" t="s">
        <v>2811</v>
      </c>
    </row>
    <row r="125" spans="1:33">
      <c r="A125" t="s">
        <v>753</v>
      </c>
      <c r="B125" s="4">
        <v>45352</v>
      </c>
      <c r="C125" s="4">
        <v>45355</v>
      </c>
      <c r="D125">
        <f>_xlfn.DAYS(C125,B125)</f>
        <v>3</v>
      </c>
      <c r="E125" t="s">
        <v>2804</v>
      </c>
      <c r="F125" t="s">
        <v>754</v>
      </c>
      <c r="G125" t="s">
        <v>36</v>
      </c>
      <c r="H125" t="s">
        <v>24</v>
      </c>
      <c r="I125" t="s">
        <v>63</v>
      </c>
      <c r="J125" t="s">
        <v>72</v>
      </c>
      <c r="K125" t="s">
        <v>73</v>
      </c>
      <c r="L125" t="s">
        <v>28</v>
      </c>
      <c r="M125" t="s">
        <v>29</v>
      </c>
      <c r="N125" t="s">
        <v>755</v>
      </c>
      <c r="O125" t="s">
        <v>50</v>
      </c>
      <c r="P125">
        <v>8</v>
      </c>
      <c r="Q125">
        <v>3202.4</v>
      </c>
      <c r="R125">
        <v>0.25</v>
      </c>
      <c r="S125">
        <f>IF(ISNUMBER(SEARCH("%",R125)), VALUE(SUBSTITUTE(R125,"%",""))/100,IF(ISNUMBER(R125), R125, 0))</f>
        <v>0.25</v>
      </c>
      <c r="T125" t="str">
        <f>IF(S125&lt;0,"Negative discount (invalid)",IF(S125&gt;0.5,"Discount above allowed range (invalid)",IF(AND(R125="",S125=0),"Missing discount set to 0","OK")))</f>
        <v>OK</v>
      </c>
      <c r="U125">
        <v>19214.400000000001</v>
      </c>
      <c r="V125">
        <v>10916.01</v>
      </c>
      <c r="W125">
        <v>8298.39</v>
      </c>
      <c r="X125" t="s">
        <v>32</v>
      </c>
      <c r="Y125" t="s">
        <v>33</v>
      </c>
      <c r="Z125">
        <f>IF(T125="OK",P125*Q125*(1-S125),"invalid")</f>
        <v>19214.400000000001</v>
      </c>
      <c r="AA125">
        <f>IF(Z125="N/A","N/A",Z125-V125)</f>
        <v>8298.3900000000012</v>
      </c>
      <c r="AB125" s="8">
        <f>IF(Z125&lt;&gt;"N/A", AA125/Z125, "N/A")</f>
        <v>0.43188389957531853</v>
      </c>
      <c r="AC125">
        <f>MONTH(B125)</f>
        <v>3</v>
      </c>
      <c r="AD125">
        <f>YEAR(B125)</f>
        <v>2024</v>
      </c>
      <c r="AE125" s="10">
        <f t="shared" si="1"/>
        <v>0</v>
      </c>
      <c r="AF125" t="s">
        <v>2804</v>
      </c>
      <c r="AG125" t="s">
        <v>2811</v>
      </c>
    </row>
    <row r="126" spans="1:33">
      <c r="A126" t="s">
        <v>765</v>
      </c>
      <c r="B126" s="4">
        <v>45461</v>
      </c>
      <c r="C126" s="4">
        <v>45462</v>
      </c>
      <c r="D126">
        <f>_xlfn.DAYS(C126,B126)</f>
        <v>1</v>
      </c>
      <c r="E126" t="s">
        <v>2804</v>
      </c>
      <c r="F126" t="s">
        <v>766</v>
      </c>
      <c r="G126" t="s">
        <v>118</v>
      </c>
      <c r="H126" t="s">
        <v>24</v>
      </c>
      <c r="I126" t="s">
        <v>38</v>
      </c>
      <c r="J126" t="s">
        <v>145</v>
      </c>
      <c r="K126" t="s">
        <v>146</v>
      </c>
      <c r="L126" t="s">
        <v>74</v>
      </c>
      <c r="M126" t="s">
        <v>274</v>
      </c>
      <c r="N126" t="s">
        <v>767</v>
      </c>
      <c r="O126" t="s">
        <v>50</v>
      </c>
      <c r="P126">
        <v>2</v>
      </c>
      <c r="Q126">
        <v>121.49</v>
      </c>
      <c r="R126" t="s">
        <v>768</v>
      </c>
      <c r="S126">
        <f>IF(ISNUMBER(SEARCH("%",R126)), VALUE(SUBSTITUTE(R126,"%",""))/100,IF(ISNUMBER(R126), R126, 0))</f>
        <v>0.85</v>
      </c>
      <c r="T126" t="str">
        <f>IF(S126&lt;0,"Negative discount (invalid)",IF(S126&gt;0.5,"Discount above allowed range (invalid)",IF(AND(R126="",S126=0),"Missing discount set to 0","OK")))</f>
        <v>Discount above allowed range (invalid)</v>
      </c>
      <c r="U126">
        <v>242.98</v>
      </c>
      <c r="V126">
        <v>161.41999999999999</v>
      </c>
      <c r="W126">
        <v>81.56</v>
      </c>
      <c r="X126" t="s">
        <v>32</v>
      </c>
      <c r="Y126" t="s">
        <v>33</v>
      </c>
      <c r="Z126" t="s">
        <v>2793</v>
      </c>
      <c r="AA126" t="str">
        <f>IF(Z126="N/A","N/A",Z126-V126)</f>
        <v>N/A</v>
      </c>
      <c r="AB126" s="8" t="str">
        <f>IF(Z126&lt;&gt;"N/A", AA126/Z126, "N/A")</f>
        <v>N/A</v>
      </c>
      <c r="AC126">
        <f>MONTH(B126)</f>
        <v>6</v>
      </c>
      <c r="AD126">
        <f>YEAR(B126)</f>
        <v>2024</v>
      </c>
      <c r="AE126" s="10" t="str">
        <f t="shared" si="1"/>
        <v>N/A</v>
      </c>
      <c r="AF126" t="s">
        <v>2802</v>
      </c>
      <c r="AG126" t="s">
        <v>2789</v>
      </c>
    </row>
    <row r="127" spans="1:33">
      <c r="A127" t="s">
        <v>769</v>
      </c>
      <c r="B127" s="4">
        <v>45538</v>
      </c>
      <c r="C127" s="4">
        <v>45538</v>
      </c>
      <c r="D127">
        <f>_xlfn.DAYS(C127,B127)</f>
        <v>0</v>
      </c>
      <c r="E127" t="s">
        <v>2804</v>
      </c>
      <c r="F127" t="s">
        <v>770</v>
      </c>
      <c r="G127" t="s">
        <v>132</v>
      </c>
      <c r="H127" t="s">
        <v>24</v>
      </c>
      <c r="I127" t="s">
        <v>54</v>
      </c>
      <c r="J127" t="s">
        <v>185</v>
      </c>
      <c r="K127" t="s">
        <v>186</v>
      </c>
      <c r="L127" t="s">
        <v>28</v>
      </c>
      <c r="M127" t="s">
        <v>124</v>
      </c>
      <c r="N127" t="s">
        <v>771</v>
      </c>
      <c r="O127" t="s">
        <v>50</v>
      </c>
      <c r="P127">
        <v>4</v>
      </c>
      <c r="Q127">
        <v>2810.17</v>
      </c>
      <c r="R127">
        <v>0.15</v>
      </c>
      <c r="S127">
        <f>IF(ISNUMBER(SEARCH("%",R127)), VALUE(SUBSTITUTE(R127,"%",""))/100,IF(ISNUMBER(R127), R127, 0))</f>
        <v>0.15</v>
      </c>
      <c r="T127" t="str">
        <f>IF(S127&lt;0,"Negative discount (invalid)",IF(S127&gt;0.5,"Discount above allowed range (invalid)",IF(AND(R127="",S127=0),"Missing discount set to 0","OK")))</f>
        <v>OK</v>
      </c>
      <c r="U127">
        <v>9554.58</v>
      </c>
      <c r="V127">
        <v>6068.47</v>
      </c>
      <c r="W127">
        <v>3486.11</v>
      </c>
      <c r="X127" t="s">
        <v>102</v>
      </c>
      <c r="Y127" t="s">
        <v>68</v>
      </c>
      <c r="Z127">
        <f>IF(T127="OK",P127*Q127*(1-S127),"invalid")</f>
        <v>9554.5779999999995</v>
      </c>
      <c r="AA127">
        <f>IF(Z127="N/A","N/A",Z127-V127)</f>
        <v>3486.1079999999993</v>
      </c>
      <c r="AB127" s="8">
        <f>IF(Z127&lt;&gt;"N/A", AA127/Z127, "N/A")</f>
        <v>0.36486258210462036</v>
      </c>
      <c r="AC127">
        <f>MONTH(B127)</f>
        <v>9</v>
      </c>
      <c r="AD127">
        <f>YEAR(B127)</f>
        <v>2024</v>
      </c>
      <c r="AE127" s="10">
        <f t="shared" si="1"/>
        <v>2.0000000004074536E-3</v>
      </c>
      <c r="AF127" t="s">
        <v>2804</v>
      </c>
      <c r="AG127" t="s">
        <v>2811</v>
      </c>
    </row>
    <row r="128" spans="1:33">
      <c r="A128" t="s">
        <v>784</v>
      </c>
      <c r="B128" s="4">
        <v>45537</v>
      </c>
      <c r="C128" s="4">
        <v>45545</v>
      </c>
      <c r="D128">
        <f>_xlfn.DAYS(C128,B128)</f>
        <v>8</v>
      </c>
      <c r="E128" t="s">
        <v>2804</v>
      </c>
      <c r="F128" t="s">
        <v>785</v>
      </c>
      <c r="G128" t="s">
        <v>36</v>
      </c>
      <c r="H128" t="s">
        <v>90</v>
      </c>
      <c r="I128" t="s">
        <v>63</v>
      </c>
      <c r="J128" t="s">
        <v>190</v>
      </c>
      <c r="K128" t="s">
        <v>191</v>
      </c>
      <c r="L128" t="s">
        <v>74</v>
      </c>
      <c r="M128" t="s">
        <v>171</v>
      </c>
      <c r="N128" t="s">
        <v>786</v>
      </c>
      <c r="O128" t="s">
        <v>59</v>
      </c>
      <c r="P128">
        <v>6</v>
      </c>
      <c r="Q128">
        <v>1032.47</v>
      </c>
      <c r="R128">
        <v>0.15</v>
      </c>
      <c r="S128">
        <f>IF(ISNUMBER(SEARCH("%",R128)), VALUE(SUBSTITUTE(R128,"%",""))/100,IF(ISNUMBER(R128), R128, 0))</f>
        <v>0.15</v>
      </c>
      <c r="T128" t="str">
        <f>IF(S128&lt;0,"Negative discount (invalid)",IF(S128&gt;0.5,"Discount above allowed range (invalid)",IF(AND(R128="",S128=0),"Missing discount set to 0","OK")))</f>
        <v>OK</v>
      </c>
      <c r="U128">
        <v>5265.6</v>
      </c>
      <c r="V128">
        <v>4293.1099999999997</v>
      </c>
      <c r="W128">
        <v>787.57</v>
      </c>
      <c r="X128" t="s">
        <v>32</v>
      </c>
      <c r="Y128" t="s">
        <v>33</v>
      </c>
      <c r="Z128">
        <f>IF(T128="OK",P128*Q128*(1-S128),"invalid")</f>
        <v>5265.5969999999998</v>
      </c>
      <c r="AA128">
        <f>IF(Z128="N/A","N/A",Z128-V128)</f>
        <v>972.48700000000008</v>
      </c>
      <c r="AB128" s="8">
        <f>IF(Z128&lt;&gt;"N/A", AA128/Z128, "N/A")</f>
        <v>0.18468694053114967</v>
      </c>
      <c r="AC128">
        <f>MONTH(B128)</f>
        <v>9</v>
      </c>
      <c r="AD128">
        <f>YEAR(B128)</f>
        <v>2024</v>
      </c>
      <c r="AE128" s="10">
        <f t="shared" si="1"/>
        <v>3.0000000006111804E-3</v>
      </c>
      <c r="AF128" t="s">
        <v>2804</v>
      </c>
      <c r="AG128" t="s">
        <v>2811</v>
      </c>
    </row>
    <row r="129" spans="1:33">
      <c r="A129" t="s">
        <v>790</v>
      </c>
      <c r="B129" s="4">
        <v>45478</v>
      </c>
      <c r="C129" s="4">
        <v>45485</v>
      </c>
      <c r="D129">
        <f>_xlfn.DAYS(C129,B129)</f>
        <v>7</v>
      </c>
      <c r="E129" t="s">
        <v>2804</v>
      </c>
      <c r="F129" t="s">
        <v>791</v>
      </c>
      <c r="G129" t="s">
        <v>62</v>
      </c>
      <c r="H129" t="s">
        <v>37</v>
      </c>
      <c r="I129" t="s">
        <v>63</v>
      </c>
      <c r="J129" t="s">
        <v>190</v>
      </c>
      <c r="K129" t="s">
        <v>191</v>
      </c>
      <c r="L129" t="s">
        <v>28</v>
      </c>
      <c r="M129" t="s">
        <v>153</v>
      </c>
      <c r="N129" t="s">
        <v>792</v>
      </c>
      <c r="O129" t="s">
        <v>50</v>
      </c>
      <c r="P129">
        <v>3</v>
      </c>
      <c r="Q129">
        <v>577.75</v>
      </c>
      <c r="R129">
        <v>0.15</v>
      </c>
      <c r="S129">
        <f>IF(ISNUMBER(SEARCH("%",R129)), VALUE(SUBSTITUTE(R129,"%",""))/100,IF(ISNUMBER(R129), R129, 0))</f>
        <v>0.15</v>
      </c>
      <c r="T129" t="str">
        <f>IF(S129&lt;0,"Negative discount (invalid)",IF(S129&gt;0.5,"Discount above allowed range (invalid)",IF(AND(R129="",S129=0),"Missing discount set to 0","OK")))</f>
        <v>OK</v>
      </c>
      <c r="U129">
        <v>1473.26</v>
      </c>
      <c r="V129">
        <v>899.86</v>
      </c>
      <c r="W129">
        <v>573.4</v>
      </c>
      <c r="X129" t="s">
        <v>32</v>
      </c>
      <c r="Y129" t="s">
        <v>33</v>
      </c>
      <c r="Z129">
        <f>IF(T129="OK",P129*Q129*(1-S129),"invalid")</f>
        <v>1473.2625</v>
      </c>
      <c r="AA129">
        <f>IF(Z129="N/A","N/A",Z129-V129)</f>
        <v>573.40250000000003</v>
      </c>
      <c r="AB129" s="8">
        <f>IF(Z129&lt;&gt;"N/A", AA129/Z129, "N/A")</f>
        <v>0.38920592901808065</v>
      </c>
      <c r="AC129">
        <f>MONTH(B129)</f>
        <v>7</v>
      </c>
      <c r="AD129">
        <f>YEAR(B129)</f>
        <v>2024</v>
      </c>
      <c r="AE129" s="10">
        <f t="shared" si="1"/>
        <v>2.5000000000545697E-3</v>
      </c>
      <c r="AF129" t="s">
        <v>2804</v>
      </c>
      <c r="AG129" t="s">
        <v>2811</v>
      </c>
    </row>
    <row r="130" spans="1:33">
      <c r="A130" t="s">
        <v>793</v>
      </c>
      <c r="B130" s="4">
        <v>45406</v>
      </c>
      <c r="C130" s="4">
        <v>45410</v>
      </c>
      <c r="D130">
        <f>_xlfn.DAYS(C130,B130)</f>
        <v>4</v>
      </c>
      <c r="E130" t="s">
        <v>2804</v>
      </c>
      <c r="F130" t="s">
        <v>794</v>
      </c>
      <c r="G130" t="s">
        <v>23</v>
      </c>
      <c r="H130" t="s">
        <v>37</v>
      </c>
      <c r="I130" t="s">
        <v>54</v>
      </c>
      <c r="J130" t="s">
        <v>55</v>
      </c>
      <c r="K130" t="s">
        <v>56</v>
      </c>
      <c r="L130" t="s">
        <v>28</v>
      </c>
      <c r="M130" t="s">
        <v>91</v>
      </c>
      <c r="N130" t="s">
        <v>795</v>
      </c>
      <c r="O130" t="s">
        <v>31</v>
      </c>
      <c r="P130">
        <v>1</v>
      </c>
      <c r="Q130">
        <v>3194.37</v>
      </c>
      <c r="R130">
        <v>0.15</v>
      </c>
      <c r="S130">
        <f>IF(ISNUMBER(SEARCH("%",R130)), VALUE(SUBSTITUTE(R130,"%",""))/100,IF(ISNUMBER(R130), R130, 0))</f>
        <v>0.15</v>
      </c>
      <c r="T130" t="str">
        <f>IF(S130&lt;0,"Negative discount (invalid)",IF(S130&gt;0.5,"Discount above allowed range (invalid)",IF(AND(R130="",S130=0),"Missing discount set to 0","OK")))</f>
        <v>OK</v>
      </c>
      <c r="U130">
        <v>2715.21</v>
      </c>
      <c r="V130">
        <v>1551.55</v>
      </c>
      <c r="W130">
        <v>1163.6600000000001</v>
      </c>
      <c r="X130" t="s">
        <v>32</v>
      </c>
      <c r="Y130" t="s">
        <v>33</v>
      </c>
      <c r="Z130">
        <f>IF(T130="OK",P130*Q130*(1-S130),"invalid")</f>
        <v>2715.2145</v>
      </c>
      <c r="AA130">
        <f>IF(Z130="N/A","N/A",Z130-V130)</f>
        <v>1163.6645000000001</v>
      </c>
      <c r="AB130" s="8">
        <f>IF(Z130&lt;&gt;"N/A", AA130/Z130, "N/A")</f>
        <v>0.42857184948003191</v>
      </c>
      <c r="AC130">
        <f>MONTH(B130)</f>
        <v>4</v>
      </c>
      <c r="AD130">
        <f>YEAR(B130)</f>
        <v>2024</v>
      </c>
      <c r="AE130" s="10">
        <f t="shared" si="1"/>
        <v>4.500000000007276E-3</v>
      </c>
      <c r="AF130" t="s">
        <v>2804</v>
      </c>
      <c r="AG130" t="s">
        <v>2811</v>
      </c>
    </row>
    <row r="131" spans="1:33">
      <c r="A131" t="s">
        <v>799</v>
      </c>
      <c r="B131" s="4">
        <v>45440</v>
      </c>
      <c r="C131" s="4">
        <v>45446</v>
      </c>
      <c r="D131">
        <f>_xlfn.DAYS(C131,B131)</f>
        <v>6</v>
      </c>
      <c r="E131" t="s">
        <v>2804</v>
      </c>
      <c r="F131" t="s">
        <v>800</v>
      </c>
      <c r="G131" t="s">
        <v>79</v>
      </c>
      <c r="H131" t="s">
        <v>37</v>
      </c>
      <c r="I131" t="s">
        <v>25</v>
      </c>
      <c r="J131" t="s">
        <v>26</v>
      </c>
      <c r="K131" t="s">
        <v>27</v>
      </c>
      <c r="L131" t="s">
        <v>28</v>
      </c>
      <c r="M131" t="s">
        <v>29</v>
      </c>
      <c r="N131" t="s">
        <v>801</v>
      </c>
      <c r="O131" t="s">
        <v>59</v>
      </c>
      <c r="P131">
        <v>8</v>
      </c>
      <c r="Q131">
        <v>1540.33</v>
      </c>
      <c r="R131">
        <v>0.1</v>
      </c>
      <c r="S131">
        <f>IF(ISNUMBER(SEARCH("%",R131)), VALUE(SUBSTITUTE(R131,"%",""))/100,IF(ISNUMBER(R131), R131, 0))</f>
        <v>0.1</v>
      </c>
      <c r="T131" t="str">
        <f>IF(S131&lt;0,"Negative discount (invalid)",IF(S131&gt;0.5,"Discount above allowed range (invalid)",IF(AND(R131="",S131=0),"Missing discount set to 0","OK")))</f>
        <v>OK</v>
      </c>
      <c r="U131">
        <v>11090.38</v>
      </c>
      <c r="V131">
        <v>8840.9500000000007</v>
      </c>
      <c r="W131">
        <v>2249.4299999999998</v>
      </c>
      <c r="X131" t="s">
        <v>32</v>
      </c>
      <c r="Y131" t="s">
        <v>33</v>
      </c>
      <c r="Z131">
        <f>IF(T131="OK",P131*Q131*(1-S131),"invalid")</f>
        <v>11090.376</v>
      </c>
      <c r="AA131">
        <f>IF(Z131="N/A","N/A",Z131-V131)</f>
        <v>2249.4259999999995</v>
      </c>
      <c r="AB131" s="8">
        <f>IF(Z131&lt;&gt;"N/A", AA131/Z131, "N/A")</f>
        <v>0.20282684734944958</v>
      </c>
      <c r="AC131">
        <f>MONTH(B131)</f>
        <v>5</v>
      </c>
      <c r="AD131">
        <f>YEAR(B131)</f>
        <v>2024</v>
      </c>
      <c r="AE131" s="10">
        <f t="shared" ref="AE131:AE194" si="2">IF(Z131&lt;&gt;"N/A",ABS(Z131-U131),"N/A")</f>
        <v>3.9999999989959178E-3</v>
      </c>
      <c r="AF131" t="s">
        <v>2804</v>
      </c>
      <c r="AG131" t="s">
        <v>2811</v>
      </c>
    </row>
    <row r="132" spans="1:33">
      <c r="A132" t="s">
        <v>802</v>
      </c>
      <c r="B132" s="4">
        <v>45414</v>
      </c>
      <c r="C132" s="4">
        <v>45414</v>
      </c>
      <c r="D132">
        <f>_xlfn.DAYS(C132,B132)</f>
        <v>0</v>
      </c>
      <c r="E132" t="s">
        <v>2804</v>
      </c>
      <c r="F132" t="s">
        <v>803</v>
      </c>
      <c r="G132" t="s">
        <v>62</v>
      </c>
      <c r="H132" t="s">
        <v>90</v>
      </c>
      <c r="I132" t="s">
        <v>25</v>
      </c>
      <c r="J132" t="s">
        <v>26</v>
      </c>
      <c r="K132" t="s">
        <v>27</v>
      </c>
      <c r="L132" t="s">
        <v>28</v>
      </c>
      <c r="M132" t="s">
        <v>91</v>
      </c>
      <c r="N132" t="s">
        <v>804</v>
      </c>
      <c r="O132" t="s">
        <v>50</v>
      </c>
      <c r="P132">
        <v>7</v>
      </c>
      <c r="Q132">
        <v>2183.38</v>
      </c>
      <c r="R132">
        <v>0.25</v>
      </c>
      <c r="S132">
        <f>IF(ISNUMBER(SEARCH("%",R132)), VALUE(SUBSTITUTE(R132,"%",""))/100,IF(ISNUMBER(R132), R132, 0))</f>
        <v>0.25</v>
      </c>
      <c r="T132" t="str">
        <f>IF(S132&lt;0,"Negative discount (invalid)",IF(S132&gt;0.5,"Discount above allowed range (invalid)",IF(AND(R132="",S132=0),"Missing discount set to 0","OK")))</f>
        <v>OK</v>
      </c>
      <c r="U132">
        <v>11462.74</v>
      </c>
      <c r="V132">
        <v>7163.54</v>
      </c>
      <c r="W132">
        <v>4299.2</v>
      </c>
      <c r="X132" t="s">
        <v>102</v>
      </c>
      <c r="Y132" t="s">
        <v>68</v>
      </c>
      <c r="Z132">
        <f>IF(T132="OK",P132*Q132*(1-S132),"invalid")</f>
        <v>11462.744999999999</v>
      </c>
      <c r="AA132">
        <f>IF(Z132="N/A","N/A",Z132-V132)</f>
        <v>4299.204999999999</v>
      </c>
      <c r="AB132" s="8">
        <f>IF(Z132&lt;&gt;"N/A", AA132/Z132, "N/A")</f>
        <v>0.37505894094302888</v>
      </c>
      <c r="AC132">
        <f>MONTH(B132)</f>
        <v>5</v>
      </c>
      <c r="AD132">
        <f>YEAR(B132)</f>
        <v>2024</v>
      </c>
      <c r="AE132" s="10">
        <f t="shared" si="2"/>
        <v>4.9999999991996447E-3</v>
      </c>
      <c r="AF132" t="s">
        <v>2804</v>
      </c>
      <c r="AG132" t="s">
        <v>2811</v>
      </c>
    </row>
    <row r="133" spans="1:33">
      <c r="A133" t="s">
        <v>808</v>
      </c>
      <c r="B133" s="4">
        <v>45579</v>
      </c>
      <c r="C133" s="4">
        <v>45579</v>
      </c>
      <c r="D133">
        <f>_xlfn.DAYS(C133,B133)</f>
        <v>0</v>
      </c>
      <c r="E133" t="s">
        <v>2804</v>
      </c>
      <c r="F133" t="s">
        <v>809</v>
      </c>
      <c r="G133" t="s">
        <v>71</v>
      </c>
      <c r="H133" t="s">
        <v>90</v>
      </c>
      <c r="I133" t="s">
        <v>54</v>
      </c>
      <c r="J133" t="s">
        <v>175</v>
      </c>
      <c r="K133" t="s">
        <v>176</v>
      </c>
      <c r="L133" t="s">
        <v>41</v>
      </c>
      <c r="M133" t="s">
        <v>158</v>
      </c>
      <c r="N133" t="s">
        <v>810</v>
      </c>
      <c r="O133" t="s">
        <v>2785</v>
      </c>
      <c r="P133">
        <v>8</v>
      </c>
      <c r="Q133">
        <v>3904.59</v>
      </c>
      <c r="R133">
        <v>0</v>
      </c>
      <c r="S133">
        <f>IF(ISNUMBER(SEARCH("%",R133)), VALUE(SUBSTITUTE(R133,"%",""))/100,IF(ISNUMBER(R133), R133, 0))</f>
        <v>0</v>
      </c>
      <c r="T133" t="str">
        <f>IF(S133&lt;0,"Negative discount (invalid)",IF(S133&gt;0.5,"Discount above allowed range (invalid)",IF(AND(R133="",S133=0),"Missing discount set to 0","OK")))</f>
        <v>OK</v>
      </c>
      <c r="U133">
        <v>31236.720000000001</v>
      </c>
      <c r="V133">
        <v>26377.7</v>
      </c>
      <c r="W133">
        <v>4859.0200000000004</v>
      </c>
      <c r="X133" t="s">
        <v>32</v>
      </c>
      <c r="Y133" t="s">
        <v>33</v>
      </c>
      <c r="Z133">
        <f>IF(T133="OK",P133*Q133*(1-S133),"invalid")</f>
        <v>31236.720000000001</v>
      </c>
      <c r="AA133">
        <f>IF(Z133="N/A","N/A",Z133-V133)</f>
        <v>4859.0200000000004</v>
      </c>
      <c r="AB133" s="8">
        <f>IF(Z133&lt;&gt;"N/A", AA133/Z133, "N/A")</f>
        <v>0.15555474454424154</v>
      </c>
      <c r="AC133">
        <f>MONTH(B133)</f>
        <v>10</v>
      </c>
      <c r="AD133">
        <f>YEAR(B133)</f>
        <v>2024</v>
      </c>
      <c r="AE133" s="10">
        <f t="shared" si="2"/>
        <v>0</v>
      </c>
      <c r="AF133" t="s">
        <v>2800</v>
      </c>
      <c r="AG133" t="s">
        <v>2798</v>
      </c>
    </row>
    <row r="134" spans="1:33">
      <c r="A134" t="s">
        <v>811</v>
      </c>
      <c r="B134" s="4">
        <v>45537</v>
      </c>
      <c r="C134" s="4">
        <v>45538</v>
      </c>
      <c r="D134">
        <f>_xlfn.DAYS(C134,B134)</f>
        <v>1</v>
      </c>
      <c r="E134" t="s">
        <v>2804</v>
      </c>
      <c r="F134" t="s">
        <v>812</v>
      </c>
      <c r="G134" t="s">
        <v>264</v>
      </c>
      <c r="H134" t="s">
        <v>95</v>
      </c>
      <c r="I134" t="s">
        <v>25</v>
      </c>
      <c r="J134" t="s">
        <v>350</v>
      </c>
      <c r="K134" t="s">
        <v>351</v>
      </c>
      <c r="L134" t="s">
        <v>41</v>
      </c>
      <c r="M134" t="s">
        <v>57</v>
      </c>
      <c r="N134" t="s">
        <v>813</v>
      </c>
      <c r="O134" t="s">
        <v>50</v>
      </c>
      <c r="P134">
        <v>9</v>
      </c>
      <c r="Q134">
        <v>1353.61</v>
      </c>
      <c r="R134">
        <v>0.1</v>
      </c>
      <c r="S134">
        <f>IF(ISNUMBER(SEARCH("%",R134)), VALUE(SUBSTITUTE(R134,"%",""))/100,IF(ISNUMBER(R134), R134, 0))</f>
        <v>0.1</v>
      </c>
      <c r="T134" t="str">
        <f>IF(S134&lt;0,"Negative discount (invalid)",IF(S134&gt;0.5,"Discount above allowed range (invalid)",IF(AND(R134="",S134=0),"Missing discount set to 0","OK")))</f>
        <v>OK</v>
      </c>
      <c r="U134">
        <v>10964.24</v>
      </c>
      <c r="V134">
        <v>9262.4699999999993</v>
      </c>
      <c r="W134">
        <v>1701.77</v>
      </c>
      <c r="X134" t="s">
        <v>32</v>
      </c>
      <c r="Y134" t="s">
        <v>33</v>
      </c>
      <c r="Z134">
        <f>IF(T134="OK",P134*Q134*(1-S134),"invalid")</f>
        <v>10964.241</v>
      </c>
      <c r="AA134">
        <f>IF(Z134="N/A","N/A",Z134-V134)</f>
        <v>1701.7710000000006</v>
      </c>
      <c r="AB134" s="8">
        <f>IF(Z134&lt;&gt;"N/A", AA134/Z134, "N/A")</f>
        <v>0.15521101734265058</v>
      </c>
      <c r="AC134">
        <f>MONTH(B134)</f>
        <v>9</v>
      </c>
      <c r="AD134">
        <f>YEAR(B134)</f>
        <v>2024</v>
      </c>
      <c r="AE134" s="10">
        <f t="shared" si="2"/>
        <v>1.0000000002037268E-3</v>
      </c>
      <c r="AF134" t="s">
        <v>2804</v>
      </c>
      <c r="AG134" t="s">
        <v>2811</v>
      </c>
    </row>
    <row r="135" spans="1:33">
      <c r="A135" t="s">
        <v>814</v>
      </c>
      <c r="B135" s="4">
        <v>45598</v>
      </c>
      <c r="C135" s="4">
        <v>45599</v>
      </c>
      <c r="D135">
        <f>_xlfn.DAYS(C135,B135)</f>
        <v>1</v>
      </c>
      <c r="E135" t="s">
        <v>2804</v>
      </c>
      <c r="F135" t="s">
        <v>815</v>
      </c>
      <c r="G135" t="s">
        <v>118</v>
      </c>
      <c r="H135" t="s">
        <v>37</v>
      </c>
      <c r="I135" t="s">
        <v>63</v>
      </c>
      <c r="J135" t="s">
        <v>26</v>
      </c>
      <c r="K135" t="s">
        <v>109</v>
      </c>
      <c r="L135" t="s">
        <v>28</v>
      </c>
      <c r="M135" t="s">
        <v>124</v>
      </c>
      <c r="N135" t="s">
        <v>816</v>
      </c>
      <c r="O135" t="s">
        <v>59</v>
      </c>
      <c r="P135">
        <v>6</v>
      </c>
      <c r="Q135">
        <v>2671.29</v>
      </c>
      <c r="R135">
        <v>0.05</v>
      </c>
      <c r="S135">
        <f>IF(ISNUMBER(SEARCH("%",R135)), VALUE(SUBSTITUTE(R135,"%",""))/100,IF(ISNUMBER(R135), R135, 0))</f>
        <v>0.05</v>
      </c>
      <c r="T135" t="str">
        <f>IF(S135&lt;0,"Negative discount (invalid)",IF(S135&gt;0.5,"Discount above allowed range (invalid)",IF(AND(R135="",S135=0),"Missing discount set to 0","OK")))</f>
        <v>OK</v>
      </c>
      <c r="U135">
        <v>15226.35</v>
      </c>
      <c r="V135">
        <v>11145.28</v>
      </c>
      <c r="W135">
        <v>4081.07</v>
      </c>
      <c r="X135" t="s">
        <v>32</v>
      </c>
      <c r="Y135" t="s">
        <v>33</v>
      </c>
      <c r="Z135">
        <f>IF(T135="OK",P135*Q135*(1-S135),"invalid")</f>
        <v>15226.352999999999</v>
      </c>
      <c r="AA135">
        <f>IF(Z135="N/A","N/A",Z135-V135)</f>
        <v>4081.0729999999985</v>
      </c>
      <c r="AB135" s="8">
        <f>IF(Z135&lt;&gt;"N/A", AA135/Z135, "N/A")</f>
        <v>0.26802695300706603</v>
      </c>
      <c r="AC135">
        <f>MONTH(B135)</f>
        <v>11</v>
      </c>
      <c r="AD135">
        <f>YEAR(B135)</f>
        <v>2024</v>
      </c>
      <c r="AE135" s="10">
        <f t="shared" si="2"/>
        <v>2.999999998792191E-3</v>
      </c>
      <c r="AF135" t="s">
        <v>2804</v>
      </c>
      <c r="AG135" t="s">
        <v>2811</v>
      </c>
    </row>
    <row r="136" spans="1:33">
      <c r="A136" t="s">
        <v>817</v>
      </c>
      <c r="B136" s="4">
        <v>45579</v>
      </c>
      <c r="C136" s="4">
        <v>45586</v>
      </c>
      <c r="D136">
        <f>_xlfn.DAYS(C136,B136)</f>
        <v>7</v>
      </c>
      <c r="E136" t="s">
        <v>2804</v>
      </c>
      <c r="F136" t="s">
        <v>818</v>
      </c>
      <c r="G136" t="s">
        <v>114</v>
      </c>
      <c r="H136" t="s">
        <v>90</v>
      </c>
      <c r="I136" t="s">
        <v>25</v>
      </c>
      <c r="J136" t="s">
        <v>136</v>
      </c>
      <c r="K136" t="s">
        <v>137</v>
      </c>
      <c r="L136" t="s">
        <v>41</v>
      </c>
      <c r="M136" t="s">
        <v>158</v>
      </c>
      <c r="N136" t="s">
        <v>819</v>
      </c>
      <c r="O136" t="s">
        <v>50</v>
      </c>
      <c r="P136">
        <v>6</v>
      </c>
      <c r="Q136">
        <v>4062.78</v>
      </c>
      <c r="R136">
        <v>0</v>
      </c>
      <c r="S136">
        <f>IF(ISNUMBER(SEARCH("%",R136)), VALUE(SUBSTITUTE(R136,"%",""))/100,IF(ISNUMBER(R136), R136, 0))</f>
        <v>0</v>
      </c>
      <c r="T136" t="str">
        <f>IF(S136&lt;0,"Negative discount (invalid)",IF(S136&gt;0.5,"Discount above allowed range (invalid)",IF(AND(R136="",S136=0),"Missing discount set to 0","OK")))</f>
        <v>OK</v>
      </c>
      <c r="U136">
        <v>24376.68</v>
      </c>
      <c r="V136">
        <v>18533.39</v>
      </c>
      <c r="W136">
        <v>5843.29</v>
      </c>
      <c r="X136" t="s">
        <v>32</v>
      </c>
      <c r="Y136" t="s">
        <v>33</v>
      </c>
      <c r="Z136">
        <f>IF(T136="OK",P136*Q136*(1-S136),"invalid")</f>
        <v>24376.68</v>
      </c>
      <c r="AA136">
        <f>IF(Z136="N/A","N/A",Z136-V136)</f>
        <v>5843.2900000000009</v>
      </c>
      <c r="AB136" s="8">
        <f>IF(Z136&lt;&gt;"N/A", AA136/Z136, "N/A")</f>
        <v>0.23970819652224998</v>
      </c>
      <c r="AC136">
        <f>MONTH(B136)</f>
        <v>10</v>
      </c>
      <c r="AD136">
        <f>YEAR(B136)</f>
        <v>2024</v>
      </c>
      <c r="AE136" s="10">
        <f t="shared" si="2"/>
        <v>0</v>
      </c>
      <c r="AF136" t="s">
        <v>2804</v>
      </c>
      <c r="AG136" t="s">
        <v>2811</v>
      </c>
    </row>
    <row r="137" spans="1:33">
      <c r="A137" t="s">
        <v>820</v>
      </c>
      <c r="B137" s="4">
        <v>45531</v>
      </c>
      <c r="C137" s="4">
        <v>45531</v>
      </c>
      <c r="D137">
        <f>_xlfn.DAYS(C137,B137)</f>
        <v>0</v>
      </c>
      <c r="E137" t="s">
        <v>2804</v>
      </c>
      <c r="F137" t="s">
        <v>821</v>
      </c>
      <c r="G137" t="s">
        <v>36</v>
      </c>
      <c r="H137" t="s">
        <v>24</v>
      </c>
      <c r="I137" t="s">
        <v>25</v>
      </c>
      <c r="J137" t="s">
        <v>236</v>
      </c>
      <c r="K137" t="s">
        <v>237</v>
      </c>
      <c r="L137" t="s">
        <v>74</v>
      </c>
      <c r="M137" t="s">
        <v>80</v>
      </c>
      <c r="N137" t="s">
        <v>822</v>
      </c>
      <c r="O137" t="s">
        <v>59</v>
      </c>
      <c r="P137">
        <v>9</v>
      </c>
      <c r="Q137">
        <v>2330.3000000000002</v>
      </c>
      <c r="R137">
        <v>0</v>
      </c>
      <c r="S137">
        <f>IF(ISNUMBER(SEARCH("%",R137)), VALUE(SUBSTITUTE(R137,"%",""))/100,IF(ISNUMBER(R137), R137, 0))</f>
        <v>0</v>
      </c>
      <c r="T137" t="str">
        <f>IF(S137&lt;0,"Negative discount (invalid)",IF(S137&gt;0.5,"Discount above allowed range (invalid)",IF(AND(R137="",S137=0),"Missing discount set to 0","OK")))</f>
        <v>OK</v>
      </c>
      <c r="U137">
        <v>20972.7</v>
      </c>
      <c r="V137">
        <v>13504.88</v>
      </c>
      <c r="W137">
        <v>7467.82</v>
      </c>
      <c r="X137" t="s">
        <v>32</v>
      </c>
      <c r="Y137" t="s">
        <v>33</v>
      </c>
      <c r="Z137">
        <f>IF(T137="OK",P137*Q137*(1-S137),"invalid")</f>
        <v>20972.7</v>
      </c>
      <c r="AA137">
        <f>IF(Z137="N/A","N/A",Z137-V137)</f>
        <v>7467.8200000000015</v>
      </c>
      <c r="AB137" s="8">
        <f>IF(Z137&lt;&gt;"N/A", AA137/Z137, "N/A")</f>
        <v>0.35607337157352181</v>
      </c>
      <c r="AC137">
        <f>MONTH(B137)</f>
        <v>8</v>
      </c>
      <c r="AD137">
        <f>YEAR(B137)</f>
        <v>2024</v>
      </c>
      <c r="AE137" s="10">
        <f t="shared" si="2"/>
        <v>0</v>
      </c>
      <c r="AF137" t="s">
        <v>2804</v>
      </c>
      <c r="AG137" t="s">
        <v>2811</v>
      </c>
    </row>
    <row r="138" spans="1:33">
      <c r="A138" t="s">
        <v>823</v>
      </c>
      <c r="B138" s="4">
        <v>45303</v>
      </c>
      <c r="C138" s="4">
        <v>45308</v>
      </c>
      <c r="D138">
        <f>_xlfn.DAYS(C138,B138)</f>
        <v>5</v>
      </c>
      <c r="E138" t="s">
        <v>2804</v>
      </c>
      <c r="F138" t="s">
        <v>824</v>
      </c>
      <c r="G138" t="s">
        <v>53</v>
      </c>
      <c r="H138" t="s">
        <v>24</v>
      </c>
      <c r="I138" t="s">
        <v>54</v>
      </c>
      <c r="J138" t="s">
        <v>84</v>
      </c>
      <c r="K138" t="s">
        <v>85</v>
      </c>
      <c r="L138" t="s">
        <v>28</v>
      </c>
      <c r="M138" t="s">
        <v>124</v>
      </c>
      <c r="N138" t="s">
        <v>825</v>
      </c>
      <c r="O138" t="s">
        <v>50</v>
      </c>
      <c r="P138">
        <v>7</v>
      </c>
      <c r="Q138">
        <v>4005.05</v>
      </c>
      <c r="R138">
        <v>0.55000000000000004</v>
      </c>
      <c r="S138">
        <f>IF(ISNUMBER(SEARCH("%",R138)), VALUE(SUBSTITUTE(R138,"%",""))/100,IF(ISNUMBER(R138), R138, 0))</f>
        <v>0.55000000000000004</v>
      </c>
      <c r="T138" t="str">
        <f>IF(S138&lt;0,"Negative discount (invalid)",IF(S138&gt;0.5,"Discount above allowed range (invalid)",IF(AND(R138="",S138=0),"Missing discount set to 0","OK")))</f>
        <v>Discount above allowed range (invalid)</v>
      </c>
      <c r="U138">
        <v>26633.58</v>
      </c>
      <c r="V138">
        <v>18838.75</v>
      </c>
      <c r="W138">
        <v>7794.83</v>
      </c>
      <c r="X138" t="s">
        <v>32</v>
      </c>
      <c r="Y138" t="s">
        <v>33</v>
      </c>
      <c r="Z138" t="s">
        <v>2793</v>
      </c>
      <c r="AA138" t="str">
        <f>IF(Z138="N/A","N/A",Z138-V138)</f>
        <v>N/A</v>
      </c>
      <c r="AB138" s="8" t="str">
        <f>IF(Z138&lt;&gt;"N/A", AA138/Z138, "N/A")</f>
        <v>N/A</v>
      </c>
      <c r="AC138">
        <f>MONTH(B138)</f>
        <v>1</v>
      </c>
      <c r="AD138">
        <f>YEAR(B138)</f>
        <v>2024</v>
      </c>
      <c r="AE138" s="10" t="str">
        <f t="shared" si="2"/>
        <v>N/A</v>
      </c>
      <c r="AF138" t="s">
        <v>2802</v>
      </c>
      <c r="AG138" t="s">
        <v>2789</v>
      </c>
    </row>
    <row r="139" spans="1:33">
      <c r="A139" t="s">
        <v>826</v>
      </c>
      <c r="B139" s="4">
        <v>45556</v>
      </c>
      <c r="C139" s="4">
        <v>45556</v>
      </c>
      <c r="D139">
        <f>_xlfn.DAYS(C139,B139)</f>
        <v>0</v>
      </c>
      <c r="E139" t="s">
        <v>2804</v>
      </c>
      <c r="F139" t="s">
        <v>827</v>
      </c>
      <c r="G139" t="s">
        <v>264</v>
      </c>
      <c r="H139" t="s">
        <v>90</v>
      </c>
      <c r="I139" t="s">
        <v>54</v>
      </c>
      <c r="J139" t="s">
        <v>175</v>
      </c>
      <c r="K139" t="s">
        <v>176</v>
      </c>
      <c r="L139" t="s">
        <v>74</v>
      </c>
      <c r="M139" t="s">
        <v>274</v>
      </c>
      <c r="N139" t="s">
        <v>828</v>
      </c>
      <c r="O139" t="s">
        <v>50</v>
      </c>
      <c r="P139">
        <v>2</v>
      </c>
      <c r="Q139">
        <v>1960.06</v>
      </c>
      <c r="R139">
        <v>0.2</v>
      </c>
      <c r="S139">
        <f>IF(ISNUMBER(SEARCH("%",R139)), VALUE(SUBSTITUTE(R139,"%",""))/100,IF(ISNUMBER(R139), R139, 0))</f>
        <v>0.2</v>
      </c>
      <c r="T139" t="str">
        <f>IF(S139&lt;0,"Negative discount (invalid)",IF(S139&gt;0.5,"Discount above allowed range (invalid)",IF(AND(R139="",S139=0),"Missing discount set to 0","OK")))</f>
        <v>OK</v>
      </c>
      <c r="U139">
        <v>3136.1</v>
      </c>
      <c r="V139">
        <v>2279.4899999999998</v>
      </c>
      <c r="W139">
        <v>856.61</v>
      </c>
      <c r="X139" t="s">
        <v>32</v>
      </c>
      <c r="Y139" t="s">
        <v>33</v>
      </c>
      <c r="Z139">
        <f>IF(T139="OK",P139*Q139*(1-S139),"invalid")</f>
        <v>3136.096</v>
      </c>
      <c r="AA139">
        <f>IF(Z139="N/A","N/A",Z139-V139)</f>
        <v>856.60600000000022</v>
      </c>
      <c r="AB139" s="8">
        <f>IF(Z139&lt;&gt;"N/A", AA139/Z139, "N/A")</f>
        <v>0.273144061916472</v>
      </c>
      <c r="AC139">
        <f>MONTH(B139)</f>
        <v>9</v>
      </c>
      <c r="AD139">
        <f>YEAR(B139)</f>
        <v>2024</v>
      </c>
      <c r="AE139" s="10">
        <f t="shared" si="2"/>
        <v>3.9999999999054126E-3</v>
      </c>
      <c r="AF139" t="s">
        <v>2804</v>
      </c>
      <c r="AG139" t="s">
        <v>2811</v>
      </c>
    </row>
    <row r="140" spans="1:33">
      <c r="A140" t="s">
        <v>829</v>
      </c>
      <c r="B140" s="4">
        <v>45643</v>
      </c>
      <c r="C140" s="4">
        <v>45649</v>
      </c>
      <c r="D140">
        <f>_xlfn.DAYS(C140,B140)</f>
        <v>6</v>
      </c>
      <c r="E140" t="s">
        <v>2804</v>
      </c>
      <c r="F140" t="s">
        <v>830</v>
      </c>
      <c r="G140" t="s">
        <v>128</v>
      </c>
      <c r="H140" t="s">
        <v>90</v>
      </c>
      <c r="I140" t="s">
        <v>54</v>
      </c>
      <c r="J140" t="s">
        <v>55</v>
      </c>
      <c r="K140" t="s">
        <v>56</v>
      </c>
      <c r="L140" t="s">
        <v>28</v>
      </c>
      <c r="M140" t="s">
        <v>153</v>
      </c>
      <c r="N140" t="s">
        <v>831</v>
      </c>
      <c r="O140" t="s">
        <v>50</v>
      </c>
      <c r="P140">
        <v>9</v>
      </c>
      <c r="Q140">
        <v>2315.1</v>
      </c>
      <c r="R140">
        <v>0</v>
      </c>
      <c r="S140">
        <f>IF(ISNUMBER(SEARCH("%",R140)), VALUE(SUBSTITUTE(R140,"%",""))/100,IF(ISNUMBER(R140), R140, 0))</f>
        <v>0</v>
      </c>
      <c r="T140" t="str">
        <f>IF(S140&lt;0,"Negative discount (invalid)",IF(S140&gt;0.5,"Discount above allowed range (invalid)",IF(AND(R140="",S140=0),"Missing discount set to 0","OK")))</f>
        <v>OK</v>
      </c>
      <c r="U140">
        <v>20835.900000000001</v>
      </c>
      <c r="V140">
        <v>13928.19</v>
      </c>
      <c r="W140">
        <v>6907.71</v>
      </c>
      <c r="X140" t="s">
        <v>32</v>
      </c>
      <c r="Y140" t="s">
        <v>33</v>
      </c>
      <c r="Z140">
        <f>IF(T140="OK",P140*Q140*(1-S140),"invalid")</f>
        <v>20835.899999999998</v>
      </c>
      <c r="AA140">
        <f>IF(Z140="N/A","N/A",Z140-V140)</f>
        <v>6907.7099999999973</v>
      </c>
      <c r="AB140" s="8">
        <f>IF(Z140&lt;&gt;"N/A", AA140/Z140, "N/A")</f>
        <v>0.33152923559817421</v>
      </c>
      <c r="AC140">
        <f>MONTH(B140)</f>
        <v>12</v>
      </c>
      <c r="AD140">
        <f>YEAR(B140)</f>
        <v>2024</v>
      </c>
      <c r="AE140" s="10">
        <f t="shared" si="2"/>
        <v>3.637978807091713E-12</v>
      </c>
      <c r="AF140" t="s">
        <v>2804</v>
      </c>
      <c r="AG140" t="s">
        <v>2811</v>
      </c>
    </row>
    <row r="141" spans="1:33">
      <c r="A141" t="s">
        <v>841</v>
      </c>
      <c r="B141" s="4">
        <v>45527</v>
      </c>
      <c r="C141" s="4">
        <v>45528</v>
      </c>
      <c r="D141">
        <f>_xlfn.DAYS(C141,B141)</f>
        <v>1</v>
      </c>
      <c r="E141" t="s">
        <v>2804</v>
      </c>
      <c r="F141" t="s">
        <v>842</v>
      </c>
      <c r="G141" t="s">
        <v>79</v>
      </c>
      <c r="H141" t="s">
        <v>24</v>
      </c>
      <c r="I141" t="s">
        <v>54</v>
      </c>
      <c r="J141" t="s">
        <v>55</v>
      </c>
      <c r="K141" t="s">
        <v>56</v>
      </c>
      <c r="L141" t="s">
        <v>41</v>
      </c>
      <c r="M141" t="s">
        <v>158</v>
      </c>
      <c r="N141" t="s">
        <v>843</v>
      </c>
      <c r="O141" t="s">
        <v>44</v>
      </c>
      <c r="P141">
        <v>6</v>
      </c>
      <c r="Q141">
        <v>1021.89</v>
      </c>
      <c r="R141">
        <v>0</v>
      </c>
      <c r="S141">
        <f>IF(ISNUMBER(SEARCH("%",R141)), VALUE(SUBSTITUTE(R141,"%",""))/100,IF(ISNUMBER(R141), R141, 0))</f>
        <v>0</v>
      </c>
      <c r="T141" t="str">
        <f>IF(S141&lt;0,"Negative discount (invalid)",IF(S141&gt;0.5,"Discount above allowed range (invalid)",IF(AND(R141="",S141=0),"Missing discount set to 0","OK")))</f>
        <v>OK</v>
      </c>
      <c r="U141">
        <v>6131.34</v>
      </c>
      <c r="V141">
        <v>4060.88</v>
      </c>
      <c r="W141">
        <v>2070.46</v>
      </c>
      <c r="X141" t="s">
        <v>32</v>
      </c>
      <c r="Y141" t="s">
        <v>33</v>
      </c>
      <c r="Z141">
        <f>IF(T141="OK",P141*Q141*(1-S141),"invalid")</f>
        <v>6131.34</v>
      </c>
      <c r="AA141">
        <f>IF(Z141="N/A","N/A",Z141-V141)</f>
        <v>2070.46</v>
      </c>
      <c r="AB141" s="8">
        <f>IF(Z141&lt;&gt;"N/A", AA141/Z141, "N/A")</f>
        <v>0.33768474754295147</v>
      </c>
      <c r="AC141">
        <f>MONTH(B141)</f>
        <v>8</v>
      </c>
      <c r="AD141">
        <f>YEAR(B141)</f>
        <v>2024</v>
      </c>
      <c r="AE141" s="10">
        <f t="shared" si="2"/>
        <v>0</v>
      </c>
      <c r="AF141" t="s">
        <v>2804</v>
      </c>
      <c r="AG141" t="s">
        <v>2811</v>
      </c>
    </row>
    <row r="142" spans="1:33">
      <c r="A142" t="s">
        <v>844</v>
      </c>
      <c r="B142" s="4">
        <v>45583</v>
      </c>
      <c r="C142" s="4">
        <v>45589</v>
      </c>
      <c r="D142">
        <f>_xlfn.DAYS(C142,B142)</f>
        <v>6</v>
      </c>
      <c r="E142" t="s">
        <v>2804</v>
      </c>
      <c r="F142" t="s">
        <v>845</v>
      </c>
      <c r="G142" t="s">
        <v>79</v>
      </c>
      <c r="H142" t="s">
        <v>95</v>
      </c>
      <c r="I142" t="s">
        <v>54</v>
      </c>
      <c r="J142" t="s">
        <v>185</v>
      </c>
      <c r="K142" t="s">
        <v>186</v>
      </c>
      <c r="L142" t="s">
        <v>41</v>
      </c>
      <c r="M142" t="s">
        <v>66</v>
      </c>
      <c r="N142" t="s">
        <v>846</v>
      </c>
      <c r="O142" t="s">
        <v>31</v>
      </c>
      <c r="P142">
        <v>3</v>
      </c>
      <c r="Q142">
        <v>3275.93</v>
      </c>
      <c r="R142">
        <v>0</v>
      </c>
      <c r="S142">
        <f>IF(ISNUMBER(SEARCH("%",R142)), VALUE(SUBSTITUTE(R142,"%",""))/100,IF(ISNUMBER(R142), R142, 0))</f>
        <v>0</v>
      </c>
      <c r="T142" t="str">
        <f>IF(S142&lt;0,"Negative discount (invalid)",IF(S142&gt;0.5,"Discount above allowed range (invalid)",IF(AND(R142="",S142=0),"Missing discount set to 0","OK")))</f>
        <v>OK</v>
      </c>
      <c r="U142">
        <v>9827.7900000000009</v>
      </c>
      <c r="V142">
        <v>5478.28</v>
      </c>
      <c r="W142">
        <v>4349.51</v>
      </c>
      <c r="X142" t="s">
        <v>32</v>
      </c>
      <c r="Y142" t="s">
        <v>33</v>
      </c>
      <c r="Z142">
        <f>IF(T142="OK",P142*Q142*(1-S142),"invalid")</f>
        <v>9827.7899999999991</v>
      </c>
      <c r="AA142">
        <f>IF(Z142="N/A","N/A",Z142-V142)</f>
        <v>4349.5099999999993</v>
      </c>
      <c r="AB142" s="8">
        <f>IF(Z142&lt;&gt;"N/A", AA142/Z142, "N/A")</f>
        <v>0.44257254174132737</v>
      </c>
      <c r="AC142">
        <f>MONTH(B142)</f>
        <v>10</v>
      </c>
      <c r="AD142">
        <f>YEAR(B142)</f>
        <v>2024</v>
      </c>
      <c r="AE142" s="10">
        <f t="shared" si="2"/>
        <v>1.8189894035458565E-12</v>
      </c>
      <c r="AF142" t="s">
        <v>2804</v>
      </c>
      <c r="AG142" t="s">
        <v>2811</v>
      </c>
    </row>
    <row r="143" spans="1:33">
      <c r="A143" t="s">
        <v>847</v>
      </c>
      <c r="B143" s="4">
        <v>45416</v>
      </c>
      <c r="C143" s="4">
        <v>45421</v>
      </c>
      <c r="D143">
        <f>_xlfn.DAYS(C143,B143)</f>
        <v>5</v>
      </c>
      <c r="E143" t="s">
        <v>2804</v>
      </c>
      <c r="F143" t="s">
        <v>848</v>
      </c>
      <c r="G143" t="s">
        <v>62</v>
      </c>
      <c r="H143" t="s">
        <v>90</v>
      </c>
      <c r="I143" t="s">
        <v>25</v>
      </c>
      <c r="J143" t="s">
        <v>122</v>
      </c>
      <c r="K143" t="s">
        <v>123</v>
      </c>
      <c r="L143" t="s">
        <v>74</v>
      </c>
      <c r="M143" t="s">
        <v>274</v>
      </c>
      <c r="N143" t="s">
        <v>849</v>
      </c>
      <c r="O143" t="s">
        <v>44</v>
      </c>
      <c r="P143">
        <v>3</v>
      </c>
      <c r="Q143">
        <v>231.95</v>
      </c>
      <c r="R143">
        <v>0.25</v>
      </c>
      <c r="S143">
        <f>IF(ISNUMBER(SEARCH("%",R143)), VALUE(SUBSTITUTE(R143,"%",""))/100,IF(ISNUMBER(R143), R143, 0))</f>
        <v>0.25</v>
      </c>
      <c r="T143" t="str">
        <f>IF(S143&lt;0,"Negative discount (invalid)",IF(S143&gt;0.5,"Discount above allowed range (invalid)",IF(AND(R143="",S143=0),"Missing discount set to 0","OK")))</f>
        <v>OK</v>
      </c>
      <c r="U143">
        <v>521.89</v>
      </c>
      <c r="V143">
        <v>444.52</v>
      </c>
      <c r="W143">
        <v>77.37</v>
      </c>
      <c r="X143" t="s">
        <v>102</v>
      </c>
      <c r="Y143" t="s">
        <v>68</v>
      </c>
      <c r="Z143">
        <f>IF(T143="OK",P143*Q143*(1-S143),"invalid")</f>
        <v>521.88749999999993</v>
      </c>
      <c r="AA143">
        <f>IF(Z143="N/A","N/A",Z143-V143)</f>
        <v>77.36749999999995</v>
      </c>
      <c r="AB143" s="8">
        <f>IF(Z143&lt;&gt;"N/A", AA143/Z143, "N/A")</f>
        <v>0.14824555100476627</v>
      </c>
      <c r="AC143">
        <f>MONTH(B143)</f>
        <v>5</v>
      </c>
      <c r="AD143">
        <f>YEAR(B143)</f>
        <v>2024</v>
      </c>
      <c r="AE143" s="10">
        <f t="shared" si="2"/>
        <v>2.5000000000545697E-3</v>
      </c>
      <c r="AF143" t="s">
        <v>2804</v>
      </c>
      <c r="AG143" t="s">
        <v>2811</v>
      </c>
    </row>
    <row r="144" spans="1:33">
      <c r="A144" t="s">
        <v>850</v>
      </c>
      <c r="B144" s="4">
        <v>45498</v>
      </c>
      <c r="C144" s="4">
        <v>45505</v>
      </c>
      <c r="D144">
        <f>_xlfn.DAYS(C144,B144)</f>
        <v>7</v>
      </c>
      <c r="E144" t="s">
        <v>2804</v>
      </c>
      <c r="F144" t="s">
        <v>851</v>
      </c>
      <c r="G144" t="s">
        <v>118</v>
      </c>
      <c r="H144" t="s">
        <v>90</v>
      </c>
      <c r="I144" t="s">
        <v>25</v>
      </c>
      <c r="J144" t="s">
        <v>26</v>
      </c>
      <c r="K144" t="s">
        <v>27</v>
      </c>
      <c r="L144" t="s">
        <v>74</v>
      </c>
      <c r="M144" t="s">
        <v>75</v>
      </c>
      <c r="N144" t="s">
        <v>852</v>
      </c>
      <c r="O144" t="s">
        <v>31</v>
      </c>
      <c r="P144">
        <v>8</v>
      </c>
      <c r="Q144">
        <v>2493.4</v>
      </c>
      <c r="R144">
        <v>0.25</v>
      </c>
      <c r="S144">
        <f>IF(ISNUMBER(SEARCH("%",R144)), VALUE(SUBSTITUTE(R144,"%",""))/100,IF(ISNUMBER(R144), R144, 0))</f>
        <v>0.25</v>
      </c>
      <c r="T144" t="str">
        <f>IF(S144&lt;0,"Negative discount (invalid)",IF(S144&gt;0.5,"Discount above allowed range (invalid)",IF(AND(R144="",S144=0),"Missing discount set to 0","OK")))</f>
        <v>OK</v>
      </c>
      <c r="U144">
        <v>14960.4</v>
      </c>
      <c r="V144">
        <v>12500.84</v>
      </c>
      <c r="W144">
        <v>2459.56</v>
      </c>
      <c r="X144" t="s">
        <v>32</v>
      </c>
      <c r="Y144" t="s">
        <v>33</v>
      </c>
      <c r="Z144">
        <f>IF(T144="OK",P144*Q144*(1-S144),"invalid")</f>
        <v>14960.400000000001</v>
      </c>
      <c r="AA144">
        <f>IF(Z144="N/A","N/A",Z144-V144)</f>
        <v>2459.5600000000013</v>
      </c>
      <c r="AB144" s="8">
        <f>IF(Z144&lt;&gt;"N/A", AA144/Z144, "N/A")</f>
        <v>0.16440469506162944</v>
      </c>
      <c r="AC144">
        <f>MONTH(B144)</f>
        <v>7</v>
      </c>
      <c r="AD144">
        <f>YEAR(B144)</f>
        <v>2024</v>
      </c>
      <c r="AE144" s="10">
        <f t="shared" si="2"/>
        <v>1.8189894035458565E-12</v>
      </c>
      <c r="AF144" t="s">
        <v>2804</v>
      </c>
      <c r="AG144" t="s">
        <v>2811</v>
      </c>
    </row>
    <row r="145" spans="1:33">
      <c r="A145" t="s">
        <v>853</v>
      </c>
      <c r="B145" s="4">
        <v>45445</v>
      </c>
      <c r="C145" s="4">
        <v>45450</v>
      </c>
      <c r="D145">
        <f>_xlfn.DAYS(C145,B145)</f>
        <v>5</v>
      </c>
      <c r="E145" t="s">
        <v>2804</v>
      </c>
      <c r="F145" t="s">
        <v>854</v>
      </c>
      <c r="G145" t="s">
        <v>141</v>
      </c>
      <c r="H145" t="s">
        <v>95</v>
      </c>
      <c r="I145" t="s">
        <v>38</v>
      </c>
      <c r="J145" t="s">
        <v>39</v>
      </c>
      <c r="K145" t="s">
        <v>40</v>
      </c>
      <c r="L145" t="s">
        <v>28</v>
      </c>
      <c r="M145" t="s">
        <v>91</v>
      </c>
      <c r="N145" t="s">
        <v>855</v>
      </c>
      <c r="O145" t="s">
        <v>31</v>
      </c>
      <c r="P145">
        <v>9</v>
      </c>
      <c r="Q145">
        <v>787.91</v>
      </c>
      <c r="R145">
        <v>0.15</v>
      </c>
      <c r="S145">
        <f>IF(ISNUMBER(SEARCH("%",R145)), VALUE(SUBSTITUTE(R145,"%",""))/100,IF(ISNUMBER(R145), R145, 0))</f>
        <v>0.15</v>
      </c>
      <c r="T145" t="str">
        <f>IF(S145&lt;0,"Negative discount (invalid)",IF(S145&gt;0.5,"Discount above allowed range (invalid)",IF(AND(R145="",S145=0),"Missing discount set to 0","OK")))</f>
        <v>OK</v>
      </c>
      <c r="U145">
        <v>6027.51</v>
      </c>
      <c r="V145">
        <v>4883.82</v>
      </c>
      <c r="W145">
        <v>1143.69</v>
      </c>
      <c r="X145" t="s">
        <v>32</v>
      </c>
      <c r="Y145" t="s">
        <v>33</v>
      </c>
      <c r="Z145">
        <f>IF(T145="OK",P145*Q145*(1-S145),"invalid")</f>
        <v>6027.5114999999996</v>
      </c>
      <c r="AA145">
        <f>IF(Z145="N/A","N/A",Z145-V145)</f>
        <v>1143.6914999999999</v>
      </c>
      <c r="AB145" s="8">
        <f>IF(Z145&lt;&gt;"N/A", AA145/Z145, "N/A")</f>
        <v>0.18974522072666306</v>
      </c>
      <c r="AC145">
        <f>MONTH(B145)</f>
        <v>6</v>
      </c>
      <c r="AD145">
        <f>YEAR(B145)</f>
        <v>2024</v>
      </c>
      <c r="AE145" s="10">
        <f t="shared" si="2"/>
        <v>1.4999999993960955E-3</v>
      </c>
      <c r="AF145" t="s">
        <v>2804</v>
      </c>
      <c r="AG145" t="s">
        <v>2811</v>
      </c>
    </row>
    <row r="146" spans="1:33">
      <c r="A146" t="s">
        <v>859</v>
      </c>
      <c r="B146" s="4">
        <v>45343</v>
      </c>
      <c r="C146" s="4">
        <v>45349</v>
      </c>
      <c r="D146">
        <f>_xlfn.DAYS(C146,B146)</f>
        <v>6</v>
      </c>
      <c r="E146" t="s">
        <v>2804</v>
      </c>
      <c r="F146" t="s">
        <v>860</v>
      </c>
      <c r="G146" t="s">
        <v>53</v>
      </c>
      <c r="H146" t="s">
        <v>37</v>
      </c>
      <c r="I146" t="s">
        <v>38</v>
      </c>
      <c r="J146" t="s">
        <v>99</v>
      </c>
      <c r="K146" t="s">
        <v>100</v>
      </c>
      <c r="L146" t="s">
        <v>41</v>
      </c>
      <c r="M146" t="s">
        <v>57</v>
      </c>
      <c r="N146" t="s">
        <v>861</v>
      </c>
      <c r="O146" t="s">
        <v>59</v>
      </c>
      <c r="P146">
        <v>5</v>
      </c>
      <c r="Q146">
        <v>3373.86</v>
      </c>
      <c r="R146">
        <v>0.15</v>
      </c>
      <c r="S146">
        <f>IF(ISNUMBER(SEARCH("%",R146)), VALUE(SUBSTITUTE(R146,"%",""))/100,IF(ISNUMBER(R146), R146, 0))</f>
        <v>0.15</v>
      </c>
      <c r="T146" t="str">
        <f>IF(S146&lt;0,"Negative discount (invalid)",IF(S146&gt;0.5,"Discount above allowed range (invalid)",IF(AND(R146="",S146=0),"Missing discount set to 0","OK")))</f>
        <v>OK</v>
      </c>
      <c r="U146">
        <v>14338.9</v>
      </c>
      <c r="V146">
        <v>11897.65</v>
      </c>
      <c r="W146">
        <v>2441.25</v>
      </c>
      <c r="X146" t="s">
        <v>111</v>
      </c>
      <c r="Y146" t="s">
        <v>103</v>
      </c>
      <c r="Z146">
        <f>IF(T146="OK",P146*Q146*(1-S146),"invalid")</f>
        <v>14338.904999999999</v>
      </c>
      <c r="AA146">
        <f>IF(Z146="N/A","N/A",Z146-V146)</f>
        <v>2441.2549999999992</v>
      </c>
      <c r="AB146" s="8">
        <f>IF(Z146&lt;&gt;"N/A", AA146/Z146, "N/A")</f>
        <v>0.17025393501107647</v>
      </c>
      <c r="AC146">
        <f>MONTH(B146)</f>
        <v>2</v>
      </c>
      <c r="AD146">
        <f>YEAR(B146)</f>
        <v>2024</v>
      </c>
      <c r="AE146" s="10">
        <f t="shared" si="2"/>
        <v>4.9999999991996447E-3</v>
      </c>
      <c r="AF146" t="s">
        <v>2804</v>
      </c>
      <c r="AG146" t="s">
        <v>2811</v>
      </c>
    </row>
    <row r="147" spans="1:33">
      <c r="A147" t="s">
        <v>868</v>
      </c>
      <c r="B147" s="4">
        <v>45547</v>
      </c>
      <c r="C147" s="4">
        <v>45548</v>
      </c>
      <c r="D147">
        <f>_xlfn.DAYS(C147,B147)</f>
        <v>1</v>
      </c>
      <c r="E147" t="s">
        <v>2804</v>
      </c>
      <c r="F147" t="s">
        <v>869</v>
      </c>
      <c r="G147" t="s">
        <v>114</v>
      </c>
      <c r="H147" t="s">
        <v>37</v>
      </c>
      <c r="I147" t="s">
        <v>25</v>
      </c>
      <c r="J147" t="s">
        <v>26</v>
      </c>
      <c r="K147" t="s">
        <v>27</v>
      </c>
      <c r="L147" t="s">
        <v>74</v>
      </c>
      <c r="M147" t="s">
        <v>171</v>
      </c>
      <c r="N147" t="s">
        <v>870</v>
      </c>
      <c r="O147" t="s">
        <v>44</v>
      </c>
      <c r="P147">
        <v>6</v>
      </c>
      <c r="Q147">
        <v>832.79</v>
      </c>
      <c r="R147">
        <v>0.05</v>
      </c>
      <c r="S147">
        <f>IF(ISNUMBER(SEARCH("%",R147)), VALUE(SUBSTITUTE(R147,"%",""))/100,IF(ISNUMBER(R147), R147, 0))</f>
        <v>0.05</v>
      </c>
      <c r="T147" t="str">
        <f>IF(S147&lt;0,"Negative discount (invalid)",IF(S147&gt;0.5,"Discount above allowed range (invalid)",IF(AND(R147="",S147=0),"Missing discount set to 0","OK")))</f>
        <v>OK</v>
      </c>
      <c r="U147">
        <v>4746.8999999999996</v>
      </c>
      <c r="V147">
        <v>2825.38</v>
      </c>
      <c r="W147">
        <v>1472.89</v>
      </c>
      <c r="X147" t="s">
        <v>102</v>
      </c>
      <c r="Y147" t="s">
        <v>68</v>
      </c>
      <c r="Z147">
        <f>IF(T147="OK",P147*Q147*(1-S147),"invalid")</f>
        <v>4746.9029999999993</v>
      </c>
      <c r="AA147">
        <f>IF(Z147="N/A","N/A",Z147-V147)</f>
        <v>1921.5229999999992</v>
      </c>
      <c r="AB147" s="8">
        <f>IF(Z147&lt;&gt;"N/A", AA147/Z147, "N/A")</f>
        <v>0.40479508428969363</v>
      </c>
      <c r="AC147">
        <f>MONTH(B147)</f>
        <v>9</v>
      </c>
      <c r="AD147">
        <f>YEAR(B147)</f>
        <v>2024</v>
      </c>
      <c r="AE147" s="10">
        <f t="shared" si="2"/>
        <v>2.9999999997016857E-3</v>
      </c>
      <c r="AF147" t="s">
        <v>2804</v>
      </c>
      <c r="AG147" t="s">
        <v>2811</v>
      </c>
    </row>
    <row r="148" spans="1:33">
      <c r="A148" t="s">
        <v>877</v>
      </c>
      <c r="B148" s="4">
        <v>45601</v>
      </c>
      <c r="C148" s="4">
        <v>45599</v>
      </c>
      <c r="D148">
        <f>_xlfn.DAYS(C148,B148)</f>
        <v>-2</v>
      </c>
      <c r="E148" t="str">
        <f>IF(B148="INVALID","Missing/Invalid order_date", IF(C148="INVALID","Missing/Invalid ship_date",IF(AND(B148&lt;&gt;"",C148&lt;&gt;"",C148&lt;B148),"Ship date before order date","")))</f>
        <v>Ship date before order date</v>
      </c>
      <c r="F148" t="s">
        <v>878</v>
      </c>
      <c r="G148" t="s">
        <v>62</v>
      </c>
      <c r="H148" t="s">
        <v>24</v>
      </c>
      <c r="I148" t="s">
        <v>38</v>
      </c>
      <c r="J148" t="s">
        <v>99</v>
      </c>
      <c r="K148" t="s">
        <v>100</v>
      </c>
      <c r="L148" t="s">
        <v>41</v>
      </c>
      <c r="M148" t="s">
        <v>42</v>
      </c>
      <c r="N148" t="s">
        <v>879</v>
      </c>
      <c r="O148" t="s">
        <v>50</v>
      </c>
      <c r="P148">
        <v>9</v>
      </c>
      <c r="Q148">
        <v>2260.61</v>
      </c>
      <c r="R148">
        <v>0.05</v>
      </c>
      <c r="S148">
        <f>IF(ISNUMBER(SEARCH("%",R148)), VALUE(SUBSTITUTE(R148,"%",""))/100,IF(ISNUMBER(R148), R148, 0))</f>
        <v>0.05</v>
      </c>
      <c r="T148" t="str">
        <f>IF(S148&lt;0,"Negative discount (invalid)",IF(S148&gt;0.5,"Discount above allowed range (invalid)",IF(AND(R148="",S148=0),"Missing discount set to 0","OK")))</f>
        <v>OK</v>
      </c>
      <c r="U148">
        <v>19328.22</v>
      </c>
      <c r="V148">
        <v>12039.5</v>
      </c>
      <c r="W148">
        <v>7288.72</v>
      </c>
      <c r="X148" t="s">
        <v>32</v>
      </c>
      <c r="Y148" t="s">
        <v>33</v>
      </c>
      <c r="Z148">
        <f>IF(T148="OK",P148*Q148*(1-S148),"invalid")</f>
        <v>19328.215500000002</v>
      </c>
      <c r="AA148">
        <f>IF(Z148="N/A","N/A",Z148-V148)</f>
        <v>7288.7155000000021</v>
      </c>
      <c r="AB148" s="8">
        <f>IF(Z148&lt;&gt;"N/A", AA148/Z148, "N/A")</f>
        <v>0.3771023507058891</v>
      </c>
      <c r="AC148">
        <f>MONTH(B148)</f>
        <v>11</v>
      </c>
      <c r="AD148">
        <f>YEAR(B148)</f>
        <v>2024</v>
      </c>
      <c r="AE148" s="10">
        <f t="shared" si="2"/>
        <v>4.4999999990977813E-3</v>
      </c>
      <c r="AF148" t="s">
        <v>2806</v>
      </c>
      <c r="AG148" t="s">
        <v>2789</v>
      </c>
    </row>
    <row r="149" spans="1:33">
      <c r="A149" t="s">
        <v>883</v>
      </c>
      <c r="B149" s="4">
        <v>45656</v>
      </c>
      <c r="C149" s="4">
        <v>45661</v>
      </c>
      <c r="D149">
        <f>_xlfn.DAYS(C149,B149)</f>
        <v>5</v>
      </c>
      <c r="E149" t="s">
        <v>2804</v>
      </c>
      <c r="F149" t="s">
        <v>884</v>
      </c>
      <c r="G149" t="s">
        <v>132</v>
      </c>
      <c r="H149" t="s">
        <v>90</v>
      </c>
      <c r="I149" t="s">
        <v>54</v>
      </c>
      <c r="J149" t="s">
        <v>247</v>
      </c>
      <c r="K149" t="s">
        <v>248</v>
      </c>
      <c r="L149" t="s">
        <v>41</v>
      </c>
      <c r="M149" t="s">
        <v>42</v>
      </c>
      <c r="N149" t="s">
        <v>885</v>
      </c>
      <c r="O149" t="s">
        <v>44</v>
      </c>
      <c r="P149">
        <v>2</v>
      </c>
      <c r="Q149">
        <v>3720.07</v>
      </c>
      <c r="R149">
        <v>0.25</v>
      </c>
      <c r="S149">
        <f>IF(ISNUMBER(SEARCH("%",R149)), VALUE(SUBSTITUTE(R149,"%",""))/100,IF(ISNUMBER(R149), R149, 0))</f>
        <v>0.25</v>
      </c>
      <c r="T149" t="str">
        <f>IF(S149&lt;0,"Negative discount (invalid)",IF(S149&gt;0.5,"Discount above allowed range (invalid)",IF(AND(R149="",S149=0),"Missing discount set to 0","OK")))</f>
        <v>OK</v>
      </c>
      <c r="U149">
        <v>5580.11</v>
      </c>
      <c r="V149">
        <v>4307.01</v>
      </c>
      <c r="W149">
        <v>1273.0999999999999</v>
      </c>
      <c r="X149" t="s">
        <v>32</v>
      </c>
      <c r="Y149" t="s">
        <v>33</v>
      </c>
      <c r="Z149">
        <f>IF(T149="OK",P149*Q149*(1-S149),"invalid")</f>
        <v>5580.1050000000005</v>
      </c>
      <c r="AA149">
        <f>IF(Z149="N/A","N/A",Z149-V149)</f>
        <v>1273.0950000000003</v>
      </c>
      <c r="AB149" s="8">
        <f>IF(Z149&lt;&gt;"N/A", AA149/Z149, "N/A")</f>
        <v>0.22814893268137429</v>
      </c>
      <c r="AC149">
        <f>MONTH(B149)</f>
        <v>12</v>
      </c>
      <c r="AD149">
        <f>YEAR(B149)</f>
        <v>2024</v>
      </c>
      <c r="AE149" s="10">
        <f t="shared" si="2"/>
        <v>4.9999999991996447E-3</v>
      </c>
      <c r="AF149" t="s">
        <v>2804</v>
      </c>
      <c r="AG149" t="s">
        <v>2811</v>
      </c>
    </row>
    <row r="150" spans="1:33">
      <c r="A150" t="s">
        <v>886</v>
      </c>
      <c r="B150" s="4">
        <v>45464</v>
      </c>
      <c r="C150" s="4">
        <v>45472</v>
      </c>
      <c r="D150">
        <f>_xlfn.DAYS(C150,B150)</f>
        <v>8</v>
      </c>
      <c r="E150" t="s">
        <v>2804</v>
      </c>
      <c r="F150" t="s">
        <v>887</v>
      </c>
      <c r="G150" t="s">
        <v>79</v>
      </c>
      <c r="H150" t="s">
        <v>24</v>
      </c>
      <c r="I150" t="s">
        <v>54</v>
      </c>
      <c r="J150" t="s">
        <v>247</v>
      </c>
      <c r="K150" t="s">
        <v>248</v>
      </c>
      <c r="L150" t="s">
        <v>74</v>
      </c>
      <c r="M150" t="s">
        <v>274</v>
      </c>
      <c r="N150" t="s">
        <v>888</v>
      </c>
      <c r="O150" t="s">
        <v>59</v>
      </c>
      <c r="P150">
        <v>8</v>
      </c>
      <c r="Q150">
        <v>2853.92</v>
      </c>
      <c r="R150">
        <v>0.2</v>
      </c>
      <c r="S150">
        <f>IF(ISNUMBER(SEARCH("%",R150)), VALUE(SUBSTITUTE(R150,"%",""))/100,IF(ISNUMBER(R150), R150, 0))</f>
        <v>0.2</v>
      </c>
      <c r="T150" t="str">
        <f>IF(S150&lt;0,"Negative discount (invalid)",IF(S150&gt;0.5,"Discount above allowed range (invalid)",IF(AND(R150="",S150=0),"Missing discount set to 0","OK")))</f>
        <v>OK</v>
      </c>
      <c r="U150">
        <v>18265.09</v>
      </c>
      <c r="V150">
        <v>10437.14</v>
      </c>
      <c r="W150">
        <v>7827.95</v>
      </c>
      <c r="X150" t="s">
        <v>32</v>
      </c>
      <c r="Y150" t="s">
        <v>33</v>
      </c>
      <c r="Z150">
        <f>IF(T150="OK",P150*Q150*(1-S150),"invalid")</f>
        <v>18265.088</v>
      </c>
      <c r="AA150">
        <f>IF(Z150="N/A","N/A",Z150-V150)</f>
        <v>7827.9480000000003</v>
      </c>
      <c r="AB150" s="8">
        <f>IF(Z150&lt;&gt;"N/A", AA150/Z150, "N/A")</f>
        <v>0.42857433810338064</v>
      </c>
      <c r="AC150">
        <f>MONTH(B150)</f>
        <v>6</v>
      </c>
      <c r="AD150">
        <f>YEAR(B150)</f>
        <v>2024</v>
      </c>
      <c r="AE150" s="10">
        <f t="shared" si="2"/>
        <v>2.0000000004074536E-3</v>
      </c>
      <c r="AF150" t="s">
        <v>2804</v>
      </c>
      <c r="AG150" t="s">
        <v>2811</v>
      </c>
    </row>
    <row r="151" spans="1:33">
      <c r="A151" t="s">
        <v>900</v>
      </c>
      <c r="B151" s="4">
        <v>45428</v>
      </c>
      <c r="C151" s="4">
        <v>45433</v>
      </c>
      <c r="D151">
        <f>_xlfn.DAYS(C151,B151)</f>
        <v>5</v>
      </c>
      <c r="E151" t="s">
        <v>2804</v>
      </c>
      <c r="F151" t="s">
        <v>901</v>
      </c>
      <c r="G151" t="s">
        <v>162</v>
      </c>
      <c r="H151" t="s">
        <v>37</v>
      </c>
      <c r="I151" t="s">
        <v>38</v>
      </c>
      <c r="J151" t="s">
        <v>145</v>
      </c>
      <c r="K151" t="s">
        <v>146</v>
      </c>
      <c r="L151" t="s">
        <v>74</v>
      </c>
      <c r="M151" t="s">
        <v>80</v>
      </c>
      <c r="N151" t="s">
        <v>902</v>
      </c>
      <c r="O151" t="s">
        <v>59</v>
      </c>
      <c r="P151">
        <v>4</v>
      </c>
      <c r="Q151">
        <v>1503.07</v>
      </c>
      <c r="R151">
        <v>0</v>
      </c>
      <c r="S151">
        <f>IF(ISNUMBER(SEARCH("%",R151)), VALUE(SUBSTITUTE(R151,"%",""))/100,IF(ISNUMBER(R151), R151, 0))</f>
        <v>0</v>
      </c>
      <c r="T151" t="str">
        <f>IF(S151&lt;0,"Negative discount (invalid)",IF(S151&gt;0.5,"Discount above allowed range (invalid)",IF(AND(R151="",S151=0),"Missing discount set to 0","OK")))</f>
        <v>OK</v>
      </c>
      <c r="U151">
        <v>6012.28</v>
      </c>
      <c r="V151">
        <v>3927.64</v>
      </c>
      <c r="W151">
        <v>2084.64</v>
      </c>
      <c r="X151" t="s">
        <v>32</v>
      </c>
      <c r="Y151" t="s">
        <v>33</v>
      </c>
      <c r="Z151">
        <f>IF(T151="OK",P151*Q151*(1-S151),"invalid")</f>
        <v>6012.28</v>
      </c>
      <c r="AA151">
        <f>IF(Z151="N/A","N/A",Z151-V151)</f>
        <v>2084.64</v>
      </c>
      <c r="AB151" s="8">
        <f>IF(Z151&lt;&gt;"N/A", AA151/Z151, "N/A")</f>
        <v>0.34673035853286938</v>
      </c>
      <c r="AC151">
        <f>MONTH(B151)</f>
        <v>5</v>
      </c>
      <c r="AD151">
        <f>YEAR(B151)</f>
        <v>2024</v>
      </c>
      <c r="AE151" s="10">
        <f t="shared" si="2"/>
        <v>0</v>
      </c>
      <c r="AF151" t="s">
        <v>2804</v>
      </c>
      <c r="AG151" t="s">
        <v>2811</v>
      </c>
    </row>
    <row r="152" spans="1:33">
      <c r="A152" t="s">
        <v>903</v>
      </c>
      <c r="B152" s="4">
        <v>45610</v>
      </c>
      <c r="C152" s="4">
        <v>45618</v>
      </c>
      <c r="D152">
        <f>_xlfn.DAYS(C152,B152)</f>
        <v>8</v>
      </c>
      <c r="E152" t="s">
        <v>2804</v>
      </c>
      <c r="F152" t="s">
        <v>904</v>
      </c>
      <c r="G152" t="s">
        <v>114</v>
      </c>
      <c r="H152" t="s">
        <v>90</v>
      </c>
      <c r="I152" t="s">
        <v>38</v>
      </c>
      <c r="J152" t="s">
        <v>145</v>
      </c>
      <c r="K152" t="s">
        <v>146</v>
      </c>
      <c r="L152" t="s">
        <v>41</v>
      </c>
      <c r="M152" t="s">
        <v>158</v>
      </c>
      <c r="N152" t="s">
        <v>905</v>
      </c>
      <c r="O152" t="s">
        <v>44</v>
      </c>
      <c r="P152">
        <v>1</v>
      </c>
      <c r="Q152">
        <v>582.37</v>
      </c>
      <c r="R152">
        <v>0.15</v>
      </c>
      <c r="S152">
        <f>IF(ISNUMBER(SEARCH("%",R152)), VALUE(SUBSTITUTE(R152,"%",""))/100,IF(ISNUMBER(R152), R152, 0))</f>
        <v>0.15</v>
      </c>
      <c r="T152" t="str">
        <f>IF(S152&lt;0,"Negative discount (invalid)",IF(S152&gt;0.5,"Discount above allowed range (invalid)",IF(AND(R152="",S152=0),"Missing discount set to 0","OK")))</f>
        <v>OK</v>
      </c>
      <c r="U152">
        <v>495.01</v>
      </c>
      <c r="V152">
        <v>285.13</v>
      </c>
      <c r="W152">
        <v>209.88</v>
      </c>
      <c r="X152" t="s">
        <v>102</v>
      </c>
      <c r="Y152" t="s">
        <v>68</v>
      </c>
      <c r="Z152">
        <f>IF(T152="OK",P152*Q152*(1-S152),"invalid")</f>
        <v>495.0145</v>
      </c>
      <c r="AA152">
        <f>IF(Z152="N/A","N/A",Z152-V152)</f>
        <v>209.8845</v>
      </c>
      <c r="AB152" s="8">
        <f>IF(Z152&lt;&gt;"N/A", AA152/Z152, "N/A")</f>
        <v>0.42399667080459258</v>
      </c>
      <c r="AC152">
        <f>MONTH(B152)</f>
        <v>11</v>
      </c>
      <c r="AD152">
        <f>YEAR(B152)</f>
        <v>2024</v>
      </c>
      <c r="AE152" s="10">
        <f t="shared" si="2"/>
        <v>4.500000000007276E-3</v>
      </c>
      <c r="AF152" t="s">
        <v>2804</v>
      </c>
      <c r="AG152" t="s">
        <v>2811</v>
      </c>
    </row>
    <row r="153" spans="1:33">
      <c r="A153" t="s">
        <v>918</v>
      </c>
      <c r="B153" s="4">
        <v>45303</v>
      </c>
      <c r="C153" s="4">
        <v>45304</v>
      </c>
      <c r="D153">
        <f>_xlfn.DAYS(C153,B153)</f>
        <v>1</v>
      </c>
      <c r="E153" t="s">
        <v>2804</v>
      </c>
      <c r="F153" t="s">
        <v>919</v>
      </c>
      <c r="G153" t="s">
        <v>89</v>
      </c>
      <c r="H153" t="s">
        <v>90</v>
      </c>
      <c r="I153" t="s">
        <v>25</v>
      </c>
      <c r="J153" t="s">
        <v>136</v>
      </c>
      <c r="K153" t="s">
        <v>137</v>
      </c>
      <c r="L153" t="s">
        <v>74</v>
      </c>
      <c r="M153" t="s">
        <v>274</v>
      </c>
      <c r="N153" t="s">
        <v>920</v>
      </c>
      <c r="O153" t="s">
        <v>44</v>
      </c>
      <c r="P153">
        <v>3</v>
      </c>
      <c r="Q153">
        <v>827.44</v>
      </c>
      <c r="R153">
        <v>0</v>
      </c>
      <c r="S153">
        <f>IF(ISNUMBER(SEARCH("%",R153)), VALUE(SUBSTITUTE(R153,"%",""))/100,IF(ISNUMBER(R153), R153, 0))</f>
        <v>0</v>
      </c>
      <c r="T153" t="str">
        <f>IF(S153&lt;0,"Negative discount (invalid)",IF(S153&gt;0.5,"Discount above allowed range (invalid)",IF(AND(R153="",S153=0),"Missing discount set to 0","OK")))</f>
        <v>OK</v>
      </c>
      <c r="U153">
        <v>2482.3200000000002</v>
      </c>
      <c r="V153">
        <v>1520.21</v>
      </c>
      <c r="W153">
        <v>962.11</v>
      </c>
      <c r="X153" t="s">
        <v>32</v>
      </c>
      <c r="Y153" t="s">
        <v>33</v>
      </c>
      <c r="Z153">
        <f>IF(T153="OK",P153*Q153*(1-S153),"invalid")</f>
        <v>2482.3200000000002</v>
      </c>
      <c r="AA153">
        <f>IF(Z153="N/A","N/A",Z153-V153)</f>
        <v>962.11000000000013</v>
      </c>
      <c r="AB153" s="8">
        <f>IF(Z153&lt;&gt;"N/A", AA153/Z153, "N/A")</f>
        <v>0.38758500112797706</v>
      </c>
      <c r="AC153">
        <f>MONTH(B153)</f>
        <v>1</v>
      </c>
      <c r="AD153">
        <f>YEAR(B153)</f>
        <v>2024</v>
      </c>
      <c r="AE153" s="10">
        <f t="shared" si="2"/>
        <v>0</v>
      </c>
      <c r="AF153" t="s">
        <v>2804</v>
      </c>
      <c r="AG153" t="s">
        <v>2811</v>
      </c>
    </row>
    <row r="154" spans="1:33">
      <c r="A154" t="s">
        <v>921</v>
      </c>
      <c r="B154" s="4">
        <v>45647</v>
      </c>
      <c r="C154" s="4">
        <v>45651</v>
      </c>
      <c r="D154">
        <f>_xlfn.DAYS(C154,B154)</f>
        <v>4</v>
      </c>
      <c r="E154" t="s">
        <v>2804</v>
      </c>
      <c r="F154" t="s">
        <v>922</v>
      </c>
      <c r="G154" t="s">
        <v>89</v>
      </c>
      <c r="H154" t="s">
        <v>24</v>
      </c>
      <c r="I154" t="s">
        <v>54</v>
      </c>
      <c r="J154" t="s">
        <v>55</v>
      </c>
      <c r="K154" t="s">
        <v>56</v>
      </c>
      <c r="L154" t="s">
        <v>28</v>
      </c>
      <c r="M154" t="s">
        <v>153</v>
      </c>
      <c r="N154" t="s">
        <v>923</v>
      </c>
      <c r="O154" t="s">
        <v>59</v>
      </c>
      <c r="P154">
        <v>7</v>
      </c>
      <c r="Q154">
        <v>1667.75</v>
      </c>
      <c r="R154">
        <v>0</v>
      </c>
      <c r="S154">
        <f>IF(ISNUMBER(SEARCH("%",R154)), VALUE(SUBSTITUTE(R154,"%",""))/100,IF(ISNUMBER(R154), R154, 0))</f>
        <v>0</v>
      </c>
      <c r="T154" t="str">
        <f>IF(S154&lt;0,"Negative discount (invalid)",IF(S154&gt;0.5,"Discount above allowed range (invalid)",IF(AND(R154="",S154=0),"Missing discount set to 0","OK")))</f>
        <v>OK</v>
      </c>
      <c r="U154">
        <v>11674.25</v>
      </c>
      <c r="V154">
        <v>9621.19</v>
      </c>
      <c r="W154">
        <v>2053.06</v>
      </c>
      <c r="X154" t="s">
        <v>155</v>
      </c>
      <c r="Y154" t="s">
        <v>68</v>
      </c>
      <c r="Z154">
        <f>IF(T154="OK",P154*Q154*(1-S154),"invalid")</f>
        <v>11674.25</v>
      </c>
      <c r="AA154">
        <f>IF(Z154="N/A","N/A",Z154-V154)</f>
        <v>2053.0599999999995</v>
      </c>
      <c r="AB154" s="8">
        <f>IF(Z154&lt;&gt;"N/A", AA154/Z154, "N/A")</f>
        <v>0.17586226095894808</v>
      </c>
      <c r="AC154">
        <f>MONTH(B154)</f>
        <v>12</v>
      </c>
      <c r="AD154">
        <f>YEAR(B154)</f>
        <v>2024</v>
      </c>
      <c r="AE154" s="10">
        <f t="shared" si="2"/>
        <v>0</v>
      </c>
      <c r="AF154" t="s">
        <v>2804</v>
      </c>
      <c r="AG154" t="s">
        <v>2811</v>
      </c>
    </row>
    <row r="155" spans="1:33">
      <c r="A155" t="s">
        <v>924</v>
      </c>
      <c r="B155" s="4">
        <v>45522</v>
      </c>
      <c r="C155" s="4">
        <v>45528</v>
      </c>
      <c r="D155">
        <f>_xlfn.DAYS(C155,B155)</f>
        <v>6</v>
      </c>
      <c r="E155" t="s">
        <v>2804</v>
      </c>
      <c r="F155" t="s">
        <v>925</v>
      </c>
      <c r="G155" t="s">
        <v>53</v>
      </c>
      <c r="H155" t="s">
        <v>24</v>
      </c>
      <c r="I155" t="s">
        <v>54</v>
      </c>
      <c r="J155" t="s">
        <v>84</v>
      </c>
      <c r="K155" t="s">
        <v>85</v>
      </c>
      <c r="L155" t="s">
        <v>41</v>
      </c>
      <c r="M155" t="s">
        <v>66</v>
      </c>
      <c r="N155" t="s">
        <v>926</v>
      </c>
      <c r="O155" t="s">
        <v>50</v>
      </c>
      <c r="P155">
        <v>7</v>
      </c>
      <c r="Q155">
        <v>557.21</v>
      </c>
      <c r="R155">
        <v>0.1</v>
      </c>
      <c r="S155">
        <f>IF(ISNUMBER(SEARCH("%",R155)), VALUE(SUBSTITUTE(R155,"%",""))/100,IF(ISNUMBER(R155), R155, 0))</f>
        <v>0.1</v>
      </c>
      <c r="T155" t="str">
        <f>IF(S155&lt;0,"Negative discount (invalid)",IF(S155&gt;0.5,"Discount above allowed range (invalid)",IF(AND(R155="",S155=0),"Missing discount set to 0","OK")))</f>
        <v>OK</v>
      </c>
      <c r="U155">
        <v>3510.42</v>
      </c>
      <c r="V155">
        <v>2191.5</v>
      </c>
      <c r="W155">
        <v>1213.48</v>
      </c>
      <c r="X155" t="s">
        <v>32</v>
      </c>
      <c r="Y155" t="s">
        <v>33</v>
      </c>
      <c r="Z155">
        <f>IF(T155="OK",P155*Q155*(1-S155),"invalid")</f>
        <v>3510.4230000000002</v>
      </c>
      <c r="AA155">
        <f>IF(Z155="N/A","N/A",Z155-V155)</f>
        <v>1318.9230000000002</v>
      </c>
      <c r="AB155" s="8">
        <f>IF(Z155&lt;&gt;"N/A", AA155/Z155, "N/A")</f>
        <v>0.37571625983535323</v>
      </c>
      <c r="AC155">
        <f>MONTH(B155)</f>
        <v>8</v>
      </c>
      <c r="AD155">
        <f>YEAR(B155)</f>
        <v>2024</v>
      </c>
      <c r="AE155" s="10">
        <f t="shared" si="2"/>
        <v>3.0000000001564331E-3</v>
      </c>
      <c r="AF155" t="s">
        <v>2804</v>
      </c>
      <c r="AG155" t="s">
        <v>2811</v>
      </c>
    </row>
    <row r="156" spans="1:33">
      <c r="A156" t="s">
        <v>924</v>
      </c>
      <c r="B156" s="4">
        <v>45522</v>
      </c>
      <c r="C156" s="4">
        <v>45528</v>
      </c>
      <c r="D156">
        <f>_xlfn.DAYS(C156,B156)</f>
        <v>6</v>
      </c>
      <c r="E156" t="s">
        <v>2804</v>
      </c>
      <c r="F156" t="s">
        <v>925</v>
      </c>
      <c r="G156" t="s">
        <v>53</v>
      </c>
      <c r="H156" t="s">
        <v>24</v>
      </c>
      <c r="I156" t="s">
        <v>54</v>
      </c>
      <c r="J156" t="s">
        <v>84</v>
      </c>
      <c r="K156" t="s">
        <v>85</v>
      </c>
      <c r="L156" t="s">
        <v>41</v>
      </c>
      <c r="M156" t="s">
        <v>66</v>
      </c>
      <c r="N156" t="s">
        <v>926</v>
      </c>
      <c r="O156" t="s">
        <v>50</v>
      </c>
      <c r="P156">
        <v>7</v>
      </c>
      <c r="Q156">
        <v>557.21</v>
      </c>
      <c r="R156">
        <v>0.1</v>
      </c>
      <c r="S156">
        <f>IF(ISNUMBER(SEARCH("%",R156)), VALUE(SUBSTITUTE(R156,"%",""))/100,IF(ISNUMBER(R156), R156, 0))</f>
        <v>0.1</v>
      </c>
      <c r="T156" t="str">
        <f>IF(S156&lt;0,"Negative discount (invalid)",IF(S156&gt;0.5,"Discount above allowed range (invalid)",IF(AND(R156="",S156=0),"Missing discount set to 0","OK")))</f>
        <v>OK</v>
      </c>
      <c r="U156">
        <v>3797.79</v>
      </c>
      <c r="V156">
        <v>2191.5</v>
      </c>
      <c r="W156">
        <v>1213.48</v>
      </c>
      <c r="X156" t="s">
        <v>32</v>
      </c>
      <c r="Y156" t="s">
        <v>103</v>
      </c>
      <c r="Z156">
        <f>IF(T156="OK",P156*Q156*(1-S156),"invalid")</f>
        <v>3510.4230000000002</v>
      </c>
      <c r="AA156">
        <f>IF(Z156="N/A","N/A",Z156-V156)</f>
        <v>1318.9230000000002</v>
      </c>
      <c r="AB156" s="8">
        <f>IF(Z156&lt;&gt;"N/A", AA156/Z156, "N/A")</f>
        <v>0.37571625983535323</v>
      </c>
      <c r="AC156">
        <f>MONTH(B156)</f>
        <v>8</v>
      </c>
      <c r="AD156">
        <f>YEAR(B156)</f>
        <v>2024</v>
      </c>
      <c r="AE156" s="10">
        <f t="shared" si="2"/>
        <v>287.36699999999973</v>
      </c>
      <c r="AF156" t="s">
        <v>2807</v>
      </c>
      <c r="AG156" t="s">
        <v>2789</v>
      </c>
    </row>
    <row r="157" spans="1:33">
      <c r="A157" t="s">
        <v>930</v>
      </c>
      <c r="B157" s="4">
        <v>45389</v>
      </c>
      <c r="C157" s="4">
        <v>45396</v>
      </c>
      <c r="D157">
        <f>_xlfn.DAYS(C157,B157)</f>
        <v>7</v>
      </c>
      <c r="E157" t="s">
        <v>2804</v>
      </c>
      <c r="F157" t="s">
        <v>931</v>
      </c>
      <c r="G157" t="s">
        <v>141</v>
      </c>
      <c r="H157" t="s">
        <v>24</v>
      </c>
      <c r="I157" t="s">
        <v>54</v>
      </c>
      <c r="J157" t="s">
        <v>185</v>
      </c>
      <c r="K157" t="s">
        <v>186</v>
      </c>
      <c r="L157" t="s">
        <v>74</v>
      </c>
      <c r="M157" t="s">
        <v>80</v>
      </c>
      <c r="N157" t="s">
        <v>932</v>
      </c>
      <c r="O157" t="s">
        <v>59</v>
      </c>
      <c r="P157">
        <v>6</v>
      </c>
      <c r="Q157">
        <v>4246.71</v>
      </c>
      <c r="R157">
        <v>0.15</v>
      </c>
      <c r="S157">
        <f>IF(ISNUMBER(SEARCH("%",R157)), VALUE(SUBSTITUTE(R157,"%",""))/100,IF(ISNUMBER(R157), R157, 0))</f>
        <v>0.15</v>
      </c>
      <c r="T157" t="str">
        <f>IF(S157&lt;0,"Negative discount (invalid)",IF(S157&gt;0.5,"Discount above allowed range (invalid)",IF(AND(R157="",S157=0),"Missing discount set to 0","OK")))</f>
        <v>OK</v>
      </c>
      <c r="U157">
        <v>21658.22</v>
      </c>
      <c r="V157">
        <v>15490.69</v>
      </c>
      <c r="W157">
        <v>6167.53</v>
      </c>
      <c r="X157" t="s">
        <v>155</v>
      </c>
      <c r="Y157" t="s">
        <v>103</v>
      </c>
      <c r="Z157">
        <f>IF(T157="OK",P157*Q157*(1-S157),"invalid")</f>
        <v>21658.221000000001</v>
      </c>
      <c r="AA157">
        <f>IF(Z157="N/A","N/A",Z157-V157)</f>
        <v>6167.5310000000009</v>
      </c>
      <c r="AB157" s="8">
        <f>IF(Z157&lt;&gt;"N/A", AA157/Z157, "N/A")</f>
        <v>0.28476627881856043</v>
      </c>
      <c r="AC157">
        <f>MONTH(B157)</f>
        <v>4</v>
      </c>
      <c r="AD157">
        <f>YEAR(B157)</f>
        <v>2024</v>
      </c>
      <c r="AE157" s="10">
        <f t="shared" si="2"/>
        <v>1.0000000002037268E-3</v>
      </c>
      <c r="AF157" t="s">
        <v>2804</v>
      </c>
      <c r="AG157" t="s">
        <v>2811</v>
      </c>
    </row>
    <row r="158" spans="1:33">
      <c r="A158" t="s">
        <v>933</v>
      </c>
      <c r="B158" s="4">
        <v>45337</v>
      </c>
      <c r="C158" s="4">
        <v>45344</v>
      </c>
      <c r="D158">
        <f>_xlfn.DAYS(C158,B158)</f>
        <v>7</v>
      </c>
      <c r="E158" t="s">
        <v>2804</v>
      </c>
      <c r="F158" t="s">
        <v>934</v>
      </c>
      <c r="G158" t="s">
        <v>114</v>
      </c>
      <c r="H158" t="s">
        <v>37</v>
      </c>
      <c r="I158" t="s">
        <v>38</v>
      </c>
      <c r="J158" t="s">
        <v>99</v>
      </c>
      <c r="K158" t="s">
        <v>100</v>
      </c>
      <c r="L158" t="s">
        <v>41</v>
      </c>
      <c r="M158" t="s">
        <v>57</v>
      </c>
      <c r="N158" t="s">
        <v>935</v>
      </c>
      <c r="O158" t="s">
        <v>44</v>
      </c>
      <c r="P158">
        <v>1</v>
      </c>
      <c r="Q158">
        <v>980.51</v>
      </c>
      <c r="R158">
        <v>0</v>
      </c>
      <c r="S158">
        <f>IF(ISNUMBER(SEARCH("%",R158)), VALUE(SUBSTITUTE(R158,"%",""))/100,IF(ISNUMBER(R158), R158, 0))</f>
        <v>0</v>
      </c>
      <c r="T158" t="str">
        <f>IF(S158&lt;0,"Negative discount (invalid)",IF(S158&gt;0.5,"Discount above allowed range (invalid)",IF(AND(R158="",S158=0),"Missing discount set to 0","OK")))</f>
        <v>OK</v>
      </c>
      <c r="U158">
        <v>980.51</v>
      </c>
      <c r="V158">
        <v>660.92</v>
      </c>
      <c r="W158">
        <v>319.58999999999997</v>
      </c>
      <c r="X158" t="s">
        <v>32</v>
      </c>
      <c r="Y158" t="s">
        <v>33</v>
      </c>
      <c r="Z158">
        <f>IF(T158="OK",P158*Q158*(1-S158),"invalid")</f>
        <v>980.51</v>
      </c>
      <c r="AA158">
        <f>IF(Z158="N/A","N/A",Z158-V158)</f>
        <v>319.59000000000003</v>
      </c>
      <c r="AB158" s="8">
        <f>IF(Z158&lt;&gt;"N/A", AA158/Z158, "N/A")</f>
        <v>0.32594262169687205</v>
      </c>
      <c r="AC158">
        <f>MONTH(B158)</f>
        <v>2</v>
      </c>
      <c r="AD158">
        <f>YEAR(B158)</f>
        <v>2024</v>
      </c>
      <c r="AE158" s="10">
        <f t="shared" si="2"/>
        <v>0</v>
      </c>
      <c r="AF158" t="s">
        <v>2804</v>
      </c>
      <c r="AG158" t="s">
        <v>2811</v>
      </c>
    </row>
    <row r="159" spans="1:33">
      <c r="A159" t="s">
        <v>936</v>
      </c>
      <c r="B159" s="4">
        <v>45313</v>
      </c>
      <c r="C159" s="4">
        <v>45314</v>
      </c>
      <c r="D159">
        <f>_xlfn.DAYS(C159,B159)</f>
        <v>1</v>
      </c>
      <c r="E159" t="s">
        <v>2804</v>
      </c>
      <c r="F159" t="s">
        <v>937</v>
      </c>
      <c r="G159" t="s">
        <v>128</v>
      </c>
      <c r="H159" t="s">
        <v>37</v>
      </c>
      <c r="I159" t="s">
        <v>2785</v>
      </c>
      <c r="J159" t="s">
        <v>166</v>
      </c>
      <c r="K159" t="s">
        <v>167</v>
      </c>
      <c r="L159" t="s">
        <v>41</v>
      </c>
      <c r="M159" t="s">
        <v>66</v>
      </c>
      <c r="N159" t="s">
        <v>938</v>
      </c>
      <c r="O159" t="s">
        <v>31</v>
      </c>
      <c r="P159">
        <v>6</v>
      </c>
      <c r="Q159">
        <v>3391.53</v>
      </c>
      <c r="R159">
        <v>-0.14000000000000001</v>
      </c>
      <c r="S159">
        <f>IF(ISNUMBER(SEARCH("%",R159)), VALUE(SUBSTITUTE(R159,"%",""))/100,IF(ISNUMBER(R159), R159, 0))</f>
        <v>-0.14000000000000001</v>
      </c>
      <c r="T159" t="str">
        <f>IF(S159&lt;0,"Negative discount (invalid)",IF(S159&gt;0.5,"Discount above allowed range (invalid)",IF(AND(R159="",S159=0),"Missing discount set to 0","OK")))</f>
        <v>Negative discount (invalid)</v>
      </c>
      <c r="U159">
        <v>15261.89</v>
      </c>
      <c r="V159">
        <v>8413.5300000000007</v>
      </c>
      <c r="W159">
        <v>6848.36</v>
      </c>
      <c r="X159" t="s">
        <v>32</v>
      </c>
      <c r="Y159" t="s">
        <v>33</v>
      </c>
      <c r="Z159" t="s">
        <v>2793</v>
      </c>
      <c r="AA159" t="str">
        <f>IF(Z159="N/A","N/A",Z159-V159)</f>
        <v>N/A</v>
      </c>
      <c r="AB159" s="8" t="str">
        <f>IF(Z159&lt;&gt;"N/A", AA159/Z159, "N/A")</f>
        <v>N/A</v>
      </c>
      <c r="AC159">
        <f>MONTH(B159)</f>
        <v>1</v>
      </c>
      <c r="AD159">
        <f>YEAR(B159)</f>
        <v>2024</v>
      </c>
      <c r="AE159" s="10" t="str">
        <f t="shared" si="2"/>
        <v>N/A</v>
      </c>
      <c r="AF159" t="s">
        <v>2803</v>
      </c>
      <c r="AG159" t="s">
        <v>2789</v>
      </c>
    </row>
    <row r="160" spans="1:33">
      <c r="A160" t="s">
        <v>944</v>
      </c>
      <c r="B160" s="4">
        <v>45391</v>
      </c>
      <c r="C160" s="4">
        <v>45392</v>
      </c>
      <c r="D160">
        <f>_xlfn.DAYS(C160,B160)</f>
        <v>1</v>
      </c>
      <c r="E160" t="s">
        <v>2804</v>
      </c>
      <c r="F160" t="s">
        <v>945</v>
      </c>
      <c r="G160" t="s">
        <v>141</v>
      </c>
      <c r="H160" t="s">
        <v>37</v>
      </c>
      <c r="I160" t="s">
        <v>63</v>
      </c>
      <c r="J160" t="s">
        <v>64</v>
      </c>
      <c r="K160" t="s">
        <v>65</v>
      </c>
      <c r="L160" t="s">
        <v>28</v>
      </c>
      <c r="M160" t="s">
        <v>124</v>
      </c>
      <c r="N160" t="s">
        <v>946</v>
      </c>
      <c r="O160" t="s">
        <v>50</v>
      </c>
      <c r="P160">
        <v>1</v>
      </c>
      <c r="Q160">
        <v>4359.12</v>
      </c>
      <c r="R160">
        <v>0.05</v>
      </c>
      <c r="S160">
        <f>IF(ISNUMBER(SEARCH("%",R160)), VALUE(SUBSTITUTE(R160,"%",""))/100,IF(ISNUMBER(R160), R160, 0))</f>
        <v>0.05</v>
      </c>
      <c r="T160" t="str">
        <f>IF(S160&lt;0,"Negative discount (invalid)",IF(S160&gt;0.5,"Discount above allowed range (invalid)",IF(AND(R160="",S160=0),"Missing discount set to 0","OK")))</f>
        <v>OK</v>
      </c>
      <c r="U160">
        <v>4141.16</v>
      </c>
      <c r="V160">
        <v>2754.17</v>
      </c>
      <c r="W160">
        <v>1386.99</v>
      </c>
      <c r="X160" t="s">
        <v>32</v>
      </c>
      <c r="Y160" t="s">
        <v>33</v>
      </c>
      <c r="Z160">
        <f>IF(T160="OK",P160*Q160*(1-S160),"invalid")</f>
        <v>4141.1639999999998</v>
      </c>
      <c r="AA160">
        <f>IF(Z160="N/A","N/A",Z160-V160)</f>
        <v>1386.9939999999997</v>
      </c>
      <c r="AB160" s="8">
        <f>IF(Z160&lt;&gt;"N/A", AA160/Z160, "N/A")</f>
        <v>0.33492853700070796</v>
      </c>
      <c r="AC160">
        <f>MONTH(B160)</f>
        <v>4</v>
      </c>
      <c r="AD160">
        <f>YEAR(B160)</f>
        <v>2024</v>
      </c>
      <c r="AE160" s="10">
        <f t="shared" si="2"/>
        <v>3.9999999999054126E-3</v>
      </c>
      <c r="AF160" t="s">
        <v>2804</v>
      </c>
      <c r="AG160" t="s">
        <v>2811</v>
      </c>
    </row>
    <row r="161" spans="1:33">
      <c r="A161" t="s">
        <v>947</v>
      </c>
      <c r="B161" s="4">
        <v>45649</v>
      </c>
      <c r="C161" s="4">
        <v>45652</v>
      </c>
      <c r="D161">
        <f>_xlfn.DAYS(C161,B161)</f>
        <v>3</v>
      </c>
      <c r="E161" t="s">
        <v>2804</v>
      </c>
      <c r="F161" t="s">
        <v>948</v>
      </c>
      <c r="G161" t="s">
        <v>89</v>
      </c>
      <c r="H161" t="s">
        <v>24</v>
      </c>
      <c r="I161" t="s">
        <v>54</v>
      </c>
      <c r="J161" t="s">
        <v>175</v>
      </c>
      <c r="K161" t="s">
        <v>176</v>
      </c>
      <c r="L161" t="s">
        <v>74</v>
      </c>
      <c r="M161" t="s">
        <v>80</v>
      </c>
      <c r="N161" t="s">
        <v>949</v>
      </c>
      <c r="O161" t="s">
        <v>59</v>
      </c>
      <c r="P161">
        <v>9</v>
      </c>
      <c r="Q161">
        <v>993.67</v>
      </c>
      <c r="R161">
        <v>0</v>
      </c>
      <c r="S161">
        <f>IF(ISNUMBER(SEARCH("%",R161)), VALUE(SUBSTITUTE(R161,"%",""))/100,IF(ISNUMBER(R161), R161, 0))</f>
        <v>0</v>
      </c>
      <c r="T161" t="str">
        <f>IF(S161&lt;0,"Negative discount (invalid)",IF(S161&gt;0.5,"Discount above allowed range (invalid)",IF(AND(R161="",S161=0),"Missing discount set to 0","OK")))</f>
        <v>OK</v>
      </c>
      <c r="U161">
        <v>8943.0300000000007</v>
      </c>
      <c r="V161">
        <v>5165.38</v>
      </c>
      <c r="W161">
        <v>3777.65</v>
      </c>
      <c r="X161" t="s">
        <v>32</v>
      </c>
      <c r="Y161" t="s">
        <v>33</v>
      </c>
      <c r="Z161">
        <f>IF(T161="OK",P161*Q161*(1-S161),"invalid")</f>
        <v>8943.0299999999988</v>
      </c>
      <c r="AA161">
        <f>IF(Z161="N/A","N/A",Z161-V161)</f>
        <v>3777.6499999999987</v>
      </c>
      <c r="AB161" s="8">
        <f>IF(Z161&lt;&gt;"N/A", AA161/Z161, "N/A")</f>
        <v>0.42241276167026154</v>
      </c>
      <c r="AC161">
        <f>MONTH(B161)</f>
        <v>12</v>
      </c>
      <c r="AD161">
        <f>YEAR(B161)</f>
        <v>2024</v>
      </c>
      <c r="AE161" s="10">
        <f t="shared" si="2"/>
        <v>1.8189894035458565E-12</v>
      </c>
      <c r="AF161" t="s">
        <v>2804</v>
      </c>
      <c r="AG161" t="s">
        <v>2811</v>
      </c>
    </row>
    <row r="162" spans="1:33">
      <c r="A162" t="s">
        <v>953</v>
      </c>
      <c r="B162" s="4">
        <v>45566</v>
      </c>
      <c r="C162" s="4">
        <v>45567</v>
      </c>
      <c r="D162">
        <f>_xlfn.DAYS(C162,B162)</f>
        <v>1</v>
      </c>
      <c r="E162" t="s">
        <v>2804</v>
      </c>
      <c r="F162" t="s">
        <v>954</v>
      </c>
      <c r="G162" t="s">
        <v>23</v>
      </c>
      <c r="H162" t="s">
        <v>95</v>
      </c>
      <c r="I162" t="s">
        <v>38</v>
      </c>
      <c r="J162" t="s">
        <v>166</v>
      </c>
      <c r="K162" t="s">
        <v>167</v>
      </c>
      <c r="L162" t="s">
        <v>41</v>
      </c>
      <c r="M162" t="s">
        <v>42</v>
      </c>
      <c r="N162" t="s">
        <v>955</v>
      </c>
      <c r="O162" t="s">
        <v>31</v>
      </c>
      <c r="P162">
        <v>2</v>
      </c>
      <c r="Q162">
        <v>2298</v>
      </c>
      <c r="R162">
        <v>0</v>
      </c>
      <c r="S162">
        <f>IF(ISNUMBER(SEARCH("%",R162)), VALUE(SUBSTITUTE(R162,"%",""))/100,IF(ISNUMBER(R162), R162, 0))</f>
        <v>0</v>
      </c>
      <c r="T162" t="str">
        <f>IF(S162&lt;0,"Negative discount (invalid)",IF(S162&gt;0.5,"Discount above allowed range (invalid)",IF(AND(R162="",S162=0),"Missing discount set to 0","OK")))</f>
        <v>OK</v>
      </c>
      <c r="U162">
        <v>4596</v>
      </c>
      <c r="V162">
        <v>3220.33</v>
      </c>
      <c r="W162">
        <v>1375.67</v>
      </c>
      <c r="X162" t="s">
        <v>32</v>
      </c>
      <c r="Y162" t="s">
        <v>33</v>
      </c>
      <c r="Z162">
        <f>IF(T162="OK",P162*Q162*(1-S162),"invalid")</f>
        <v>4596</v>
      </c>
      <c r="AA162">
        <f>IF(Z162="N/A","N/A",Z162-V162)</f>
        <v>1375.67</v>
      </c>
      <c r="AB162" s="8">
        <f>IF(Z162&lt;&gt;"N/A", AA162/Z162, "N/A")</f>
        <v>0.29931897302001742</v>
      </c>
      <c r="AC162">
        <f>MONTH(B162)</f>
        <v>10</v>
      </c>
      <c r="AD162">
        <f>YEAR(B162)</f>
        <v>2024</v>
      </c>
      <c r="AE162" s="10">
        <f t="shared" si="2"/>
        <v>0</v>
      </c>
      <c r="AF162" t="s">
        <v>2804</v>
      </c>
      <c r="AG162" t="s">
        <v>2811</v>
      </c>
    </row>
    <row r="163" spans="1:33">
      <c r="A163" t="s">
        <v>959</v>
      </c>
      <c r="B163" s="4">
        <v>45634</v>
      </c>
      <c r="C163" s="4">
        <v>45640</v>
      </c>
      <c r="D163">
        <f>_xlfn.DAYS(C163,B163)</f>
        <v>6</v>
      </c>
      <c r="E163" t="s">
        <v>2804</v>
      </c>
      <c r="F163" t="s">
        <v>960</v>
      </c>
      <c r="G163" t="s">
        <v>23</v>
      </c>
      <c r="H163" t="s">
        <v>24</v>
      </c>
      <c r="I163" t="s">
        <v>38</v>
      </c>
      <c r="J163" t="s">
        <v>39</v>
      </c>
      <c r="K163" t="s">
        <v>40</v>
      </c>
      <c r="L163" t="s">
        <v>41</v>
      </c>
      <c r="M163" t="s">
        <v>42</v>
      </c>
      <c r="N163" t="s">
        <v>961</v>
      </c>
      <c r="O163" t="s">
        <v>44</v>
      </c>
      <c r="P163">
        <v>3</v>
      </c>
      <c r="Q163">
        <v>1576.92</v>
      </c>
      <c r="R163">
        <v>0</v>
      </c>
      <c r="S163">
        <f>IF(ISNUMBER(SEARCH("%",R163)), VALUE(SUBSTITUTE(R163,"%",""))/100,IF(ISNUMBER(R163), R163, 0))</f>
        <v>0</v>
      </c>
      <c r="T163" t="str">
        <f>IF(S163&lt;0,"Negative discount (invalid)",IF(S163&gt;0.5,"Discount above allowed range (invalid)",IF(AND(R163="",S163=0),"Missing discount set to 0","OK")))</f>
        <v>OK</v>
      </c>
      <c r="U163">
        <v>4730.76</v>
      </c>
      <c r="V163">
        <v>3139.73</v>
      </c>
      <c r="W163">
        <v>1591.03</v>
      </c>
      <c r="X163" t="s">
        <v>32</v>
      </c>
      <c r="Y163" t="s">
        <v>103</v>
      </c>
      <c r="Z163">
        <f>IF(T163="OK",P163*Q163*(1-S163),"invalid")</f>
        <v>4730.76</v>
      </c>
      <c r="AA163">
        <f>IF(Z163="N/A","N/A",Z163-V163)</f>
        <v>1591.0300000000002</v>
      </c>
      <c r="AB163" s="8">
        <f>IF(Z163&lt;&gt;"N/A", AA163/Z163, "N/A")</f>
        <v>0.33631594077907145</v>
      </c>
      <c r="AC163">
        <f>MONTH(B163)</f>
        <v>12</v>
      </c>
      <c r="AD163">
        <f>YEAR(B163)</f>
        <v>2024</v>
      </c>
      <c r="AE163" s="10">
        <f t="shared" si="2"/>
        <v>0</v>
      </c>
      <c r="AF163" t="s">
        <v>2804</v>
      </c>
      <c r="AG163" t="s">
        <v>2811</v>
      </c>
    </row>
    <row r="164" spans="1:33">
      <c r="A164" t="s">
        <v>965</v>
      </c>
      <c r="B164" s="4">
        <v>45350</v>
      </c>
      <c r="C164" s="4">
        <v>45353</v>
      </c>
      <c r="D164">
        <f>_xlfn.DAYS(C164,B164)</f>
        <v>3</v>
      </c>
      <c r="E164" t="s">
        <v>2804</v>
      </c>
      <c r="F164" t="s">
        <v>966</v>
      </c>
      <c r="G164" t="s">
        <v>114</v>
      </c>
      <c r="H164" t="s">
        <v>37</v>
      </c>
      <c r="I164" t="s">
        <v>25</v>
      </c>
      <c r="J164" t="s">
        <v>350</v>
      </c>
      <c r="K164" t="s">
        <v>351</v>
      </c>
      <c r="L164" t="s">
        <v>41</v>
      </c>
      <c r="M164" t="s">
        <v>57</v>
      </c>
      <c r="N164" t="s">
        <v>967</v>
      </c>
      <c r="O164" t="s">
        <v>50</v>
      </c>
      <c r="P164">
        <v>7</v>
      </c>
      <c r="Q164">
        <v>701.8</v>
      </c>
      <c r="R164">
        <v>0.1</v>
      </c>
      <c r="S164">
        <f>IF(ISNUMBER(SEARCH("%",R164)), VALUE(SUBSTITUTE(R164,"%",""))/100,IF(ISNUMBER(R164), R164, 0))</f>
        <v>0.1</v>
      </c>
      <c r="T164" t="str">
        <f>IF(S164&lt;0,"Negative discount (invalid)",IF(S164&gt;0.5,"Discount above allowed range (invalid)",IF(AND(R164="",S164=0),"Missing discount set to 0","OK")))</f>
        <v>OK</v>
      </c>
      <c r="U164">
        <v>4421.34</v>
      </c>
      <c r="V164">
        <v>2489.98</v>
      </c>
      <c r="W164">
        <v>1931.36</v>
      </c>
      <c r="X164" t="s">
        <v>111</v>
      </c>
      <c r="Y164" t="s">
        <v>103</v>
      </c>
      <c r="Z164">
        <f>IF(T164="OK",P164*Q164*(1-S164),"invalid")</f>
        <v>4421.3399999999992</v>
      </c>
      <c r="AA164">
        <f>IF(Z164="N/A","N/A",Z164-V164)</f>
        <v>1931.3599999999992</v>
      </c>
      <c r="AB164" s="8">
        <f>IF(Z164&lt;&gt;"N/A", AA164/Z164, "N/A")</f>
        <v>0.43682684435035524</v>
      </c>
      <c r="AC164">
        <f>MONTH(B164)</f>
        <v>2</v>
      </c>
      <c r="AD164">
        <f>YEAR(B164)</f>
        <v>2024</v>
      </c>
      <c r="AE164" s="10">
        <f t="shared" si="2"/>
        <v>9.0949470177292824E-13</v>
      </c>
      <c r="AF164" t="s">
        <v>2804</v>
      </c>
      <c r="AG164" t="s">
        <v>2811</v>
      </c>
    </row>
    <row r="165" spans="1:33">
      <c r="A165" t="s">
        <v>968</v>
      </c>
      <c r="B165" s="4">
        <v>45540</v>
      </c>
      <c r="C165" s="4">
        <v>45542</v>
      </c>
      <c r="D165">
        <f>_xlfn.DAYS(C165,B165)</f>
        <v>2</v>
      </c>
      <c r="E165" t="s">
        <v>2804</v>
      </c>
      <c r="F165" t="s">
        <v>969</v>
      </c>
      <c r="G165" t="s">
        <v>79</v>
      </c>
      <c r="H165" t="s">
        <v>37</v>
      </c>
      <c r="I165" t="s">
        <v>54</v>
      </c>
      <c r="J165" t="s">
        <v>247</v>
      </c>
      <c r="K165" t="s">
        <v>248</v>
      </c>
      <c r="L165" t="s">
        <v>74</v>
      </c>
      <c r="M165" t="s">
        <v>80</v>
      </c>
      <c r="N165" t="s">
        <v>970</v>
      </c>
      <c r="O165" t="s">
        <v>59</v>
      </c>
      <c r="P165">
        <v>3</v>
      </c>
      <c r="Q165">
        <v>2555.66</v>
      </c>
      <c r="R165">
        <v>0.15</v>
      </c>
      <c r="S165">
        <f>IF(ISNUMBER(SEARCH("%",R165)), VALUE(SUBSTITUTE(R165,"%",""))/100,IF(ISNUMBER(R165), R165, 0))</f>
        <v>0.15</v>
      </c>
      <c r="T165" t="str">
        <f>IF(S165&lt;0,"Negative discount (invalid)",IF(S165&gt;0.5,"Discount above allowed range (invalid)",IF(AND(R165="",S165=0),"Missing discount set to 0","OK")))</f>
        <v>OK</v>
      </c>
      <c r="U165">
        <v>6516.93</v>
      </c>
      <c r="V165">
        <v>4511.54</v>
      </c>
      <c r="W165">
        <v>2005.39</v>
      </c>
      <c r="X165" t="s">
        <v>32</v>
      </c>
      <c r="Y165" t="s">
        <v>68</v>
      </c>
      <c r="Z165">
        <f>IF(T165="OK",P165*Q165*(1-S165),"invalid")</f>
        <v>6516.9329999999991</v>
      </c>
      <c r="AA165">
        <f>IF(Z165="N/A","N/A",Z165-V165)</f>
        <v>2005.3929999999991</v>
      </c>
      <c r="AB165" s="8">
        <f>IF(Z165&lt;&gt;"N/A", AA165/Z165, "N/A")</f>
        <v>0.30772036477895343</v>
      </c>
      <c r="AC165">
        <f>MONTH(B165)</f>
        <v>9</v>
      </c>
      <c r="AD165">
        <f>YEAR(B165)</f>
        <v>2024</v>
      </c>
      <c r="AE165" s="10">
        <f t="shared" si="2"/>
        <v>2.999999998792191E-3</v>
      </c>
      <c r="AF165" t="s">
        <v>2804</v>
      </c>
      <c r="AG165" t="s">
        <v>2811</v>
      </c>
    </row>
    <row r="166" spans="1:33">
      <c r="A166" t="s">
        <v>971</v>
      </c>
      <c r="B166" s="4">
        <v>45467</v>
      </c>
      <c r="C166" s="4">
        <v>45467</v>
      </c>
      <c r="D166">
        <f>_xlfn.DAYS(C166,B166)</f>
        <v>0</v>
      </c>
      <c r="E166" t="s">
        <v>2804</v>
      </c>
      <c r="F166" t="s">
        <v>972</v>
      </c>
      <c r="G166" t="s">
        <v>141</v>
      </c>
      <c r="H166" t="s">
        <v>37</v>
      </c>
      <c r="I166" t="s">
        <v>38</v>
      </c>
      <c r="J166" t="s">
        <v>145</v>
      </c>
      <c r="K166" t="s">
        <v>146</v>
      </c>
      <c r="L166" t="s">
        <v>28</v>
      </c>
      <c r="M166" t="s">
        <v>153</v>
      </c>
      <c r="N166" t="s">
        <v>973</v>
      </c>
      <c r="O166" t="s">
        <v>44</v>
      </c>
      <c r="P166">
        <v>2</v>
      </c>
      <c r="Q166">
        <v>4359.8999999999996</v>
      </c>
      <c r="R166">
        <v>0.15</v>
      </c>
      <c r="S166">
        <f>IF(ISNUMBER(SEARCH("%",R166)), VALUE(SUBSTITUTE(R166,"%",""))/100,IF(ISNUMBER(R166), R166, 0))</f>
        <v>0.15</v>
      </c>
      <c r="T166" t="str">
        <f>IF(S166&lt;0,"Negative discount (invalid)",IF(S166&gt;0.5,"Discount above allowed range (invalid)",IF(AND(R166="",S166=0),"Missing discount set to 0","OK")))</f>
        <v>OK</v>
      </c>
      <c r="U166">
        <v>7411.83</v>
      </c>
      <c r="V166">
        <v>4904.63</v>
      </c>
      <c r="W166">
        <v>2507.1999999999998</v>
      </c>
      <c r="X166" t="s">
        <v>32</v>
      </c>
      <c r="Y166" t="s">
        <v>33</v>
      </c>
      <c r="Z166">
        <f>IF(T166="OK",P166*Q166*(1-S166),"invalid")</f>
        <v>7411.829999999999</v>
      </c>
      <c r="AA166">
        <f>IF(Z166="N/A","N/A",Z166-V166)</f>
        <v>2507.1999999999989</v>
      </c>
      <c r="AB166" s="8">
        <f>IF(Z166&lt;&gt;"N/A", AA166/Z166, "N/A")</f>
        <v>0.3382700358750807</v>
      </c>
      <c r="AC166">
        <f>MONTH(B166)</f>
        <v>6</v>
      </c>
      <c r="AD166">
        <f>YEAR(B166)</f>
        <v>2024</v>
      </c>
      <c r="AE166" s="10">
        <f t="shared" si="2"/>
        <v>9.0949470177292824E-13</v>
      </c>
      <c r="AF166" t="s">
        <v>2804</v>
      </c>
      <c r="AG166" t="s">
        <v>2811</v>
      </c>
    </row>
    <row r="167" spans="1:33">
      <c r="A167" t="s">
        <v>980</v>
      </c>
      <c r="B167" s="4">
        <v>45387</v>
      </c>
      <c r="C167" s="4">
        <v>45392</v>
      </c>
      <c r="D167">
        <f>_xlfn.DAYS(C167,B167)</f>
        <v>5</v>
      </c>
      <c r="E167" t="s">
        <v>2804</v>
      </c>
      <c r="F167" t="s">
        <v>981</v>
      </c>
      <c r="G167" t="s">
        <v>114</v>
      </c>
      <c r="H167" t="s">
        <v>95</v>
      </c>
      <c r="I167" t="s">
        <v>25</v>
      </c>
      <c r="J167" t="s">
        <v>26</v>
      </c>
      <c r="K167" t="s">
        <v>27</v>
      </c>
      <c r="L167" t="s">
        <v>28</v>
      </c>
      <c r="M167" t="s">
        <v>153</v>
      </c>
      <c r="N167" t="s">
        <v>982</v>
      </c>
      <c r="O167" t="s">
        <v>59</v>
      </c>
      <c r="P167">
        <v>4</v>
      </c>
      <c r="Q167">
        <v>3228.66</v>
      </c>
      <c r="R167">
        <v>0.25</v>
      </c>
      <c r="S167">
        <f>IF(ISNUMBER(SEARCH("%",R167)), VALUE(SUBSTITUTE(R167,"%",""))/100,IF(ISNUMBER(R167), R167, 0))</f>
        <v>0.25</v>
      </c>
      <c r="T167" t="str">
        <f>IF(S167&lt;0,"Negative discount (invalid)",IF(S167&gt;0.5,"Discount above allowed range (invalid)",IF(AND(R167="",S167=0),"Missing discount set to 0","OK")))</f>
        <v>OK</v>
      </c>
      <c r="U167">
        <v>9685.98</v>
      </c>
      <c r="V167">
        <v>7730.04</v>
      </c>
      <c r="W167">
        <v>1955.94</v>
      </c>
      <c r="X167" t="s">
        <v>32</v>
      </c>
      <c r="Y167" t="s">
        <v>33</v>
      </c>
      <c r="Z167">
        <f>IF(T167="OK",P167*Q167*(1-S167),"invalid")</f>
        <v>9685.98</v>
      </c>
      <c r="AA167">
        <f>IF(Z167="N/A","N/A",Z167-V167)</f>
        <v>1955.9399999999996</v>
      </c>
      <c r="AB167" s="8">
        <f>IF(Z167&lt;&gt;"N/A", AA167/Z167, "N/A")</f>
        <v>0.20193516815025425</v>
      </c>
      <c r="AC167">
        <f>MONTH(B167)</f>
        <v>4</v>
      </c>
      <c r="AD167">
        <f>YEAR(B167)</f>
        <v>2024</v>
      </c>
      <c r="AE167" s="10">
        <f t="shared" si="2"/>
        <v>0</v>
      </c>
      <c r="AF167" t="s">
        <v>2804</v>
      </c>
      <c r="AG167" t="s">
        <v>2811</v>
      </c>
    </row>
    <row r="168" spans="1:33">
      <c r="A168" t="s">
        <v>986</v>
      </c>
      <c r="B168" s="4">
        <v>45358</v>
      </c>
      <c r="C168" s="4">
        <v>45362</v>
      </c>
      <c r="D168">
        <f>_xlfn.DAYS(C168,B168)</f>
        <v>4</v>
      </c>
      <c r="E168" t="s">
        <v>2804</v>
      </c>
      <c r="F168" t="s">
        <v>987</v>
      </c>
      <c r="G168" t="s">
        <v>53</v>
      </c>
      <c r="H168" t="s">
        <v>95</v>
      </c>
      <c r="I168" t="s">
        <v>54</v>
      </c>
      <c r="J168" t="s">
        <v>55</v>
      </c>
      <c r="K168" t="s">
        <v>56</v>
      </c>
      <c r="L168" t="s">
        <v>74</v>
      </c>
      <c r="M168" t="s">
        <v>171</v>
      </c>
      <c r="N168" t="s">
        <v>988</v>
      </c>
      <c r="O168" t="s">
        <v>50</v>
      </c>
      <c r="P168">
        <v>2</v>
      </c>
      <c r="Q168">
        <v>4401.51</v>
      </c>
      <c r="R168">
        <v>0.65</v>
      </c>
      <c r="S168">
        <f>IF(ISNUMBER(SEARCH("%",R168)), VALUE(SUBSTITUTE(R168,"%",""))/100,IF(ISNUMBER(R168), R168, 0))</f>
        <v>0.65</v>
      </c>
      <c r="T168" t="str">
        <f>IF(S168&lt;0,"Negative discount (invalid)",IF(S168&gt;0.5,"Discount above allowed range (invalid)",IF(AND(R168="",S168=0),"Missing discount set to 0","OK")))</f>
        <v>Discount above allowed range (invalid)</v>
      </c>
      <c r="U168">
        <v>8362.8700000000008</v>
      </c>
      <c r="V168">
        <v>6541.04</v>
      </c>
      <c r="W168">
        <v>1821.83</v>
      </c>
      <c r="X168" t="s">
        <v>32</v>
      </c>
      <c r="Y168" t="s">
        <v>33</v>
      </c>
      <c r="Z168" t="s">
        <v>2793</v>
      </c>
      <c r="AA168" t="str">
        <f>IF(Z168="N/A","N/A",Z168-V168)</f>
        <v>N/A</v>
      </c>
      <c r="AB168" s="8" t="str">
        <f>IF(Z168&lt;&gt;"N/A", AA168/Z168, "N/A")</f>
        <v>N/A</v>
      </c>
      <c r="AC168">
        <f>MONTH(B168)</f>
        <v>3</v>
      </c>
      <c r="AD168">
        <f>YEAR(B168)</f>
        <v>2024</v>
      </c>
      <c r="AE168" s="10" t="str">
        <f t="shared" si="2"/>
        <v>N/A</v>
      </c>
      <c r="AF168" t="s">
        <v>2802</v>
      </c>
      <c r="AG168" t="s">
        <v>2789</v>
      </c>
    </row>
    <row r="169" spans="1:33">
      <c r="A169" t="s">
        <v>998</v>
      </c>
      <c r="B169" s="4">
        <v>45594</v>
      </c>
      <c r="C169" s="4">
        <v>45602</v>
      </c>
      <c r="D169">
        <f>_xlfn.DAYS(C169,B169)</f>
        <v>8</v>
      </c>
      <c r="E169" t="s">
        <v>2804</v>
      </c>
      <c r="F169" t="s">
        <v>999</v>
      </c>
      <c r="G169" t="s">
        <v>132</v>
      </c>
      <c r="H169" t="s">
        <v>90</v>
      </c>
      <c r="I169" t="s">
        <v>54</v>
      </c>
      <c r="J169" t="s">
        <v>247</v>
      </c>
      <c r="K169" t="s">
        <v>248</v>
      </c>
      <c r="L169" t="s">
        <v>74</v>
      </c>
      <c r="M169" t="s">
        <v>80</v>
      </c>
      <c r="N169" t="s">
        <v>1000</v>
      </c>
      <c r="O169" t="s">
        <v>44</v>
      </c>
      <c r="P169">
        <v>6</v>
      </c>
      <c r="Q169">
        <v>1169.92</v>
      </c>
      <c r="R169">
        <v>0.15</v>
      </c>
      <c r="S169">
        <f>IF(ISNUMBER(SEARCH("%",R169)), VALUE(SUBSTITUTE(R169,"%",""))/100,IF(ISNUMBER(R169), R169, 0))</f>
        <v>0.15</v>
      </c>
      <c r="T169" t="str">
        <f>IF(S169&lt;0,"Negative discount (invalid)",IF(S169&gt;0.5,"Discount above allowed range (invalid)",IF(AND(R169="",S169=0),"Missing discount set to 0","OK")))</f>
        <v>OK</v>
      </c>
      <c r="U169">
        <v>5966.59</v>
      </c>
      <c r="V169">
        <v>3994.72</v>
      </c>
      <c r="W169">
        <v>1971.87</v>
      </c>
      <c r="X169" t="s">
        <v>32</v>
      </c>
      <c r="Y169" t="s">
        <v>33</v>
      </c>
      <c r="Z169">
        <f>IF(T169="OK",P169*Q169*(1-S169),"invalid")</f>
        <v>5966.5920000000006</v>
      </c>
      <c r="AA169">
        <f>IF(Z169="N/A","N/A",Z169-V169)</f>
        <v>1971.8720000000008</v>
      </c>
      <c r="AB169" s="8">
        <f>IF(Z169&lt;&gt;"N/A", AA169/Z169, "N/A")</f>
        <v>0.33048547646629778</v>
      </c>
      <c r="AC169">
        <f>MONTH(B169)</f>
        <v>10</v>
      </c>
      <c r="AD169">
        <f>YEAR(B169)</f>
        <v>2024</v>
      </c>
      <c r="AE169" s="10">
        <f t="shared" si="2"/>
        <v>2.0000000004074536E-3</v>
      </c>
      <c r="AF169" t="s">
        <v>2804</v>
      </c>
      <c r="AG169" t="s">
        <v>2811</v>
      </c>
    </row>
    <row r="170" spans="1:33">
      <c r="A170" t="s">
        <v>1004</v>
      </c>
      <c r="B170" s="4">
        <v>45602</v>
      </c>
      <c r="C170" s="4">
        <v>45608</v>
      </c>
      <c r="D170">
        <f>_xlfn.DAYS(C170,B170)</f>
        <v>6</v>
      </c>
      <c r="E170" t="s">
        <v>2804</v>
      </c>
      <c r="F170" t="s">
        <v>1005</v>
      </c>
      <c r="G170" t="s">
        <v>118</v>
      </c>
      <c r="H170" t="s">
        <v>37</v>
      </c>
      <c r="I170" t="s">
        <v>63</v>
      </c>
      <c r="J170" t="s">
        <v>180</v>
      </c>
      <c r="K170" t="s">
        <v>181</v>
      </c>
      <c r="L170" t="s">
        <v>74</v>
      </c>
      <c r="M170" t="s">
        <v>75</v>
      </c>
      <c r="N170" t="s">
        <v>1006</v>
      </c>
      <c r="O170" t="s">
        <v>59</v>
      </c>
      <c r="P170">
        <v>7</v>
      </c>
      <c r="Q170">
        <v>1719.05</v>
      </c>
      <c r="R170">
        <v>0.1</v>
      </c>
      <c r="S170">
        <f>IF(ISNUMBER(SEARCH("%",R170)), VALUE(SUBSTITUTE(R170,"%",""))/100,IF(ISNUMBER(R170), R170, 0))</f>
        <v>0.1</v>
      </c>
      <c r="T170" t="str">
        <f>IF(S170&lt;0,"Negative discount (invalid)",IF(S170&gt;0.5,"Discount above allowed range (invalid)",IF(AND(R170="",S170=0),"Missing discount set to 0","OK")))</f>
        <v>OK</v>
      </c>
      <c r="U170">
        <v>10830.02</v>
      </c>
      <c r="V170">
        <v>7055.31</v>
      </c>
      <c r="W170">
        <v>3774.71</v>
      </c>
      <c r="X170" t="s">
        <v>32</v>
      </c>
      <c r="Y170" t="s">
        <v>33</v>
      </c>
      <c r="Z170">
        <f>IF(T170="OK",P170*Q170*(1-S170),"invalid")</f>
        <v>10830.015000000001</v>
      </c>
      <c r="AA170">
        <f>IF(Z170="N/A","N/A",Z170-V170)</f>
        <v>3774.7050000000008</v>
      </c>
      <c r="AB170" s="8">
        <f>IF(Z170&lt;&gt;"N/A", AA170/Z170, "N/A")</f>
        <v>0.34854106850267524</v>
      </c>
      <c r="AC170">
        <f>MONTH(B170)</f>
        <v>11</v>
      </c>
      <c r="AD170">
        <f>YEAR(B170)</f>
        <v>2024</v>
      </c>
      <c r="AE170" s="10">
        <f t="shared" si="2"/>
        <v>4.9999999991996447E-3</v>
      </c>
      <c r="AF170" t="s">
        <v>2804</v>
      </c>
      <c r="AG170" t="s">
        <v>2811</v>
      </c>
    </row>
    <row r="171" spans="1:33">
      <c r="A171" t="s">
        <v>1007</v>
      </c>
      <c r="B171" s="4">
        <v>45397</v>
      </c>
      <c r="C171" s="4">
        <v>45405</v>
      </c>
      <c r="D171">
        <f>_xlfn.DAYS(C171,B171)</f>
        <v>8</v>
      </c>
      <c r="E171" t="s">
        <v>2804</v>
      </c>
      <c r="F171" t="s">
        <v>1008</v>
      </c>
      <c r="G171" t="s">
        <v>162</v>
      </c>
      <c r="H171" t="s">
        <v>37</v>
      </c>
      <c r="I171" t="s">
        <v>25</v>
      </c>
      <c r="J171" t="s">
        <v>122</v>
      </c>
      <c r="K171" t="s">
        <v>123</v>
      </c>
      <c r="L171" t="s">
        <v>74</v>
      </c>
      <c r="M171" t="s">
        <v>75</v>
      </c>
      <c r="N171" t="s">
        <v>1009</v>
      </c>
      <c r="O171" t="s">
        <v>31</v>
      </c>
      <c r="P171">
        <v>9</v>
      </c>
      <c r="Q171">
        <v>3893.74</v>
      </c>
      <c r="R171">
        <v>0.1</v>
      </c>
      <c r="S171">
        <f>IF(ISNUMBER(SEARCH("%",R171)), VALUE(SUBSTITUTE(R171,"%",""))/100,IF(ISNUMBER(R171), R171, 0))</f>
        <v>0.1</v>
      </c>
      <c r="T171" t="str">
        <f>IF(S171&lt;0,"Negative discount (invalid)",IF(S171&gt;0.5,"Discount above allowed range (invalid)",IF(AND(R171="",S171=0),"Missing discount set to 0","OK")))</f>
        <v>OK</v>
      </c>
      <c r="U171">
        <v>31539.29</v>
      </c>
      <c r="V171">
        <v>22100.14</v>
      </c>
      <c r="W171">
        <v>9439.15</v>
      </c>
      <c r="X171" t="s">
        <v>32</v>
      </c>
      <c r="Y171" t="s">
        <v>33</v>
      </c>
      <c r="Z171">
        <f>IF(T171="OK",P171*Q171*(1-S171),"invalid")</f>
        <v>31539.293999999998</v>
      </c>
      <c r="AA171">
        <f>IF(Z171="N/A","N/A",Z171-V171)</f>
        <v>9439.1539999999986</v>
      </c>
      <c r="AB171" s="8">
        <f>IF(Z171&lt;&gt;"N/A", AA171/Z171, "N/A")</f>
        <v>0.29928234918638313</v>
      </c>
      <c r="AC171">
        <f>MONTH(B171)</f>
        <v>4</v>
      </c>
      <c r="AD171">
        <f>YEAR(B171)</f>
        <v>2024</v>
      </c>
      <c r="AE171" s="10">
        <f t="shared" si="2"/>
        <v>3.9999999971769284E-3</v>
      </c>
      <c r="AF171" t="s">
        <v>2804</v>
      </c>
      <c r="AG171" t="s">
        <v>2811</v>
      </c>
    </row>
    <row r="172" spans="1:33">
      <c r="A172" t="s">
        <v>1016</v>
      </c>
      <c r="B172" s="4">
        <v>45466</v>
      </c>
      <c r="C172" s="4">
        <v>45471</v>
      </c>
      <c r="D172">
        <f>_xlfn.DAYS(C172,B172)</f>
        <v>5</v>
      </c>
      <c r="E172" t="s">
        <v>2804</v>
      </c>
      <c r="F172" t="s">
        <v>1017</v>
      </c>
      <c r="G172" t="s">
        <v>162</v>
      </c>
      <c r="H172" t="s">
        <v>95</v>
      </c>
      <c r="I172" t="s">
        <v>63</v>
      </c>
      <c r="J172" t="s">
        <v>180</v>
      </c>
      <c r="K172" t="s">
        <v>181</v>
      </c>
      <c r="L172" t="s">
        <v>41</v>
      </c>
      <c r="M172" t="s">
        <v>66</v>
      </c>
      <c r="N172" t="s">
        <v>1018</v>
      </c>
      <c r="O172" t="s">
        <v>59</v>
      </c>
      <c r="P172">
        <v>2</v>
      </c>
      <c r="Q172">
        <v>1313.14</v>
      </c>
      <c r="R172">
        <v>0.1</v>
      </c>
      <c r="S172">
        <f>IF(ISNUMBER(SEARCH("%",R172)), VALUE(SUBSTITUTE(R172,"%",""))/100,IF(ISNUMBER(R172), R172, 0))</f>
        <v>0.1</v>
      </c>
      <c r="T172" t="str">
        <f>IF(S172&lt;0,"Negative discount (invalid)",IF(S172&gt;0.5,"Discount above allowed range (invalid)",IF(AND(R172="",S172=0),"Missing discount set to 0","OK")))</f>
        <v>OK</v>
      </c>
      <c r="U172">
        <v>2363.65</v>
      </c>
      <c r="V172">
        <v>1876.1</v>
      </c>
      <c r="W172">
        <v>487.55</v>
      </c>
      <c r="X172" t="s">
        <v>111</v>
      </c>
      <c r="Y172" t="s">
        <v>103</v>
      </c>
      <c r="Z172">
        <f>IF(T172="OK",P172*Q172*(1-S172),"invalid")</f>
        <v>2363.652</v>
      </c>
      <c r="AA172">
        <f>IF(Z172="N/A","N/A",Z172-V172)</f>
        <v>487.55200000000013</v>
      </c>
      <c r="AB172" s="8">
        <f>IF(Z172&lt;&gt;"N/A", AA172/Z172, "N/A")</f>
        <v>0.20627063544041174</v>
      </c>
      <c r="AC172">
        <f>MONTH(B172)</f>
        <v>6</v>
      </c>
      <c r="AD172">
        <f>YEAR(B172)</f>
        <v>2024</v>
      </c>
      <c r="AE172" s="10">
        <f t="shared" si="2"/>
        <v>1.9999999999527063E-3</v>
      </c>
      <c r="AF172" t="s">
        <v>2804</v>
      </c>
      <c r="AG172" t="s">
        <v>2811</v>
      </c>
    </row>
    <row r="173" spans="1:33">
      <c r="A173" t="s">
        <v>1019</v>
      </c>
      <c r="B173" s="4">
        <v>45357</v>
      </c>
      <c r="C173" s="4">
        <v>45364</v>
      </c>
      <c r="D173">
        <f>_xlfn.DAYS(C173,B173)</f>
        <v>7</v>
      </c>
      <c r="E173" t="s">
        <v>2804</v>
      </c>
      <c r="F173" t="s">
        <v>1020</v>
      </c>
      <c r="G173" t="s">
        <v>23</v>
      </c>
      <c r="H173" t="s">
        <v>24</v>
      </c>
      <c r="I173" t="s">
        <v>25</v>
      </c>
      <c r="J173" t="s">
        <v>122</v>
      </c>
      <c r="K173" t="s">
        <v>123</v>
      </c>
      <c r="L173" t="s">
        <v>41</v>
      </c>
      <c r="M173" t="s">
        <v>57</v>
      </c>
      <c r="N173" t="s">
        <v>1021</v>
      </c>
      <c r="O173" t="s">
        <v>59</v>
      </c>
      <c r="P173">
        <v>6</v>
      </c>
      <c r="Q173">
        <v>2403.0500000000002</v>
      </c>
      <c r="R173">
        <v>0.1</v>
      </c>
      <c r="S173">
        <f>IF(ISNUMBER(SEARCH("%",R173)), VALUE(SUBSTITUTE(R173,"%",""))/100,IF(ISNUMBER(R173), R173, 0))</f>
        <v>0.1</v>
      </c>
      <c r="T173" t="str">
        <f>IF(S173&lt;0,"Negative discount (invalid)",IF(S173&gt;0.5,"Discount above allowed range (invalid)",IF(AND(R173="",S173=0),"Missing discount set to 0","OK")))</f>
        <v>OK</v>
      </c>
      <c r="U173">
        <v>12976.47</v>
      </c>
      <c r="V173">
        <v>10019.98</v>
      </c>
      <c r="W173">
        <v>2956.49</v>
      </c>
      <c r="X173" t="s">
        <v>32</v>
      </c>
      <c r="Y173" t="s">
        <v>33</v>
      </c>
      <c r="Z173">
        <f>IF(T173="OK",P173*Q173*(1-S173),"invalid")</f>
        <v>12976.470000000001</v>
      </c>
      <c r="AA173">
        <f>IF(Z173="N/A","N/A",Z173-V173)</f>
        <v>2956.4900000000016</v>
      </c>
      <c r="AB173" s="8">
        <f>IF(Z173&lt;&gt;"N/A", AA173/Z173, "N/A")</f>
        <v>0.22783468847845378</v>
      </c>
      <c r="AC173">
        <f>MONTH(B173)</f>
        <v>3</v>
      </c>
      <c r="AD173">
        <f>YEAR(B173)</f>
        <v>2024</v>
      </c>
      <c r="AE173" s="10">
        <f t="shared" si="2"/>
        <v>1.8189894035458565E-12</v>
      </c>
      <c r="AF173" t="s">
        <v>2804</v>
      </c>
      <c r="AG173" t="s">
        <v>2811</v>
      </c>
    </row>
    <row r="174" spans="1:33">
      <c r="A174" t="s">
        <v>1022</v>
      </c>
      <c r="B174" s="4">
        <v>45413</v>
      </c>
      <c r="C174" s="4">
        <v>45414</v>
      </c>
      <c r="D174">
        <f>_xlfn.DAYS(C174,B174)</f>
        <v>1</v>
      </c>
      <c r="E174" t="s">
        <v>2804</v>
      </c>
      <c r="F174" t="s">
        <v>1023</v>
      </c>
      <c r="G174" t="s">
        <v>62</v>
      </c>
      <c r="H174" t="s">
        <v>24</v>
      </c>
      <c r="I174" t="s">
        <v>38</v>
      </c>
      <c r="J174" t="s">
        <v>166</v>
      </c>
      <c r="K174" t="s">
        <v>167</v>
      </c>
      <c r="L174" t="s">
        <v>41</v>
      </c>
      <c r="M174" t="s">
        <v>66</v>
      </c>
      <c r="N174" t="s">
        <v>1024</v>
      </c>
      <c r="O174" t="s">
        <v>50</v>
      </c>
      <c r="P174">
        <v>4</v>
      </c>
      <c r="Q174">
        <v>4156.0600000000004</v>
      </c>
      <c r="R174">
        <v>0.55000000000000004</v>
      </c>
      <c r="S174">
        <f>IF(ISNUMBER(SEARCH("%",R174)), VALUE(SUBSTITUTE(R174,"%",""))/100,IF(ISNUMBER(R174), R174, 0))</f>
        <v>0.55000000000000004</v>
      </c>
      <c r="T174" t="str">
        <f>IF(S174&lt;0,"Negative discount (invalid)",IF(S174&gt;0.5,"Discount above allowed range (invalid)",IF(AND(R174="",S174=0),"Missing discount set to 0","OK")))</f>
        <v>Discount above allowed range (invalid)</v>
      </c>
      <c r="U174">
        <v>13299.39</v>
      </c>
      <c r="V174">
        <v>9851.91</v>
      </c>
      <c r="W174">
        <v>3447.48</v>
      </c>
      <c r="X174" t="s">
        <v>32</v>
      </c>
      <c r="Y174" t="s">
        <v>68</v>
      </c>
      <c r="Z174" t="s">
        <v>2793</v>
      </c>
      <c r="AA174" t="str">
        <f>IF(Z174="N/A","N/A",Z174-V174)</f>
        <v>N/A</v>
      </c>
      <c r="AB174" s="8" t="str">
        <f>IF(Z174&lt;&gt;"N/A", AA174/Z174, "N/A")</f>
        <v>N/A</v>
      </c>
      <c r="AC174">
        <f>MONTH(B174)</f>
        <v>5</v>
      </c>
      <c r="AD174">
        <f>YEAR(B174)</f>
        <v>2024</v>
      </c>
      <c r="AE174" s="10" t="str">
        <f t="shared" si="2"/>
        <v>N/A</v>
      </c>
      <c r="AF174" t="s">
        <v>2802</v>
      </c>
      <c r="AG174" t="s">
        <v>2789</v>
      </c>
    </row>
    <row r="175" spans="1:33">
      <c r="A175" t="s">
        <v>1034</v>
      </c>
      <c r="B175" s="4">
        <v>45493</v>
      </c>
      <c r="C175" s="4">
        <v>45495</v>
      </c>
      <c r="D175">
        <f>_xlfn.DAYS(C175,B175)</f>
        <v>2</v>
      </c>
      <c r="E175" t="s">
        <v>2804</v>
      </c>
      <c r="F175" t="s">
        <v>1035</v>
      </c>
      <c r="G175" t="s">
        <v>62</v>
      </c>
      <c r="H175" t="s">
        <v>24</v>
      </c>
      <c r="I175" t="s">
        <v>54</v>
      </c>
      <c r="J175" t="s">
        <v>247</v>
      </c>
      <c r="K175" t="s">
        <v>248</v>
      </c>
      <c r="L175" t="s">
        <v>41</v>
      </c>
      <c r="M175" t="s">
        <v>42</v>
      </c>
      <c r="N175" t="s">
        <v>1036</v>
      </c>
      <c r="O175" t="s">
        <v>50</v>
      </c>
      <c r="P175">
        <v>7</v>
      </c>
      <c r="Q175">
        <v>2060.73</v>
      </c>
      <c r="R175">
        <v>0.1</v>
      </c>
      <c r="S175">
        <f>IF(ISNUMBER(SEARCH("%",R175)), VALUE(SUBSTITUTE(R175,"%",""))/100,IF(ISNUMBER(R175), R175, 0))</f>
        <v>0.1</v>
      </c>
      <c r="T175" t="str">
        <f>IF(S175&lt;0,"Negative discount (invalid)",IF(S175&gt;0.5,"Discount above allowed range (invalid)",IF(AND(R175="",S175=0),"Missing discount set to 0","OK")))</f>
        <v>OK</v>
      </c>
      <c r="U175">
        <v>12982.6</v>
      </c>
      <c r="V175">
        <v>7246.36</v>
      </c>
      <c r="W175">
        <v>5736.24</v>
      </c>
      <c r="X175" t="s">
        <v>32</v>
      </c>
      <c r="Y175" t="s">
        <v>68</v>
      </c>
      <c r="Z175">
        <f>IF(T175="OK",P175*Q175*(1-S175),"invalid")</f>
        <v>12982.599</v>
      </c>
      <c r="AA175">
        <f>IF(Z175="N/A","N/A",Z175-V175)</f>
        <v>5736.2390000000005</v>
      </c>
      <c r="AB175" s="8">
        <f>IF(Z175&lt;&gt;"N/A", AA175/Z175, "N/A")</f>
        <v>0.441840574448922</v>
      </c>
      <c r="AC175">
        <f>MONTH(B175)</f>
        <v>7</v>
      </c>
      <c r="AD175">
        <f>YEAR(B175)</f>
        <v>2024</v>
      </c>
      <c r="AE175" s="10">
        <f t="shared" si="2"/>
        <v>1.0000000002037268E-3</v>
      </c>
      <c r="AF175" t="s">
        <v>2804</v>
      </c>
      <c r="AG175" t="s">
        <v>2811</v>
      </c>
    </row>
    <row r="176" spans="1:33">
      <c r="A176" t="s">
        <v>1037</v>
      </c>
      <c r="B176" s="4">
        <v>45477</v>
      </c>
      <c r="C176" s="4">
        <v>45481</v>
      </c>
      <c r="D176">
        <f>_xlfn.DAYS(C176,B176)</f>
        <v>4</v>
      </c>
      <c r="E176" t="s">
        <v>2804</v>
      </c>
      <c r="F176" t="s">
        <v>1038</v>
      </c>
      <c r="G176" t="s">
        <v>141</v>
      </c>
      <c r="H176" t="s">
        <v>37</v>
      </c>
      <c r="I176" t="s">
        <v>54</v>
      </c>
      <c r="J176" t="s">
        <v>247</v>
      </c>
      <c r="K176" t="s">
        <v>248</v>
      </c>
      <c r="L176" t="s">
        <v>74</v>
      </c>
      <c r="M176" t="s">
        <v>274</v>
      </c>
      <c r="N176" t="s">
        <v>1039</v>
      </c>
      <c r="O176" t="s">
        <v>50</v>
      </c>
      <c r="P176">
        <v>8</v>
      </c>
      <c r="Q176">
        <v>2034.25</v>
      </c>
      <c r="R176">
        <v>0</v>
      </c>
      <c r="S176">
        <f>IF(ISNUMBER(SEARCH("%",R176)), VALUE(SUBSTITUTE(R176,"%",""))/100,IF(ISNUMBER(R176), R176, 0))</f>
        <v>0</v>
      </c>
      <c r="T176" t="str">
        <f>IF(S176&lt;0,"Negative discount (invalid)",IF(S176&gt;0.5,"Discount above allowed range (invalid)",IF(AND(R176="",S176=0),"Missing discount set to 0","OK")))</f>
        <v>OK</v>
      </c>
      <c r="U176">
        <v>16274</v>
      </c>
      <c r="V176">
        <v>9424.25</v>
      </c>
      <c r="W176">
        <v>6849.75</v>
      </c>
      <c r="X176" t="s">
        <v>32</v>
      </c>
      <c r="Y176" t="s">
        <v>33</v>
      </c>
      <c r="Z176">
        <f>IF(T176="OK",P176*Q176*(1-S176),"invalid")</f>
        <v>16274</v>
      </c>
      <c r="AA176">
        <f>IF(Z176="N/A","N/A",Z176-V176)</f>
        <v>6849.75</v>
      </c>
      <c r="AB176" s="8">
        <f>IF(Z176&lt;&gt;"N/A", AA176/Z176, "N/A")</f>
        <v>0.42090143787636719</v>
      </c>
      <c r="AC176">
        <f>MONTH(B176)</f>
        <v>7</v>
      </c>
      <c r="AD176">
        <f>YEAR(B176)</f>
        <v>2024</v>
      </c>
      <c r="AE176" s="10">
        <f t="shared" si="2"/>
        <v>0</v>
      </c>
      <c r="AF176" t="s">
        <v>2804</v>
      </c>
      <c r="AG176" t="s">
        <v>2811</v>
      </c>
    </row>
    <row r="177" spans="1:33">
      <c r="A177" t="s">
        <v>1040</v>
      </c>
      <c r="B177" s="4">
        <v>45409</v>
      </c>
      <c r="C177" s="4">
        <v>45414</v>
      </c>
      <c r="D177">
        <f>_xlfn.DAYS(C177,B177)</f>
        <v>5</v>
      </c>
      <c r="E177" t="s">
        <v>2804</v>
      </c>
      <c r="F177" t="s">
        <v>1041</v>
      </c>
      <c r="G177" t="s">
        <v>36</v>
      </c>
      <c r="H177" t="s">
        <v>90</v>
      </c>
      <c r="I177" t="s">
        <v>54</v>
      </c>
      <c r="J177" t="s">
        <v>175</v>
      </c>
      <c r="K177" t="s">
        <v>176</v>
      </c>
      <c r="L177" t="s">
        <v>28</v>
      </c>
      <c r="M177" t="s">
        <v>153</v>
      </c>
      <c r="N177" t="s">
        <v>1042</v>
      </c>
      <c r="O177" t="s">
        <v>31</v>
      </c>
      <c r="P177">
        <v>5</v>
      </c>
      <c r="Q177">
        <v>554.04</v>
      </c>
      <c r="R177">
        <v>0.1</v>
      </c>
      <c r="S177">
        <f>IF(ISNUMBER(SEARCH("%",R177)), VALUE(SUBSTITUTE(R177,"%",""))/100,IF(ISNUMBER(R177), R177, 0))</f>
        <v>0.1</v>
      </c>
      <c r="T177" t="str">
        <f>IF(S177&lt;0,"Negative discount (invalid)",IF(S177&gt;0.5,"Discount above allowed range (invalid)",IF(AND(R177="",S177=0),"Missing discount set to 0","OK")))</f>
        <v>OK</v>
      </c>
      <c r="U177">
        <v>2493.1799999999998</v>
      </c>
      <c r="V177">
        <v>1764</v>
      </c>
      <c r="W177">
        <v>729.18</v>
      </c>
      <c r="X177" t="s">
        <v>32</v>
      </c>
      <c r="Y177" t="s">
        <v>33</v>
      </c>
      <c r="Z177">
        <f>IF(T177="OK",P177*Q177*(1-S177),"invalid")</f>
        <v>2493.1799999999998</v>
      </c>
      <c r="AA177">
        <f>IF(Z177="N/A","N/A",Z177-V177)</f>
        <v>729.17999999999984</v>
      </c>
      <c r="AB177" s="8">
        <f>IF(Z177&lt;&gt;"N/A", AA177/Z177, "N/A")</f>
        <v>0.29246985777200196</v>
      </c>
      <c r="AC177">
        <f>MONTH(B177)</f>
        <v>4</v>
      </c>
      <c r="AD177">
        <f>YEAR(B177)</f>
        <v>2024</v>
      </c>
      <c r="AE177" s="10">
        <f t="shared" si="2"/>
        <v>0</v>
      </c>
      <c r="AF177" t="s">
        <v>2804</v>
      </c>
      <c r="AG177" t="s">
        <v>2811</v>
      </c>
    </row>
    <row r="178" spans="1:33">
      <c r="A178" t="s">
        <v>1043</v>
      </c>
      <c r="B178" s="4">
        <v>45504</v>
      </c>
      <c r="C178" s="4">
        <v>45508</v>
      </c>
      <c r="D178">
        <f>_xlfn.DAYS(C178,B178)</f>
        <v>4</v>
      </c>
      <c r="E178" t="s">
        <v>2804</v>
      </c>
      <c r="F178" t="s">
        <v>1044</v>
      </c>
      <c r="G178" t="s">
        <v>23</v>
      </c>
      <c r="H178" t="s">
        <v>37</v>
      </c>
      <c r="I178" t="s">
        <v>38</v>
      </c>
      <c r="J178" t="s">
        <v>166</v>
      </c>
      <c r="K178" t="s">
        <v>167</v>
      </c>
      <c r="L178" t="s">
        <v>74</v>
      </c>
      <c r="M178" t="s">
        <v>171</v>
      </c>
      <c r="N178" t="s">
        <v>1045</v>
      </c>
      <c r="O178" t="s">
        <v>59</v>
      </c>
      <c r="P178">
        <v>8</v>
      </c>
      <c r="Q178">
        <v>2614.7399999999998</v>
      </c>
      <c r="R178">
        <v>0</v>
      </c>
      <c r="S178">
        <f>IF(ISNUMBER(SEARCH("%",R178)), VALUE(SUBSTITUTE(R178,"%",""))/100,IF(ISNUMBER(R178), R178, 0))</f>
        <v>0</v>
      </c>
      <c r="T178" t="str">
        <f>IF(S178&lt;0,"Negative discount (invalid)",IF(S178&gt;0.5,"Discount above allowed range (invalid)",IF(AND(R178="",S178=0),"Missing discount set to 0","OK")))</f>
        <v>OK</v>
      </c>
      <c r="U178">
        <v>15688.44</v>
      </c>
      <c r="V178">
        <v>10047.33</v>
      </c>
      <c r="W178">
        <v>5641.11</v>
      </c>
      <c r="X178" t="s">
        <v>32</v>
      </c>
      <c r="Y178" t="s">
        <v>68</v>
      </c>
      <c r="Z178">
        <f>IF(T178="OK",P178*Q178*(1-S178),"invalid")</f>
        <v>20917.919999999998</v>
      </c>
      <c r="AA178">
        <f>IF(Z178="N/A","N/A",Z178-V178)</f>
        <v>10870.589999999998</v>
      </c>
      <c r="AB178" s="8">
        <f>IF(Z178&lt;&gt;"N/A", AA178/Z178, "N/A")</f>
        <v>0.5196783427797792</v>
      </c>
      <c r="AC178">
        <f>MONTH(B178)</f>
        <v>7</v>
      </c>
      <c r="AD178">
        <f>YEAR(B178)</f>
        <v>2024</v>
      </c>
      <c r="AE178" s="10">
        <f t="shared" si="2"/>
        <v>5229.4799999999977</v>
      </c>
      <c r="AF178" t="s">
        <v>2807</v>
      </c>
      <c r="AG178" t="s">
        <v>2789</v>
      </c>
    </row>
    <row r="179" spans="1:33">
      <c r="A179" t="s">
        <v>1052</v>
      </c>
      <c r="B179" s="4">
        <v>45475</v>
      </c>
      <c r="C179" s="4">
        <v>45481</v>
      </c>
      <c r="D179">
        <f>_xlfn.DAYS(C179,B179)</f>
        <v>6</v>
      </c>
      <c r="E179" t="s">
        <v>2804</v>
      </c>
      <c r="F179" t="s">
        <v>1053</v>
      </c>
      <c r="G179" t="s">
        <v>141</v>
      </c>
      <c r="H179" t="s">
        <v>24</v>
      </c>
      <c r="I179" t="s">
        <v>25</v>
      </c>
      <c r="J179" t="s">
        <v>350</v>
      </c>
      <c r="K179" t="s">
        <v>351</v>
      </c>
      <c r="L179" t="s">
        <v>28</v>
      </c>
      <c r="M179" t="s">
        <v>29</v>
      </c>
      <c r="N179" t="s">
        <v>1054</v>
      </c>
      <c r="O179" t="s">
        <v>59</v>
      </c>
      <c r="P179">
        <v>9</v>
      </c>
      <c r="Q179">
        <v>3450.4</v>
      </c>
      <c r="R179">
        <v>0.05</v>
      </c>
      <c r="S179">
        <f>IF(ISNUMBER(SEARCH("%",R179)), VALUE(SUBSTITUTE(R179,"%",""))/100,IF(ISNUMBER(R179), R179, 0))</f>
        <v>0.05</v>
      </c>
      <c r="T179" t="str">
        <f>IF(S179&lt;0,"Negative discount (invalid)",IF(S179&gt;0.5,"Discount above allowed range (invalid)",IF(AND(R179="",S179=0),"Missing discount set to 0","OK")))</f>
        <v>OK</v>
      </c>
      <c r="U179">
        <v>29500.92</v>
      </c>
      <c r="V179">
        <v>17989.68</v>
      </c>
      <c r="W179">
        <v>11511.24</v>
      </c>
      <c r="X179" t="s">
        <v>111</v>
      </c>
      <c r="Y179" t="s">
        <v>103</v>
      </c>
      <c r="Z179">
        <f>IF(T179="OK",P179*Q179*(1-S179),"invalid")</f>
        <v>29500.920000000002</v>
      </c>
      <c r="AA179">
        <f>IF(Z179="N/A","N/A",Z179-V179)</f>
        <v>11511.240000000002</v>
      </c>
      <c r="AB179" s="8">
        <f>IF(Z179&lt;&gt;"N/A", AA179/Z179, "N/A")</f>
        <v>0.39019935649464493</v>
      </c>
      <c r="AC179">
        <f>MONTH(B179)</f>
        <v>7</v>
      </c>
      <c r="AD179">
        <f>YEAR(B179)</f>
        <v>2024</v>
      </c>
      <c r="AE179" s="10">
        <f t="shared" si="2"/>
        <v>3.637978807091713E-12</v>
      </c>
      <c r="AF179" t="s">
        <v>2804</v>
      </c>
      <c r="AG179" t="s">
        <v>2811</v>
      </c>
    </row>
    <row r="180" spans="1:33">
      <c r="A180" t="s">
        <v>1055</v>
      </c>
      <c r="B180" s="4">
        <v>45338</v>
      </c>
      <c r="C180" s="4">
        <v>45340</v>
      </c>
      <c r="D180">
        <f>_xlfn.DAYS(C180,B180)</f>
        <v>2</v>
      </c>
      <c r="E180" t="s">
        <v>2804</v>
      </c>
      <c r="F180" t="s">
        <v>1056</v>
      </c>
      <c r="G180" t="s">
        <v>23</v>
      </c>
      <c r="H180" t="s">
        <v>90</v>
      </c>
      <c r="I180" t="s">
        <v>25</v>
      </c>
      <c r="J180" t="s">
        <v>122</v>
      </c>
      <c r="K180" t="s">
        <v>123</v>
      </c>
      <c r="L180" t="s">
        <v>28</v>
      </c>
      <c r="M180" t="s">
        <v>91</v>
      </c>
      <c r="N180" t="s">
        <v>1057</v>
      </c>
      <c r="O180" t="s">
        <v>59</v>
      </c>
      <c r="P180">
        <v>2</v>
      </c>
      <c r="Q180">
        <v>1947.53</v>
      </c>
      <c r="R180">
        <v>0.2</v>
      </c>
      <c r="S180">
        <f>IF(ISNUMBER(SEARCH("%",R180)), VALUE(SUBSTITUTE(R180,"%",""))/100,IF(ISNUMBER(R180), R180, 0))</f>
        <v>0.2</v>
      </c>
      <c r="T180" t="str">
        <f>IF(S180&lt;0,"Negative discount (invalid)",IF(S180&gt;0.5,"Discount above allowed range (invalid)",IF(AND(R180="",S180=0),"Missing discount set to 0","OK")))</f>
        <v>OK</v>
      </c>
      <c r="U180">
        <v>3116.05</v>
      </c>
      <c r="V180">
        <v>1956.63</v>
      </c>
      <c r="W180">
        <v>1159.42</v>
      </c>
      <c r="X180" t="s">
        <v>32</v>
      </c>
      <c r="Y180" t="s">
        <v>68</v>
      </c>
      <c r="Z180">
        <f>IF(T180="OK",P180*Q180*(1-S180),"invalid")</f>
        <v>3116.0480000000002</v>
      </c>
      <c r="AA180">
        <f>IF(Z180="N/A","N/A",Z180-V180)</f>
        <v>1159.4180000000001</v>
      </c>
      <c r="AB180" s="8">
        <f>IF(Z180&lt;&gt;"N/A", AA180/Z180, "N/A")</f>
        <v>0.37207963420332424</v>
      </c>
      <c r="AC180">
        <f>MONTH(B180)</f>
        <v>2</v>
      </c>
      <c r="AD180">
        <f>YEAR(B180)</f>
        <v>2024</v>
      </c>
      <c r="AE180" s="10">
        <f t="shared" si="2"/>
        <v>1.9999999999527063E-3</v>
      </c>
      <c r="AF180" t="s">
        <v>2804</v>
      </c>
      <c r="AG180" t="s">
        <v>2811</v>
      </c>
    </row>
    <row r="181" spans="1:33">
      <c r="A181" t="s">
        <v>1061</v>
      </c>
      <c r="B181" s="4">
        <v>45407</v>
      </c>
      <c r="C181" s="4">
        <v>45412</v>
      </c>
      <c r="D181">
        <f>_xlfn.DAYS(C181,B181)</f>
        <v>5</v>
      </c>
      <c r="E181" t="s">
        <v>2804</v>
      </c>
      <c r="F181" t="s">
        <v>1062</v>
      </c>
      <c r="G181" t="s">
        <v>36</v>
      </c>
      <c r="H181" t="s">
        <v>37</v>
      </c>
      <c r="I181" t="s">
        <v>54</v>
      </c>
      <c r="J181" t="s">
        <v>175</v>
      </c>
      <c r="K181" t="s">
        <v>176</v>
      </c>
      <c r="L181" t="s">
        <v>74</v>
      </c>
      <c r="M181" t="s">
        <v>171</v>
      </c>
      <c r="N181" t="s">
        <v>1063</v>
      </c>
      <c r="O181" t="s">
        <v>59</v>
      </c>
      <c r="P181">
        <v>3</v>
      </c>
      <c r="Q181">
        <v>4149.46</v>
      </c>
      <c r="R181">
        <v>0.1</v>
      </c>
      <c r="S181">
        <f>IF(ISNUMBER(SEARCH("%",R181)), VALUE(SUBSTITUTE(R181,"%",""))/100,IF(ISNUMBER(R181), R181, 0))</f>
        <v>0.1</v>
      </c>
      <c r="T181" t="str">
        <f>IF(S181&lt;0,"Negative discount (invalid)",IF(S181&gt;0.5,"Discount above allowed range (invalid)",IF(AND(R181="",S181=0),"Missing discount set to 0","OK")))</f>
        <v>OK</v>
      </c>
      <c r="U181">
        <v>11203.54</v>
      </c>
      <c r="V181">
        <v>8452.93</v>
      </c>
      <c r="W181">
        <v>2750.61</v>
      </c>
      <c r="X181" t="s">
        <v>32</v>
      </c>
      <c r="Y181" t="s">
        <v>33</v>
      </c>
      <c r="Z181">
        <f>IF(T181="OK",P181*Q181*(1-S181),"invalid")</f>
        <v>11203.542000000001</v>
      </c>
      <c r="AA181">
        <f>IF(Z181="N/A","N/A",Z181-V181)</f>
        <v>2750.612000000001</v>
      </c>
      <c r="AB181" s="8">
        <f>IF(Z181&lt;&gt;"N/A", AA181/Z181, "N/A")</f>
        <v>0.24551271374713468</v>
      </c>
      <c r="AC181">
        <f>MONTH(B181)</f>
        <v>4</v>
      </c>
      <c r="AD181">
        <f>YEAR(B181)</f>
        <v>2024</v>
      </c>
      <c r="AE181" s="10">
        <f t="shared" si="2"/>
        <v>2.0000000004074536E-3</v>
      </c>
      <c r="AF181" t="s">
        <v>2804</v>
      </c>
      <c r="AG181" t="s">
        <v>2811</v>
      </c>
    </row>
    <row r="182" spans="1:33">
      <c r="A182" t="s">
        <v>1064</v>
      </c>
      <c r="B182" s="4">
        <v>45525</v>
      </c>
      <c r="C182" s="4">
        <v>45529</v>
      </c>
      <c r="D182">
        <f>_xlfn.DAYS(C182,B182)</f>
        <v>4</v>
      </c>
      <c r="E182" t="s">
        <v>2804</v>
      </c>
      <c r="F182" t="s">
        <v>1065</v>
      </c>
      <c r="G182" t="s">
        <v>162</v>
      </c>
      <c r="H182" t="s">
        <v>24</v>
      </c>
      <c r="I182" t="s">
        <v>63</v>
      </c>
      <c r="J182" t="s">
        <v>180</v>
      </c>
      <c r="K182" t="s">
        <v>181</v>
      </c>
      <c r="L182" t="s">
        <v>28</v>
      </c>
      <c r="M182" t="s">
        <v>153</v>
      </c>
      <c r="N182" t="s">
        <v>1066</v>
      </c>
      <c r="O182" t="s">
        <v>50</v>
      </c>
      <c r="P182">
        <v>1</v>
      </c>
      <c r="Q182">
        <v>270.27999999999997</v>
      </c>
      <c r="R182">
        <v>0</v>
      </c>
      <c r="S182">
        <f>IF(ISNUMBER(SEARCH("%",R182)), VALUE(SUBSTITUTE(R182,"%",""))/100,IF(ISNUMBER(R182), R182, 0))</f>
        <v>0</v>
      </c>
      <c r="T182" t="str">
        <f>IF(S182&lt;0,"Negative discount (invalid)",IF(S182&gt;0.5,"Discount above allowed range (invalid)",IF(AND(R182="",S182=0),"Missing discount set to 0","OK")))</f>
        <v>OK</v>
      </c>
      <c r="U182">
        <v>270.27999999999997</v>
      </c>
      <c r="V182">
        <v>156.34</v>
      </c>
      <c r="W182">
        <v>113.94</v>
      </c>
      <c r="X182" t="s">
        <v>32</v>
      </c>
      <c r="Y182" t="s">
        <v>33</v>
      </c>
      <c r="Z182">
        <f>IF(T182="OK",P182*Q182*(1-S182),"invalid")</f>
        <v>270.27999999999997</v>
      </c>
      <c r="AA182">
        <f>IF(Z182="N/A","N/A",Z182-V182)</f>
        <v>113.93999999999997</v>
      </c>
      <c r="AB182" s="8">
        <f>IF(Z182&lt;&gt;"N/A", AA182/Z182, "N/A")</f>
        <v>0.42156282373834536</v>
      </c>
      <c r="AC182">
        <f>MONTH(B182)</f>
        <v>8</v>
      </c>
      <c r="AD182">
        <f>YEAR(B182)</f>
        <v>2024</v>
      </c>
      <c r="AE182" s="10">
        <f t="shared" si="2"/>
        <v>0</v>
      </c>
      <c r="AF182" t="s">
        <v>2804</v>
      </c>
      <c r="AG182" t="s">
        <v>2811</v>
      </c>
    </row>
    <row r="183" spans="1:33">
      <c r="A183" t="s">
        <v>1067</v>
      </c>
      <c r="B183" s="4">
        <v>45630</v>
      </c>
      <c r="C183" s="4">
        <v>45632</v>
      </c>
      <c r="D183">
        <f>_xlfn.DAYS(C183,B183)</f>
        <v>2</v>
      </c>
      <c r="E183" t="s">
        <v>2804</v>
      </c>
      <c r="F183" t="s">
        <v>1068</v>
      </c>
      <c r="G183" t="s">
        <v>128</v>
      </c>
      <c r="H183" t="s">
        <v>95</v>
      </c>
      <c r="I183" t="s">
        <v>38</v>
      </c>
      <c r="J183" t="s">
        <v>99</v>
      </c>
      <c r="K183" t="s">
        <v>100</v>
      </c>
      <c r="L183" t="s">
        <v>28</v>
      </c>
      <c r="M183" t="s">
        <v>48</v>
      </c>
      <c r="N183" t="s">
        <v>1069</v>
      </c>
      <c r="O183" t="s">
        <v>31</v>
      </c>
      <c r="P183">
        <v>3</v>
      </c>
      <c r="Q183">
        <v>876.14</v>
      </c>
      <c r="R183" t="s">
        <v>463</v>
      </c>
      <c r="S183">
        <f>IF(ISNUMBER(SEARCH("%",R183)), VALUE(SUBSTITUTE(R183,"%",""))/100,IF(ISNUMBER(R183), R183, 0))</f>
        <v>0.7</v>
      </c>
      <c r="T183" t="str">
        <f>IF(S183&lt;0,"Negative discount (invalid)",IF(S183&gt;0.5,"Discount above allowed range (invalid)",IF(AND(R183="",S183=0),"Missing discount set to 0","OK")))</f>
        <v>Discount above allowed range (invalid)</v>
      </c>
      <c r="U183">
        <v>2628.42</v>
      </c>
      <c r="V183">
        <v>1541.54</v>
      </c>
      <c r="W183">
        <v>1086.8800000000001</v>
      </c>
      <c r="X183" t="s">
        <v>111</v>
      </c>
      <c r="Y183" t="s">
        <v>103</v>
      </c>
      <c r="Z183" t="s">
        <v>2793</v>
      </c>
      <c r="AA183" t="str">
        <f>IF(Z183="N/A","N/A",Z183-V183)</f>
        <v>N/A</v>
      </c>
      <c r="AB183" s="8" t="str">
        <f>IF(Z183&lt;&gt;"N/A", AA183/Z183, "N/A")</f>
        <v>N/A</v>
      </c>
      <c r="AC183">
        <f>MONTH(B183)</f>
        <v>12</v>
      </c>
      <c r="AD183">
        <f>YEAR(B183)</f>
        <v>2024</v>
      </c>
      <c r="AE183" s="10" t="str">
        <f t="shared" si="2"/>
        <v>N/A</v>
      </c>
      <c r="AF183" t="s">
        <v>2802</v>
      </c>
      <c r="AG183" t="s">
        <v>2789</v>
      </c>
    </row>
    <row r="184" spans="1:33">
      <c r="A184" t="s">
        <v>1070</v>
      </c>
      <c r="B184" s="4">
        <v>45466</v>
      </c>
      <c r="C184" s="4">
        <v>45473</v>
      </c>
      <c r="D184">
        <f>_xlfn.DAYS(C184,B184)</f>
        <v>7</v>
      </c>
      <c r="E184" t="s">
        <v>2804</v>
      </c>
      <c r="F184" t="s">
        <v>1071</v>
      </c>
      <c r="G184" t="s">
        <v>79</v>
      </c>
      <c r="H184" t="s">
        <v>37</v>
      </c>
      <c r="I184" t="s">
        <v>63</v>
      </c>
      <c r="J184" t="s">
        <v>190</v>
      </c>
      <c r="K184" t="s">
        <v>191</v>
      </c>
      <c r="L184" t="s">
        <v>74</v>
      </c>
      <c r="M184" t="s">
        <v>75</v>
      </c>
      <c r="N184" t="s">
        <v>1072</v>
      </c>
      <c r="O184" t="s">
        <v>44</v>
      </c>
      <c r="P184">
        <v>4</v>
      </c>
      <c r="Q184">
        <v>674.82</v>
      </c>
      <c r="R184">
        <v>0</v>
      </c>
      <c r="S184">
        <f>IF(ISNUMBER(SEARCH("%",R184)), VALUE(SUBSTITUTE(R184,"%",""))/100,IF(ISNUMBER(R184), R184, 0))</f>
        <v>0</v>
      </c>
      <c r="T184" t="str">
        <f>IF(S184&lt;0,"Negative discount (invalid)",IF(S184&gt;0.5,"Discount above allowed range (invalid)",IF(AND(R184="",S184=0),"Missing discount set to 0","OK")))</f>
        <v>OK</v>
      </c>
      <c r="U184">
        <v>2699.28</v>
      </c>
      <c r="V184">
        <v>1759.76</v>
      </c>
      <c r="W184">
        <v>939.52</v>
      </c>
      <c r="X184" t="s">
        <v>155</v>
      </c>
      <c r="Y184" t="s">
        <v>68</v>
      </c>
      <c r="Z184">
        <f>IF(T184="OK",P184*Q184*(1-S184),"invalid")</f>
        <v>2699.28</v>
      </c>
      <c r="AA184">
        <f>IF(Z184="N/A","N/A",Z184-V184)</f>
        <v>939.52000000000021</v>
      </c>
      <c r="AB184" s="8">
        <f>IF(Z184&lt;&gt;"N/A", AA184/Z184, "N/A")</f>
        <v>0.34806318722029583</v>
      </c>
      <c r="AC184">
        <f>MONTH(B184)</f>
        <v>6</v>
      </c>
      <c r="AD184">
        <f>YEAR(B184)</f>
        <v>2024</v>
      </c>
      <c r="AE184" s="10">
        <f t="shared" si="2"/>
        <v>0</v>
      </c>
      <c r="AF184" t="s">
        <v>2804</v>
      </c>
      <c r="AG184" t="s">
        <v>2811</v>
      </c>
    </row>
    <row r="185" spans="1:33">
      <c r="A185" t="s">
        <v>1073</v>
      </c>
      <c r="B185" s="4">
        <v>45608</v>
      </c>
      <c r="C185" s="4">
        <v>45608</v>
      </c>
      <c r="D185">
        <f>_xlfn.DAYS(C185,B185)</f>
        <v>0</v>
      </c>
      <c r="E185" t="s">
        <v>2804</v>
      </c>
      <c r="F185" t="s">
        <v>1074</v>
      </c>
      <c r="G185" t="s">
        <v>47</v>
      </c>
      <c r="H185" t="s">
        <v>24</v>
      </c>
      <c r="I185" t="s">
        <v>25</v>
      </c>
      <c r="J185" t="s">
        <v>136</v>
      </c>
      <c r="K185" t="s">
        <v>137</v>
      </c>
      <c r="L185" t="s">
        <v>74</v>
      </c>
      <c r="M185" t="s">
        <v>171</v>
      </c>
      <c r="N185" t="s">
        <v>1075</v>
      </c>
      <c r="O185" t="s">
        <v>31</v>
      </c>
      <c r="P185">
        <v>6</v>
      </c>
      <c r="Q185">
        <v>1369.48</v>
      </c>
      <c r="R185">
        <v>0.15</v>
      </c>
      <c r="S185">
        <f>IF(ISNUMBER(SEARCH("%",R185)), VALUE(SUBSTITUTE(R185,"%",""))/100,IF(ISNUMBER(R185), R185, 0))</f>
        <v>0.15</v>
      </c>
      <c r="T185" t="str">
        <f>IF(S185&lt;0,"Negative discount (invalid)",IF(S185&gt;0.5,"Discount above allowed range (invalid)",IF(AND(R185="",S185=0),"Missing discount set to 0","OK")))</f>
        <v>OK</v>
      </c>
      <c r="U185">
        <v>6984.35</v>
      </c>
      <c r="V185">
        <v>4023.63</v>
      </c>
      <c r="W185">
        <v>2960.72</v>
      </c>
      <c r="X185" t="s">
        <v>32</v>
      </c>
      <c r="Y185" t="s">
        <v>33</v>
      </c>
      <c r="Z185">
        <f>IF(T185="OK",P185*Q185*(1-S185),"invalid")</f>
        <v>6984.3480000000009</v>
      </c>
      <c r="AA185">
        <f>IF(Z185="N/A","N/A",Z185-V185)</f>
        <v>2960.7180000000008</v>
      </c>
      <c r="AB185" s="8">
        <f>IF(Z185&lt;&gt;"N/A", AA185/Z185, "N/A")</f>
        <v>0.42390757161584736</v>
      </c>
      <c r="AC185">
        <f>MONTH(B185)</f>
        <v>11</v>
      </c>
      <c r="AD185">
        <f>YEAR(B185)</f>
        <v>2024</v>
      </c>
      <c r="AE185" s="10">
        <f t="shared" si="2"/>
        <v>1.9999999994979589E-3</v>
      </c>
      <c r="AF185" t="s">
        <v>2804</v>
      </c>
      <c r="AG185" t="s">
        <v>2811</v>
      </c>
    </row>
    <row r="186" spans="1:33">
      <c r="A186" t="s">
        <v>1076</v>
      </c>
      <c r="B186" s="4">
        <v>45347</v>
      </c>
      <c r="C186" s="4">
        <v>45351</v>
      </c>
      <c r="D186">
        <f>_xlfn.DAYS(C186,B186)</f>
        <v>4</v>
      </c>
      <c r="E186" t="s">
        <v>2804</v>
      </c>
      <c r="F186" t="s">
        <v>1077</v>
      </c>
      <c r="G186" t="s">
        <v>47</v>
      </c>
      <c r="H186" t="s">
        <v>37</v>
      </c>
      <c r="I186" t="s">
        <v>63</v>
      </c>
      <c r="J186" t="s">
        <v>190</v>
      </c>
      <c r="K186" t="s">
        <v>191</v>
      </c>
      <c r="L186" t="s">
        <v>41</v>
      </c>
      <c r="M186" t="s">
        <v>57</v>
      </c>
      <c r="N186" t="s">
        <v>150</v>
      </c>
      <c r="O186" t="s">
        <v>59</v>
      </c>
      <c r="P186">
        <v>9</v>
      </c>
      <c r="Q186">
        <v>1331.46</v>
      </c>
      <c r="R186">
        <v>0.15</v>
      </c>
      <c r="S186">
        <f>IF(ISNUMBER(SEARCH("%",R186)), VALUE(SUBSTITUTE(R186,"%",""))/100,IF(ISNUMBER(R186), R186, 0))</f>
        <v>0.15</v>
      </c>
      <c r="T186" t="str">
        <f>IF(S186&lt;0,"Negative discount (invalid)",IF(S186&gt;0.5,"Discount above allowed range (invalid)",IF(AND(R186="",S186=0),"Missing discount set to 0","OK")))</f>
        <v>OK</v>
      </c>
      <c r="U186">
        <v>10185.67</v>
      </c>
      <c r="V186">
        <v>6479.31</v>
      </c>
      <c r="W186">
        <v>3706.36</v>
      </c>
      <c r="X186" t="s">
        <v>32</v>
      </c>
      <c r="Y186" t="s">
        <v>33</v>
      </c>
      <c r="Z186">
        <f>IF(T186="OK",P186*Q186*(1-S186),"invalid")</f>
        <v>10185.669</v>
      </c>
      <c r="AA186">
        <f>IF(Z186="N/A","N/A",Z186-V186)</f>
        <v>3706.3589999999995</v>
      </c>
      <c r="AB186" s="8">
        <f>IF(Z186&lt;&gt;"N/A", AA186/Z186, "N/A")</f>
        <v>0.36387978050337189</v>
      </c>
      <c r="AC186">
        <f>MONTH(B186)</f>
        <v>2</v>
      </c>
      <c r="AD186">
        <f>YEAR(B186)</f>
        <v>2024</v>
      </c>
      <c r="AE186" s="10">
        <f t="shared" si="2"/>
        <v>1.0000000002037268E-3</v>
      </c>
      <c r="AF186" t="s">
        <v>2804</v>
      </c>
      <c r="AG186" t="s">
        <v>2811</v>
      </c>
    </row>
    <row r="187" spans="1:33">
      <c r="A187" t="s">
        <v>1087</v>
      </c>
      <c r="B187" s="4">
        <v>45497</v>
      </c>
      <c r="C187" s="4">
        <v>45500</v>
      </c>
      <c r="D187">
        <f>_xlfn.DAYS(C187,B187)</f>
        <v>3</v>
      </c>
      <c r="E187" t="s">
        <v>2804</v>
      </c>
      <c r="F187" t="s">
        <v>1088</v>
      </c>
      <c r="G187" t="s">
        <v>47</v>
      </c>
      <c r="H187" t="s">
        <v>24</v>
      </c>
      <c r="I187" t="s">
        <v>63</v>
      </c>
      <c r="J187" t="s">
        <v>26</v>
      </c>
      <c r="K187" t="s">
        <v>109</v>
      </c>
      <c r="L187" t="s">
        <v>74</v>
      </c>
      <c r="M187" t="s">
        <v>75</v>
      </c>
      <c r="N187" t="s">
        <v>1089</v>
      </c>
      <c r="O187" t="s">
        <v>31</v>
      </c>
      <c r="P187">
        <v>3</v>
      </c>
      <c r="Q187">
        <v>1834.55</v>
      </c>
      <c r="R187">
        <v>0.2</v>
      </c>
      <c r="S187">
        <f>IF(ISNUMBER(SEARCH("%",R187)), VALUE(SUBSTITUTE(R187,"%",""))/100,IF(ISNUMBER(R187), R187, 0))</f>
        <v>0.2</v>
      </c>
      <c r="T187" t="str">
        <f>IF(S187&lt;0,"Negative discount (invalid)",IF(S187&gt;0.5,"Discount above allowed range (invalid)",IF(AND(R187="",S187=0),"Missing discount set to 0","OK")))</f>
        <v>OK</v>
      </c>
      <c r="U187">
        <v>4402.92</v>
      </c>
      <c r="V187">
        <v>2993.94</v>
      </c>
      <c r="W187">
        <v>1408.98</v>
      </c>
      <c r="X187" t="s">
        <v>111</v>
      </c>
      <c r="Y187" t="s">
        <v>68</v>
      </c>
      <c r="Z187">
        <f>IF(T187="OK",P187*Q187*(1-S187),"invalid")</f>
        <v>4402.92</v>
      </c>
      <c r="AA187">
        <f>IF(Z187="N/A","N/A",Z187-V187)</f>
        <v>1408.98</v>
      </c>
      <c r="AB187" s="8">
        <f>IF(Z187&lt;&gt;"N/A", AA187/Z187, "N/A")</f>
        <v>0.32001035676323897</v>
      </c>
      <c r="AC187">
        <f>MONTH(B187)</f>
        <v>7</v>
      </c>
      <c r="AD187">
        <f>YEAR(B187)</f>
        <v>2024</v>
      </c>
      <c r="AE187" s="10">
        <f t="shared" si="2"/>
        <v>0</v>
      </c>
      <c r="AF187" t="s">
        <v>2804</v>
      </c>
      <c r="AG187" t="s">
        <v>2811</v>
      </c>
    </row>
    <row r="188" spans="1:33">
      <c r="A188" t="s">
        <v>1096</v>
      </c>
      <c r="B188" s="4">
        <v>45428</v>
      </c>
      <c r="C188" s="4">
        <v>45436</v>
      </c>
      <c r="D188">
        <f>_xlfn.DAYS(C188,B188)</f>
        <v>8</v>
      </c>
      <c r="E188" t="s">
        <v>2804</v>
      </c>
      <c r="F188" t="s">
        <v>1097</v>
      </c>
      <c r="G188" t="s">
        <v>53</v>
      </c>
      <c r="H188" t="s">
        <v>95</v>
      </c>
      <c r="I188" t="s">
        <v>25</v>
      </c>
      <c r="J188" t="s">
        <v>122</v>
      </c>
      <c r="K188" t="s">
        <v>123</v>
      </c>
      <c r="L188" t="s">
        <v>74</v>
      </c>
      <c r="M188" t="s">
        <v>75</v>
      </c>
      <c r="N188" t="s">
        <v>1098</v>
      </c>
      <c r="O188" t="s">
        <v>44</v>
      </c>
      <c r="P188">
        <v>1</v>
      </c>
      <c r="Q188">
        <v>783.09</v>
      </c>
      <c r="R188">
        <v>0</v>
      </c>
      <c r="S188">
        <f>IF(ISNUMBER(SEARCH("%",R188)), VALUE(SUBSTITUTE(R188,"%",""))/100,IF(ISNUMBER(R188), R188, 0))</f>
        <v>0</v>
      </c>
      <c r="T188" t="str">
        <f>IF(S188&lt;0,"Negative discount (invalid)",IF(S188&gt;0.5,"Discount above allowed range (invalid)",IF(AND(R188="",S188=0),"Missing discount set to 0","OK")))</f>
        <v>OK</v>
      </c>
      <c r="U188">
        <v>783.09</v>
      </c>
      <c r="V188">
        <v>503.89</v>
      </c>
      <c r="W188">
        <v>279.2</v>
      </c>
      <c r="X188" t="s">
        <v>155</v>
      </c>
      <c r="Y188" t="s">
        <v>68</v>
      </c>
      <c r="Z188">
        <f>IF(T188="OK",P188*Q188*(1-S188),"invalid")</f>
        <v>783.09</v>
      </c>
      <c r="AA188">
        <f>IF(Z188="N/A","N/A",Z188-V188)</f>
        <v>279.20000000000005</v>
      </c>
      <c r="AB188" s="8">
        <f>IF(Z188&lt;&gt;"N/A", AA188/Z188, "N/A")</f>
        <v>0.3565362857398256</v>
      </c>
      <c r="AC188">
        <f>MONTH(B188)</f>
        <v>5</v>
      </c>
      <c r="AD188">
        <f>YEAR(B188)</f>
        <v>2024</v>
      </c>
      <c r="AE188" s="10">
        <f t="shared" si="2"/>
        <v>0</v>
      </c>
      <c r="AF188" t="s">
        <v>2804</v>
      </c>
      <c r="AG188" t="s">
        <v>2811</v>
      </c>
    </row>
    <row r="189" spans="1:33">
      <c r="A189" t="s">
        <v>1099</v>
      </c>
      <c r="B189" s="4">
        <v>45630</v>
      </c>
      <c r="C189" s="4">
        <v>45632</v>
      </c>
      <c r="D189">
        <f>_xlfn.DAYS(C189,B189)</f>
        <v>2</v>
      </c>
      <c r="E189" t="s">
        <v>2804</v>
      </c>
      <c r="F189" t="s">
        <v>1100</v>
      </c>
      <c r="G189" t="s">
        <v>132</v>
      </c>
      <c r="H189" t="s">
        <v>95</v>
      </c>
      <c r="I189" t="s">
        <v>38</v>
      </c>
      <c r="J189" t="s">
        <v>39</v>
      </c>
      <c r="K189" t="s">
        <v>40</v>
      </c>
      <c r="L189" t="s">
        <v>28</v>
      </c>
      <c r="M189" t="s">
        <v>153</v>
      </c>
      <c r="N189" t="s">
        <v>1101</v>
      </c>
      <c r="O189" t="s">
        <v>31</v>
      </c>
      <c r="P189">
        <v>4</v>
      </c>
      <c r="Q189">
        <v>2685.66</v>
      </c>
      <c r="R189">
        <v>0</v>
      </c>
      <c r="S189">
        <f>IF(ISNUMBER(SEARCH("%",R189)), VALUE(SUBSTITUTE(R189,"%",""))/100,IF(ISNUMBER(R189), R189, 0))</f>
        <v>0</v>
      </c>
      <c r="T189" t="str">
        <f>IF(S189&lt;0,"Negative discount (invalid)",IF(S189&gt;0.5,"Discount above allowed range (invalid)",IF(AND(R189="",S189=0),"Missing discount set to 0","OK")))</f>
        <v>OK</v>
      </c>
      <c r="U189">
        <v>10742.64</v>
      </c>
      <c r="V189">
        <v>6477.37</v>
      </c>
      <c r="W189">
        <v>4265.2700000000004</v>
      </c>
      <c r="X189" t="s">
        <v>32</v>
      </c>
      <c r="Y189" t="s">
        <v>103</v>
      </c>
      <c r="Z189">
        <f>IF(T189="OK",P189*Q189*(1-S189),"invalid")</f>
        <v>10742.64</v>
      </c>
      <c r="AA189">
        <f>IF(Z189="N/A","N/A",Z189-V189)</f>
        <v>4265.2699999999995</v>
      </c>
      <c r="AB189" s="8">
        <f>IF(Z189&lt;&gt;"N/A", AA189/Z189, "N/A")</f>
        <v>0.39704113700170535</v>
      </c>
      <c r="AC189">
        <f>MONTH(B189)</f>
        <v>12</v>
      </c>
      <c r="AD189">
        <f>YEAR(B189)</f>
        <v>2024</v>
      </c>
      <c r="AE189" s="10">
        <f t="shared" si="2"/>
        <v>0</v>
      </c>
      <c r="AF189" t="s">
        <v>2804</v>
      </c>
      <c r="AG189" t="s">
        <v>2811</v>
      </c>
    </row>
    <row r="190" spans="1:33">
      <c r="A190" t="s">
        <v>1099</v>
      </c>
      <c r="B190" s="4">
        <v>45630</v>
      </c>
      <c r="C190" s="4">
        <v>45632</v>
      </c>
      <c r="D190">
        <f>_xlfn.DAYS(C190,B190)</f>
        <v>2</v>
      </c>
      <c r="E190" t="s">
        <v>2804</v>
      </c>
      <c r="F190" t="s">
        <v>1100</v>
      </c>
      <c r="G190" t="s">
        <v>132</v>
      </c>
      <c r="H190" t="s">
        <v>95</v>
      </c>
      <c r="I190" t="s">
        <v>38</v>
      </c>
      <c r="J190" t="s">
        <v>39</v>
      </c>
      <c r="K190" t="s">
        <v>40</v>
      </c>
      <c r="L190" t="s">
        <v>28</v>
      </c>
      <c r="M190" t="s">
        <v>153</v>
      </c>
      <c r="N190" t="s">
        <v>1101</v>
      </c>
      <c r="O190" t="s">
        <v>31</v>
      </c>
      <c r="P190">
        <v>4</v>
      </c>
      <c r="Q190">
        <v>2685.66</v>
      </c>
      <c r="R190">
        <v>0</v>
      </c>
      <c r="S190">
        <f>IF(ISNUMBER(SEARCH("%",R190)), VALUE(SUBSTITUTE(R190,"%",""))/100,IF(ISNUMBER(R190), R190, 0))</f>
        <v>0</v>
      </c>
      <c r="T190" t="str">
        <f>IF(S190&lt;0,"Negative discount (invalid)",IF(S190&gt;0.5,"Discount above allowed range (invalid)",IF(AND(R190="",S190=0),"Missing discount set to 0","OK")))</f>
        <v>OK</v>
      </c>
      <c r="U190">
        <v>10989.89</v>
      </c>
      <c r="V190">
        <v>6477.37</v>
      </c>
      <c r="W190">
        <v>4265.2700000000004</v>
      </c>
      <c r="X190" t="s">
        <v>32</v>
      </c>
      <c r="Y190" t="s">
        <v>33</v>
      </c>
      <c r="Z190">
        <f>IF(T190="OK",P190*Q190*(1-S190),"invalid")</f>
        <v>10742.64</v>
      </c>
      <c r="AA190">
        <f>IF(Z190="N/A","N/A",Z190-V190)</f>
        <v>4265.2699999999995</v>
      </c>
      <c r="AB190" s="8">
        <f>IF(Z190&lt;&gt;"N/A", AA190/Z190, "N/A")</f>
        <v>0.39704113700170535</v>
      </c>
      <c r="AC190">
        <f>MONTH(B190)</f>
        <v>12</v>
      </c>
      <c r="AD190">
        <f>YEAR(B190)</f>
        <v>2024</v>
      </c>
      <c r="AE190" s="10">
        <f t="shared" si="2"/>
        <v>247.25</v>
      </c>
      <c r="AF190" t="s">
        <v>2807</v>
      </c>
      <c r="AG190" t="s">
        <v>2789</v>
      </c>
    </row>
    <row r="191" spans="1:33">
      <c r="A191" t="s">
        <v>1108</v>
      </c>
      <c r="B191" s="4">
        <v>45547</v>
      </c>
      <c r="C191" s="4">
        <v>45552</v>
      </c>
      <c r="D191">
        <f>_xlfn.DAYS(C191,B191)</f>
        <v>5</v>
      </c>
      <c r="E191" t="s">
        <v>2804</v>
      </c>
      <c r="F191" t="s">
        <v>1109</v>
      </c>
      <c r="G191" t="s">
        <v>62</v>
      </c>
      <c r="H191" t="s">
        <v>24</v>
      </c>
      <c r="I191" t="s">
        <v>38</v>
      </c>
      <c r="J191" t="s">
        <v>228</v>
      </c>
      <c r="K191" t="s">
        <v>229</v>
      </c>
      <c r="L191" t="s">
        <v>28</v>
      </c>
      <c r="M191" t="s">
        <v>124</v>
      </c>
      <c r="N191" t="s">
        <v>1110</v>
      </c>
      <c r="O191" t="s">
        <v>50</v>
      </c>
      <c r="P191">
        <v>9</v>
      </c>
      <c r="Q191">
        <v>1921.47</v>
      </c>
      <c r="R191">
        <v>0.25</v>
      </c>
      <c r="S191">
        <f>IF(ISNUMBER(SEARCH("%",R191)), VALUE(SUBSTITUTE(R191,"%",""))/100,IF(ISNUMBER(R191), R191, 0))</f>
        <v>0.25</v>
      </c>
      <c r="T191" t="str">
        <f>IF(S191&lt;0,"Negative discount (invalid)",IF(S191&gt;0.5,"Discount above allowed range (invalid)",IF(AND(R191="",S191=0),"Missing discount set to 0","OK")))</f>
        <v>OK</v>
      </c>
      <c r="U191">
        <v>12969.92</v>
      </c>
      <c r="V191">
        <v>9398.4599999999991</v>
      </c>
      <c r="W191">
        <v>3571.46</v>
      </c>
      <c r="X191" t="s">
        <v>32</v>
      </c>
      <c r="Y191" t="s">
        <v>33</v>
      </c>
      <c r="Z191">
        <f>IF(T191="OK",P191*Q191*(1-S191),"invalid")</f>
        <v>12969.922500000001</v>
      </c>
      <c r="AA191">
        <f>IF(Z191="N/A","N/A",Z191-V191)</f>
        <v>3571.4625000000015</v>
      </c>
      <c r="AB191" s="8">
        <f>IF(Z191&lt;&gt;"N/A", AA191/Z191, "N/A")</f>
        <v>0.27536498386941027</v>
      </c>
      <c r="AC191">
        <f>MONTH(B191)</f>
        <v>9</v>
      </c>
      <c r="AD191">
        <f>YEAR(B191)</f>
        <v>2024</v>
      </c>
      <c r="AE191" s="10">
        <f t="shared" si="2"/>
        <v>2.500000000509317E-3</v>
      </c>
      <c r="AF191" t="s">
        <v>2804</v>
      </c>
      <c r="AG191" t="s">
        <v>2811</v>
      </c>
    </row>
    <row r="192" spans="1:33">
      <c r="A192" t="s">
        <v>1114</v>
      </c>
      <c r="B192" s="4">
        <v>45368</v>
      </c>
      <c r="C192" s="4">
        <v>45372</v>
      </c>
      <c r="D192">
        <f>_xlfn.DAYS(C192,B192)</f>
        <v>4</v>
      </c>
      <c r="E192" t="s">
        <v>2804</v>
      </c>
      <c r="F192" t="s">
        <v>866</v>
      </c>
      <c r="G192" t="s">
        <v>128</v>
      </c>
      <c r="H192" t="s">
        <v>24</v>
      </c>
      <c r="I192" t="s">
        <v>25</v>
      </c>
      <c r="J192" t="s">
        <v>26</v>
      </c>
      <c r="K192" t="s">
        <v>27</v>
      </c>
      <c r="L192" t="s">
        <v>74</v>
      </c>
      <c r="M192" t="s">
        <v>80</v>
      </c>
      <c r="N192" t="s">
        <v>1115</v>
      </c>
      <c r="O192" t="s">
        <v>50</v>
      </c>
      <c r="P192">
        <v>8</v>
      </c>
      <c r="Q192">
        <v>1992.57</v>
      </c>
      <c r="R192">
        <v>0</v>
      </c>
      <c r="S192">
        <f>IF(ISNUMBER(SEARCH("%",R192)), VALUE(SUBSTITUTE(R192,"%",""))/100,IF(ISNUMBER(R192), R192, 0))</f>
        <v>0</v>
      </c>
      <c r="T192" t="str">
        <f>IF(S192&lt;0,"Negative discount (invalid)",IF(S192&gt;0.5,"Discount above allowed range (invalid)",IF(AND(R192="",S192=0),"Missing discount set to 0","OK")))</f>
        <v>OK</v>
      </c>
      <c r="U192">
        <v>15940.56</v>
      </c>
      <c r="V192">
        <v>12347.15</v>
      </c>
      <c r="W192">
        <v>3593.41</v>
      </c>
      <c r="X192" t="s">
        <v>32</v>
      </c>
      <c r="Y192" t="s">
        <v>33</v>
      </c>
      <c r="Z192">
        <f>IF(T192="OK",P192*Q192*(1-S192),"invalid")</f>
        <v>15940.56</v>
      </c>
      <c r="AA192">
        <f>IF(Z192="N/A","N/A",Z192-V192)</f>
        <v>3593.41</v>
      </c>
      <c r="AB192" s="8">
        <f>IF(Z192&lt;&gt;"N/A", AA192/Z192, "N/A")</f>
        <v>0.2254255810335396</v>
      </c>
      <c r="AC192">
        <f>MONTH(B192)</f>
        <v>3</v>
      </c>
      <c r="AD192">
        <f>YEAR(B192)</f>
        <v>2024</v>
      </c>
      <c r="AE192" s="10">
        <f t="shared" si="2"/>
        <v>0</v>
      </c>
      <c r="AF192" t="s">
        <v>2804</v>
      </c>
      <c r="AG192" t="s">
        <v>2811</v>
      </c>
    </row>
    <row r="193" spans="1:33">
      <c r="A193" t="s">
        <v>1116</v>
      </c>
      <c r="B193" s="4">
        <v>45516</v>
      </c>
      <c r="C193" s="4">
        <v>45522</v>
      </c>
      <c r="D193">
        <f>_xlfn.DAYS(C193,B193)</f>
        <v>6</v>
      </c>
      <c r="E193" t="s">
        <v>2804</v>
      </c>
      <c r="F193" t="s">
        <v>1117</v>
      </c>
      <c r="G193" t="s">
        <v>62</v>
      </c>
      <c r="H193" t="s">
        <v>24</v>
      </c>
      <c r="I193" t="s">
        <v>38</v>
      </c>
      <c r="J193" t="s">
        <v>166</v>
      </c>
      <c r="K193" t="s">
        <v>167</v>
      </c>
      <c r="L193" t="s">
        <v>28</v>
      </c>
      <c r="M193" t="s">
        <v>91</v>
      </c>
      <c r="N193" t="s">
        <v>1118</v>
      </c>
      <c r="O193" t="s">
        <v>44</v>
      </c>
      <c r="P193">
        <v>6</v>
      </c>
      <c r="Q193">
        <v>1181.74</v>
      </c>
      <c r="R193">
        <v>0</v>
      </c>
      <c r="S193">
        <f>IF(ISNUMBER(SEARCH("%",R193)), VALUE(SUBSTITUTE(R193,"%",""))/100,IF(ISNUMBER(R193), R193, 0))</f>
        <v>0</v>
      </c>
      <c r="T193" t="str">
        <f>IF(S193&lt;0,"Negative discount (invalid)",IF(S193&gt;0.5,"Discount above allowed range (invalid)",IF(AND(R193="",S193=0),"Missing discount set to 0","OK")))</f>
        <v>OK</v>
      </c>
      <c r="U193">
        <v>7090.44</v>
      </c>
      <c r="V193">
        <v>5672.27</v>
      </c>
      <c r="W193">
        <v>1262.8699999999999</v>
      </c>
      <c r="X193" t="s">
        <v>32</v>
      </c>
      <c r="Y193" t="s">
        <v>33</v>
      </c>
      <c r="Z193">
        <f>IF(T193="OK",P193*Q193*(1-S193),"invalid")</f>
        <v>7090.4400000000005</v>
      </c>
      <c r="AA193">
        <f>IF(Z193="N/A","N/A",Z193-V193)</f>
        <v>1418.17</v>
      </c>
      <c r="AB193" s="8">
        <f>IF(Z193&lt;&gt;"N/A", AA193/Z193, "N/A")</f>
        <v>0.20001156486762456</v>
      </c>
      <c r="AC193">
        <f>MONTH(B193)</f>
        <v>8</v>
      </c>
      <c r="AD193">
        <f>YEAR(B193)</f>
        <v>2024</v>
      </c>
      <c r="AE193" s="10">
        <f t="shared" si="2"/>
        <v>9.0949470177292824E-13</v>
      </c>
      <c r="AF193" t="s">
        <v>2804</v>
      </c>
      <c r="AG193" t="s">
        <v>2811</v>
      </c>
    </row>
    <row r="194" spans="1:33">
      <c r="A194" t="s">
        <v>1119</v>
      </c>
      <c r="B194" s="4">
        <v>45634</v>
      </c>
      <c r="C194" s="4">
        <v>45634</v>
      </c>
      <c r="D194">
        <f>_xlfn.DAYS(C194,B194)</f>
        <v>0</v>
      </c>
      <c r="E194" t="s">
        <v>2804</v>
      </c>
      <c r="F194" t="s">
        <v>1120</v>
      </c>
      <c r="G194" t="s">
        <v>53</v>
      </c>
      <c r="H194" t="s">
        <v>37</v>
      </c>
      <c r="I194" t="s">
        <v>54</v>
      </c>
      <c r="J194" t="s">
        <v>84</v>
      </c>
      <c r="K194" t="s">
        <v>85</v>
      </c>
      <c r="L194" t="s">
        <v>74</v>
      </c>
      <c r="M194" t="s">
        <v>75</v>
      </c>
      <c r="N194" t="s">
        <v>1121</v>
      </c>
      <c r="O194" t="s">
        <v>50</v>
      </c>
      <c r="P194">
        <v>8</v>
      </c>
      <c r="Q194">
        <v>4402.3599999999997</v>
      </c>
      <c r="R194">
        <v>0.25</v>
      </c>
      <c r="S194">
        <f>IF(ISNUMBER(SEARCH("%",R194)), VALUE(SUBSTITUTE(R194,"%",""))/100,IF(ISNUMBER(R194), R194, 0))</f>
        <v>0.25</v>
      </c>
      <c r="T194" t="str">
        <f>IF(S194&lt;0,"Negative discount (invalid)",IF(S194&gt;0.5,"Discount above allowed range (invalid)",IF(AND(R194="",S194=0),"Missing discount set to 0","OK")))</f>
        <v>OK</v>
      </c>
      <c r="U194">
        <v>26414.16</v>
      </c>
      <c r="V194">
        <v>21822.53</v>
      </c>
      <c r="W194">
        <v>4591.63</v>
      </c>
      <c r="X194" t="s">
        <v>32</v>
      </c>
      <c r="Y194" t="s">
        <v>33</v>
      </c>
      <c r="Z194">
        <f>IF(T194="OK",P194*Q194*(1-S194),"invalid")</f>
        <v>26414.159999999996</v>
      </c>
      <c r="AA194">
        <f>IF(Z194="N/A","N/A",Z194-V194)</f>
        <v>4591.6299999999974</v>
      </c>
      <c r="AB194" s="8">
        <f>IF(Z194&lt;&gt;"N/A", AA194/Z194, "N/A")</f>
        <v>0.17383214154832097</v>
      </c>
      <c r="AC194">
        <f>MONTH(B194)</f>
        <v>12</v>
      </c>
      <c r="AD194">
        <f>YEAR(B194)</f>
        <v>2024</v>
      </c>
      <c r="AE194" s="10">
        <f t="shared" si="2"/>
        <v>3.637978807091713E-12</v>
      </c>
      <c r="AF194" t="s">
        <v>2804</v>
      </c>
      <c r="AG194" t="s">
        <v>2811</v>
      </c>
    </row>
    <row r="195" spans="1:33">
      <c r="A195" t="s">
        <v>1125</v>
      </c>
      <c r="B195" s="4">
        <v>45312</v>
      </c>
      <c r="C195" s="4">
        <v>45320</v>
      </c>
      <c r="D195">
        <f>_xlfn.DAYS(C195,B195)</f>
        <v>8</v>
      </c>
      <c r="E195" t="s">
        <v>2804</v>
      </c>
      <c r="F195" t="s">
        <v>1126</v>
      </c>
      <c r="G195" t="s">
        <v>79</v>
      </c>
      <c r="H195" t="s">
        <v>24</v>
      </c>
      <c r="I195" t="s">
        <v>54</v>
      </c>
      <c r="J195" t="s">
        <v>175</v>
      </c>
      <c r="K195" t="s">
        <v>176</v>
      </c>
      <c r="L195" t="s">
        <v>28</v>
      </c>
      <c r="M195" t="s">
        <v>153</v>
      </c>
      <c r="N195" t="s">
        <v>1127</v>
      </c>
      <c r="O195" t="s">
        <v>59</v>
      </c>
      <c r="P195">
        <v>5</v>
      </c>
      <c r="Q195">
        <v>4058.08</v>
      </c>
      <c r="R195">
        <v>0.1</v>
      </c>
      <c r="S195">
        <f>IF(ISNUMBER(SEARCH("%",R195)), VALUE(SUBSTITUTE(R195,"%",""))/100,IF(ISNUMBER(R195), R195, 0))</f>
        <v>0.1</v>
      </c>
      <c r="T195" t="str">
        <f>IF(S195&lt;0,"Negative discount (invalid)",IF(S195&gt;0.5,"Discount above allowed range (invalid)",IF(AND(R195="",S195=0),"Missing discount set to 0","OK")))</f>
        <v>OK</v>
      </c>
      <c r="U195">
        <v>18261.36</v>
      </c>
      <c r="V195">
        <v>11399.94</v>
      </c>
      <c r="W195">
        <v>6861.42</v>
      </c>
      <c r="X195" t="s">
        <v>32</v>
      </c>
      <c r="Y195" t="s">
        <v>33</v>
      </c>
      <c r="Z195">
        <f>IF(T195="OK",P195*Q195*(1-S195),"invalid")</f>
        <v>18261.36</v>
      </c>
      <c r="AA195">
        <f>IF(Z195="N/A","N/A",Z195-V195)</f>
        <v>6861.42</v>
      </c>
      <c r="AB195" s="8">
        <f>IF(Z195&lt;&gt;"N/A", AA195/Z195, "N/A")</f>
        <v>0.3757343374206521</v>
      </c>
      <c r="AC195">
        <f>MONTH(B195)</f>
        <v>1</v>
      </c>
      <c r="AD195">
        <f>YEAR(B195)</f>
        <v>2024</v>
      </c>
      <c r="AE195" s="10">
        <f t="shared" ref="AE195:AE258" si="3">IF(Z195&lt;&gt;"N/A",ABS(Z195-U195),"N/A")</f>
        <v>0</v>
      </c>
      <c r="AF195" t="s">
        <v>2804</v>
      </c>
      <c r="AG195" t="s">
        <v>2811</v>
      </c>
    </row>
    <row r="196" spans="1:33">
      <c r="A196" t="s">
        <v>1137</v>
      </c>
      <c r="B196" s="4">
        <v>45362</v>
      </c>
      <c r="C196" s="4">
        <v>45362</v>
      </c>
      <c r="D196">
        <f>_xlfn.DAYS(C196,B196)</f>
        <v>0</v>
      </c>
      <c r="E196" t="s">
        <v>2804</v>
      </c>
      <c r="F196" t="s">
        <v>1138</v>
      </c>
      <c r="G196" t="s">
        <v>114</v>
      </c>
      <c r="H196" t="s">
        <v>24</v>
      </c>
      <c r="I196" t="s">
        <v>25</v>
      </c>
      <c r="J196" t="s">
        <v>122</v>
      </c>
      <c r="K196" t="s">
        <v>123</v>
      </c>
      <c r="L196" t="s">
        <v>41</v>
      </c>
      <c r="M196" t="s">
        <v>158</v>
      </c>
      <c r="N196" t="s">
        <v>1139</v>
      </c>
      <c r="O196" t="s">
        <v>44</v>
      </c>
      <c r="P196">
        <v>9</v>
      </c>
      <c r="Q196">
        <v>3456.38</v>
      </c>
      <c r="R196">
        <v>0</v>
      </c>
      <c r="S196">
        <f>IF(ISNUMBER(SEARCH("%",R196)), VALUE(SUBSTITUTE(R196,"%",""))/100,IF(ISNUMBER(R196), R196, 0))</f>
        <v>0</v>
      </c>
      <c r="T196" t="str">
        <f>IF(S196&lt;0,"Negative discount (invalid)",IF(S196&gt;0.5,"Discount above allowed range (invalid)",IF(AND(R196="",S196=0),"Missing discount set to 0","OK")))</f>
        <v>OK</v>
      </c>
      <c r="U196">
        <v>31107.42</v>
      </c>
      <c r="V196">
        <v>20146.66</v>
      </c>
      <c r="W196">
        <v>10960.76</v>
      </c>
      <c r="X196" t="s">
        <v>111</v>
      </c>
      <c r="Y196" t="s">
        <v>103</v>
      </c>
      <c r="Z196">
        <f>IF(T196="OK",P196*Q196*(1-S196),"invalid")</f>
        <v>31107.420000000002</v>
      </c>
      <c r="AA196">
        <f>IF(Z196="N/A","N/A",Z196-V196)</f>
        <v>10960.760000000002</v>
      </c>
      <c r="AB196" s="8">
        <f>IF(Z196&lt;&gt;"N/A", AA196/Z196, "N/A")</f>
        <v>0.3523519468988428</v>
      </c>
      <c r="AC196">
        <f>MONTH(B196)</f>
        <v>3</v>
      </c>
      <c r="AD196">
        <f>YEAR(B196)</f>
        <v>2024</v>
      </c>
      <c r="AE196" s="10">
        <f t="shared" si="3"/>
        <v>3.637978807091713E-12</v>
      </c>
      <c r="AF196" t="s">
        <v>2804</v>
      </c>
      <c r="AG196" t="s">
        <v>2811</v>
      </c>
    </row>
    <row r="197" spans="1:33">
      <c r="A197" t="s">
        <v>1140</v>
      </c>
      <c r="B197" s="4">
        <v>45549</v>
      </c>
      <c r="C197" s="4">
        <v>45557</v>
      </c>
      <c r="D197">
        <f>_xlfn.DAYS(C197,B197)</f>
        <v>8</v>
      </c>
      <c r="E197" t="s">
        <v>2804</v>
      </c>
      <c r="F197" t="s">
        <v>1141</v>
      </c>
      <c r="G197" t="s">
        <v>23</v>
      </c>
      <c r="H197" t="s">
        <v>24</v>
      </c>
      <c r="I197" t="s">
        <v>63</v>
      </c>
      <c r="J197" t="s">
        <v>72</v>
      </c>
      <c r="K197" t="s">
        <v>73</v>
      </c>
      <c r="L197" t="s">
        <v>41</v>
      </c>
      <c r="M197" t="s">
        <v>57</v>
      </c>
      <c r="N197" t="s">
        <v>1142</v>
      </c>
      <c r="O197" t="s">
        <v>31</v>
      </c>
      <c r="P197">
        <v>2</v>
      </c>
      <c r="Q197">
        <v>2765.3</v>
      </c>
      <c r="R197">
        <v>0</v>
      </c>
      <c r="S197">
        <f>IF(ISNUMBER(SEARCH("%",R197)), VALUE(SUBSTITUTE(R197,"%",""))/100,IF(ISNUMBER(R197), R197, 0))</f>
        <v>0</v>
      </c>
      <c r="T197" t="str">
        <f>IF(S197&lt;0,"Negative discount (invalid)",IF(S197&gt;0.5,"Discount above allowed range (invalid)",IF(AND(R197="",S197=0),"Missing discount set to 0","OK")))</f>
        <v>OK</v>
      </c>
      <c r="U197">
        <v>5530.6</v>
      </c>
      <c r="V197">
        <v>4453.1099999999997</v>
      </c>
      <c r="W197">
        <v>1077.49</v>
      </c>
      <c r="X197" t="s">
        <v>32</v>
      </c>
      <c r="Y197" t="s">
        <v>33</v>
      </c>
      <c r="Z197">
        <f>IF(T197="OK",P197*Q197*(1-S197),"invalid")</f>
        <v>5530.6</v>
      </c>
      <c r="AA197">
        <f>IF(Z197="N/A","N/A",Z197-V197)</f>
        <v>1077.4900000000007</v>
      </c>
      <c r="AB197" s="8">
        <f>IF(Z197&lt;&gt;"N/A", AA197/Z197, "N/A")</f>
        <v>0.19482334647235391</v>
      </c>
      <c r="AC197">
        <f>MONTH(B197)</f>
        <v>9</v>
      </c>
      <c r="AD197">
        <f>YEAR(B197)</f>
        <v>2024</v>
      </c>
      <c r="AE197" s="10">
        <f t="shared" si="3"/>
        <v>0</v>
      </c>
      <c r="AF197" t="s">
        <v>2804</v>
      </c>
      <c r="AG197" t="s">
        <v>2811</v>
      </c>
    </row>
    <row r="198" spans="1:33">
      <c r="A198" t="s">
        <v>1146</v>
      </c>
      <c r="B198" s="4">
        <v>45627</v>
      </c>
      <c r="C198" s="4">
        <v>45634</v>
      </c>
      <c r="D198">
        <f>_xlfn.DAYS(C198,B198)</f>
        <v>7</v>
      </c>
      <c r="E198" t="s">
        <v>2804</v>
      </c>
      <c r="F198" t="s">
        <v>1147</v>
      </c>
      <c r="G198" t="s">
        <v>128</v>
      </c>
      <c r="H198" t="s">
        <v>37</v>
      </c>
      <c r="I198" t="s">
        <v>63</v>
      </c>
      <c r="J198" t="s">
        <v>190</v>
      </c>
      <c r="K198" t="s">
        <v>191</v>
      </c>
      <c r="L198" t="s">
        <v>41</v>
      </c>
      <c r="M198" t="s">
        <v>66</v>
      </c>
      <c r="N198" t="s">
        <v>1148</v>
      </c>
      <c r="O198" t="s">
        <v>31</v>
      </c>
      <c r="P198">
        <v>5</v>
      </c>
      <c r="Q198">
        <v>2981.49</v>
      </c>
      <c r="R198">
        <v>0.2</v>
      </c>
      <c r="S198">
        <f>IF(ISNUMBER(SEARCH("%",R198)), VALUE(SUBSTITUTE(R198,"%",""))/100,IF(ISNUMBER(R198), R198, 0))</f>
        <v>0.2</v>
      </c>
      <c r="T198" t="str">
        <f>IF(S198&lt;0,"Negative discount (invalid)",IF(S198&gt;0.5,"Discount above allowed range (invalid)",IF(AND(R198="",S198=0),"Missing discount set to 0","OK")))</f>
        <v>OK</v>
      </c>
      <c r="U198">
        <v>11925.96</v>
      </c>
      <c r="V198">
        <v>10103.51</v>
      </c>
      <c r="W198">
        <v>1822.45</v>
      </c>
      <c r="X198" t="s">
        <v>102</v>
      </c>
      <c r="Y198" t="s">
        <v>103</v>
      </c>
      <c r="Z198">
        <f>IF(T198="OK",P198*Q198*(1-S198),"invalid")</f>
        <v>11925.96</v>
      </c>
      <c r="AA198">
        <f>IF(Z198="N/A","N/A",Z198-V198)</f>
        <v>1822.4499999999989</v>
      </c>
      <c r="AB198" s="8">
        <f>IF(Z198&lt;&gt;"N/A", AA198/Z198, "N/A")</f>
        <v>0.15281369382422874</v>
      </c>
      <c r="AC198">
        <f>MONTH(B198)</f>
        <v>12</v>
      </c>
      <c r="AD198">
        <f>YEAR(B198)</f>
        <v>2024</v>
      </c>
      <c r="AE198" s="10">
        <f t="shared" si="3"/>
        <v>0</v>
      </c>
      <c r="AF198" t="s">
        <v>2804</v>
      </c>
      <c r="AG198" t="s">
        <v>2811</v>
      </c>
    </row>
    <row r="199" spans="1:33">
      <c r="A199" t="s">
        <v>1149</v>
      </c>
      <c r="B199" s="4">
        <v>45445</v>
      </c>
      <c r="C199" s="4">
        <v>45450</v>
      </c>
      <c r="D199">
        <f>_xlfn.DAYS(C199,B199)</f>
        <v>5</v>
      </c>
      <c r="E199" t="s">
        <v>2804</v>
      </c>
      <c r="F199" t="s">
        <v>1150</v>
      </c>
      <c r="G199" t="s">
        <v>128</v>
      </c>
      <c r="H199" t="s">
        <v>90</v>
      </c>
      <c r="I199" t="s">
        <v>54</v>
      </c>
      <c r="J199" t="s">
        <v>175</v>
      </c>
      <c r="K199" t="s">
        <v>176</v>
      </c>
      <c r="L199" t="s">
        <v>74</v>
      </c>
      <c r="M199" t="s">
        <v>171</v>
      </c>
      <c r="N199" t="s">
        <v>1151</v>
      </c>
      <c r="O199" t="s">
        <v>44</v>
      </c>
      <c r="P199">
        <v>9</v>
      </c>
      <c r="Q199">
        <v>2860.26</v>
      </c>
      <c r="R199">
        <v>0.25</v>
      </c>
      <c r="S199">
        <f>IF(ISNUMBER(SEARCH("%",R199)), VALUE(SUBSTITUTE(R199,"%",""))/100,IF(ISNUMBER(R199), R199, 0))</f>
        <v>0.25</v>
      </c>
      <c r="T199" t="str">
        <f>IF(S199&lt;0,"Negative discount (invalid)",IF(S199&gt;0.5,"Discount above allowed range (invalid)",IF(AND(R199="",S199=0),"Missing discount set to 0","OK")))</f>
        <v>OK</v>
      </c>
      <c r="U199">
        <v>19306.759999999998</v>
      </c>
      <c r="V199">
        <v>14442.38</v>
      </c>
      <c r="W199">
        <v>4864.38</v>
      </c>
      <c r="X199" t="s">
        <v>32</v>
      </c>
      <c r="Y199" t="s">
        <v>33</v>
      </c>
      <c r="Z199">
        <f>IF(T199="OK",P199*Q199*(1-S199),"invalid")</f>
        <v>19306.755000000005</v>
      </c>
      <c r="AA199">
        <f>IF(Z199="N/A","N/A",Z199-V199)</f>
        <v>4864.3750000000055</v>
      </c>
      <c r="AB199" s="8">
        <f>IF(Z199&lt;&gt;"N/A", AA199/Z199, "N/A")</f>
        <v>0.25195197225012717</v>
      </c>
      <c r="AC199">
        <f>MONTH(B199)</f>
        <v>6</v>
      </c>
      <c r="AD199">
        <f>YEAR(B199)</f>
        <v>2024</v>
      </c>
      <c r="AE199" s="10">
        <f t="shared" si="3"/>
        <v>4.9999999937426765E-3</v>
      </c>
      <c r="AF199" t="s">
        <v>2804</v>
      </c>
      <c r="AG199" t="s">
        <v>2811</v>
      </c>
    </row>
    <row r="200" spans="1:33">
      <c r="A200" t="s">
        <v>1155</v>
      </c>
      <c r="B200" s="4">
        <v>45298</v>
      </c>
      <c r="C200" s="4">
        <v>45305</v>
      </c>
      <c r="D200">
        <f>_xlfn.DAYS(C200,B200)</f>
        <v>7</v>
      </c>
      <c r="E200" t="s">
        <v>2804</v>
      </c>
      <c r="F200" t="s">
        <v>1156</v>
      </c>
      <c r="G200" t="s">
        <v>132</v>
      </c>
      <c r="H200" t="s">
        <v>37</v>
      </c>
      <c r="I200" t="s">
        <v>38</v>
      </c>
      <c r="J200" t="s">
        <v>228</v>
      </c>
      <c r="K200" t="s">
        <v>229</v>
      </c>
      <c r="L200" t="s">
        <v>41</v>
      </c>
      <c r="M200" t="s">
        <v>57</v>
      </c>
      <c r="N200" t="s">
        <v>1157</v>
      </c>
      <c r="O200" t="s">
        <v>31</v>
      </c>
      <c r="P200">
        <v>4</v>
      </c>
      <c r="Q200">
        <v>3309.54</v>
      </c>
      <c r="R200">
        <v>0.1</v>
      </c>
      <c r="S200">
        <f>IF(ISNUMBER(SEARCH("%",R200)), VALUE(SUBSTITUTE(R200,"%",""))/100,IF(ISNUMBER(R200), R200, 0))</f>
        <v>0.1</v>
      </c>
      <c r="T200" t="str">
        <f>IF(S200&lt;0,"Negative discount (invalid)",IF(S200&gt;0.5,"Discount above allowed range (invalid)",IF(AND(R200="",S200=0),"Missing discount set to 0","OK")))</f>
        <v>OK</v>
      </c>
      <c r="U200">
        <v>11914.34</v>
      </c>
      <c r="V200">
        <v>9771.24</v>
      </c>
      <c r="W200">
        <v>2143.1</v>
      </c>
      <c r="X200" t="s">
        <v>102</v>
      </c>
      <c r="Y200" t="s">
        <v>103</v>
      </c>
      <c r="Z200">
        <f>IF(T200="OK",P200*Q200*(1-S200),"invalid")</f>
        <v>11914.344000000001</v>
      </c>
      <c r="AA200">
        <f>IF(Z200="N/A","N/A",Z200-V200)</f>
        <v>2143.1040000000012</v>
      </c>
      <c r="AB200" s="8">
        <f>IF(Z200&lt;&gt;"N/A", AA200/Z200, "N/A")</f>
        <v>0.17987595456367561</v>
      </c>
      <c r="AC200">
        <f>MONTH(B200)</f>
        <v>1</v>
      </c>
      <c r="AD200">
        <f>YEAR(B200)</f>
        <v>2024</v>
      </c>
      <c r="AE200" s="10">
        <f t="shared" si="3"/>
        <v>4.0000000008149073E-3</v>
      </c>
      <c r="AF200" t="s">
        <v>2804</v>
      </c>
      <c r="AG200" t="s">
        <v>2811</v>
      </c>
    </row>
    <row r="201" spans="1:33">
      <c r="A201" t="s">
        <v>1167</v>
      </c>
      <c r="B201" s="4">
        <v>45653</v>
      </c>
      <c r="C201" s="4">
        <v>45657</v>
      </c>
      <c r="D201">
        <f>_xlfn.DAYS(C201,B201)</f>
        <v>4</v>
      </c>
      <c r="E201" t="s">
        <v>2804</v>
      </c>
      <c r="F201" t="s">
        <v>1168</v>
      </c>
      <c r="G201" t="s">
        <v>264</v>
      </c>
      <c r="H201" t="s">
        <v>90</v>
      </c>
      <c r="I201" t="s">
        <v>25</v>
      </c>
      <c r="J201" t="s">
        <v>122</v>
      </c>
      <c r="K201" t="s">
        <v>123</v>
      </c>
      <c r="L201" t="s">
        <v>41</v>
      </c>
      <c r="M201" t="s">
        <v>57</v>
      </c>
      <c r="N201" t="s">
        <v>1169</v>
      </c>
      <c r="O201" t="s">
        <v>59</v>
      </c>
      <c r="P201">
        <v>6</v>
      </c>
      <c r="Q201">
        <v>3346.78</v>
      </c>
      <c r="R201">
        <v>-0.06</v>
      </c>
      <c r="S201">
        <f>IF(ISNUMBER(SEARCH("%",R201)), VALUE(SUBSTITUTE(R201,"%",""))/100,IF(ISNUMBER(R201), R201, 0))</f>
        <v>-0.06</v>
      </c>
      <c r="T201" t="str">
        <f>IF(S201&lt;0,"Negative discount (invalid)",IF(S201&gt;0.5,"Discount above allowed range (invalid)",IF(AND(R201="",S201=0),"Missing discount set to 0","OK")))</f>
        <v>Negative discount (invalid)</v>
      </c>
      <c r="U201">
        <v>20080.68</v>
      </c>
      <c r="V201">
        <v>12908.84</v>
      </c>
      <c r="W201">
        <v>7171.84</v>
      </c>
      <c r="X201" t="s">
        <v>111</v>
      </c>
      <c r="Y201" t="s">
        <v>68</v>
      </c>
      <c r="Z201" t="s">
        <v>2793</v>
      </c>
      <c r="AA201" t="str">
        <f>IF(Z201="N/A","N/A",Z201-V201)</f>
        <v>N/A</v>
      </c>
      <c r="AB201" s="8" t="str">
        <f>IF(Z201&lt;&gt;"N/A", AA201/Z201, "N/A")</f>
        <v>N/A</v>
      </c>
      <c r="AC201">
        <f>MONTH(B201)</f>
        <v>12</v>
      </c>
      <c r="AD201">
        <f>YEAR(B201)</f>
        <v>2024</v>
      </c>
      <c r="AE201" s="10" t="str">
        <f t="shared" si="3"/>
        <v>N/A</v>
      </c>
      <c r="AF201" t="s">
        <v>2802</v>
      </c>
      <c r="AG201" t="s">
        <v>2789</v>
      </c>
    </row>
    <row r="202" spans="1:33">
      <c r="A202" t="s">
        <v>1170</v>
      </c>
      <c r="B202" s="4">
        <v>45424</v>
      </c>
      <c r="C202" s="4">
        <v>45421</v>
      </c>
      <c r="D202">
        <f>_xlfn.DAYS(C202,B202)</f>
        <v>-3</v>
      </c>
      <c r="E202" t="str">
        <f>IF(B202="INVALID","Missing/Invalid order_date", IF(C202="INVALID","Missing/Invalid ship_date",IF(AND(B202&lt;&gt;"",C202&lt;&gt;"",C202&lt;B202),"Ship date before order date","")))</f>
        <v>Ship date before order date</v>
      </c>
      <c r="F202" t="s">
        <v>1171</v>
      </c>
      <c r="G202" t="s">
        <v>114</v>
      </c>
      <c r="H202" t="s">
        <v>90</v>
      </c>
      <c r="I202" t="s">
        <v>63</v>
      </c>
      <c r="J202" t="s">
        <v>26</v>
      </c>
      <c r="K202" t="s">
        <v>109</v>
      </c>
      <c r="L202" t="s">
        <v>41</v>
      </c>
      <c r="M202" t="s">
        <v>42</v>
      </c>
      <c r="N202" t="s">
        <v>1172</v>
      </c>
      <c r="O202" t="s">
        <v>59</v>
      </c>
      <c r="P202">
        <v>5</v>
      </c>
      <c r="Q202">
        <v>3203.48</v>
      </c>
      <c r="R202">
        <v>0</v>
      </c>
      <c r="S202">
        <f>IF(ISNUMBER(SEARCH("%",R202)), VALUE(SUBSTITUTE(R202,"%",""))/100,IF(ISNUMBER(R202), R202, 0))</f>
        <v>0</v>
      </c>
      <c r="T202" t="str">
        <f>IF(S202&lt;0,"Negative discount (invalid)",IF(S202&gt;0.5,"Discount above allowed range (invalid)",IF(AND(R202="",S202=0),"Missing discount set to 0","OK")))</f>
        <v>OK</v>
      </c>
      <c r="U202">
        <v>16017.4</v>
      </c>
      <c r="V202">
        <v>9557.7999999999993</v>
      </c>
      <c r="W202">
        <v>6459.6</v>
      </c>
      <c r="X202" t="s">
        <v>111</v>
      </c>
      <c r="Y202" t="s">
        <v>68</v>
      </c>
      <c r="Z202">
        <f>IF(T202="OK",P202*Q202*(1-S202),"invalid")</f>
        <v>16017.4</v>
      </c>
      <c r="AA202">
        <f>IF(Z202="N/A","N/A",Z202-V202)</f>
        <v>6459.6</v>
      </c>
      <c r="AB202" s="8">
        <f>IF(Z202&lt;&gt;"N/A", AA202/Z202, "N/A")</f>
        <v>0.40328642601171227</v>
      </c>
      <c r="AC202">
        <f>MONTH(B202)</f>
        <v>5</v>
      </c>
      <c r="AD202">
        <f>YEAR(B202)</f>
        <v>2024</v>
      </c>
      <c r="AE202" s="10">
        <f t="shared" si="3"/>
        <v>0</v>
      </c>
      <c r="AF202" t="s">
        <v>2806</v>
      </c>
      <c r="AG202" t="s">
        <v>2789</v>
      </c>
    </row>
    <row r="203" spans="1:33">
      <c r="A203" t="s">
        <v>1182</v>
      </c>
      <c r="B203" s="4">
        <v>45525</v>
      </c>
      <c r="C203" s="4">
        <v>45526</v>
      </c>
      <c r="D203">
        <f>_xlfn.DAYS(C203,B203)</f>
        <v>1</v>
      </c>
      <c r="E203" t="s">
        <v>2804</v>
      </c>
      <c r="F203" t="s">
        <v>1183</v>
      </c>
      <c r="G203" t="s">
        <v>47</v>
      </c>
      <c r="H203" t="s">
        <v>24</v>
      </c>
      <c r="I203" t="s">
        <v>54</v>
      </c>
      <c r="J203" t="s">
        <v>247</v>
      </c>
      <c r="K203" t="s">
        <v>248</v>
      </c>
      <c r="L203" t="s">
        <v>74</v>
      </c>
      <c r="M203" t="s">
        <v>171</v>
      </c>
      <c r="N203" t="s">
        <v>1184</v>
      </c>
      <c r="O203" t="s">
        <v>44</v>
      </c>
      <c r="P203">
        <v>9</v>
      </c>
      <c r="Q203">
        <v>616.96</v>
      </c>
      <c r="R203">
        <v>0.1</v>
      </c>
      <c r="S203">
        <f>IF(ISNUMBER(SEARCH("%",R203)), VALUE(SUBSTITUTE(R203,"%",""))/100,IF(ISNUMBER(R203), R203, 0))</f>
        <v>0.1</v>
      </c>
      <c r="T203" t="str">
        <f>IF(S203&lt;0,"Negative discount (invalid)",IF(S203&gt;0.5,"Discount above allowed range (invalid)",IF(AND(R203="",S203=0),"Missing discount set to 0","OK")))</f>
        <v>OK</v>
      </c>
      <c r="U203">
        <v>4997.38</v>
      </c>
      <c r="V203">
        <v>2971.39</v>
      </c>
      <c r="W203">
        <v>2025.99</v>
      </c>
      <c r="X203" t="s">
        <v>32</v>
      </c>
      <c r="Y203" t="s">
        <v>33</v>
      </c>
      <c r="Z203">
        <f>IF(T203="OK",P203*Q203*(1-S203),"invalid")</f>
        <v>4997.3760000000002</v>
      </c>
      <c r="AA203">
        <f>IF(Z203="N/A","N/A",Z203-V203)</f>
        <v>2025.9860000000003</v>
      </c>
      <c r="AB203" s="8">
        <f>IF(Z203&lt;&gt;"N/A", AA203/Z203, "N/A")</f>
        <v>0.40540995914656014</v>
      </c>
      <c r="AC203">
        <f>MONTH(B203)</f>
        <v>8</v>
      </c>
      <c r="AD203">
        <f>YEAR(B203)</f>
        <v>2024</v>
      </c>
      <c r="AE203" s="10">
        <f t="shared" si="3"/>
        <v>3.9999999999054126E-3</v>
      </c>
      <c r="AF203" t="s">
        <v>2804</v>
      </c>
      <c r="AG203" t="s">
        <v>2811</v>
      </c>
    </row>
    <row r="204" spans="1:33">
      <c r="A204" t="s">
        <v>1185</v>
      </c>
      <c r="B204" s="4">
        <v>45460</v>
      </c>
      <c r="C204" s="4">
        <v>45463</v>
      </c>
      <c r="D204">
        <f>_xlfn.DAYS(C204,B204)</f>
        <v>3</v>
      </c>
      <c r="E204" t="s">
        <v>2804</v>
      </c>
      <c r="F204" t="s">
        <v>1186</v>
      </c>
      <c r="G204" t="s">
        <v>132</v>
      </c>
      <c r="H204" t="s">
        <v>37</v>
      </c>
      <c r="I204" t="s">
        <v>63</v>
      </c>
      <c r="J204" t="s">
        <v>180</v>
      </c>
      <c r="K204" t="s">
        <v>181</v>
      </c>
      <c r="L204" t="s">
        <v>41</v>
      </c>
      <c r="M204" t="s">
        <v>57</v>
      </c>
      <c r="N204" t="s">
        <v>1187</v>
      </c>
      <c r="O204" t="s">
        <v>59</v>
      </c>
      <c r="P204">
        <v>7</v>
      </c>
      <c r="Q204">
        <v>3155.25</v>
      </c>
      <c r="R204">
        <v>0.2</v>
      </c>
      <c r="S204">
        <f>IF(ISNUMBER(SEARCH("%",R204)), VALUE(SUBSTITUTE(R204,"%",""))/100,IF(ISNUMBER(R204), R204, 0))</f>
        <v>0.2</v>
      </c>
      <c r="T204" t="str">
        <f>IF(S204&lt;0,"Negative discount (invalid)",IF(S204&gt;0.5,"Discount above allowed range (invalid)",IF(AND(R204="",S204=0),"Missing discount set to 0","OK")))</f>
        <v>OK</v>
      </c>
      <c r="U204">
        <v>17669.400000000001</v>
      </c>
      <c r="V204">
        <v>13718.77</v>
      </c>
      <c r="W204">
        <v>3950.63</v>
      </c>
      <c r="X204" t="s">
        <v>102</v>
      </c>
      <c r="Y204" t="s">
        <v>68</v>
      </c>
      <c r="Z204">
        <f>IF(T204="OK",P204*Q204*(1-S204),"invalid")</f>
        <v>17669.400000000001</v>
      </c>
      <c r="AA204">
        <f>IF(Z204="N/A","N/A",Z204-V204)</f>
        <v>3950.630000000001</v>
      </c>
      <c r="AB204" s="8">
        <f>IF(Z204&lt;&gt;"N/A", AA204/Z204, "N/A")</f>
        <v>0.2235859734908939</v>
      </c>
      <c r="AC204">
        <f>MONTH(B204)</f>
        <v>6</v>
      </c>
      <c r="AD204">
        <f>YEAR(B204)</f>
        <v>2024</v>
      </c>
      <c r="AE204" s="10">
        <f t="shared" si="3"/>
        <v>0</v>
      </c>
      <c r="AF204" t="s">
        <v>2804</v>
      </c>
      <c r="AG204" t="s">
        <v>2811</v>
      </c>
    </row>
    <row r="205" spans="1:33">
      <c r="A205" t="s">
        <v>1191</v>
      </c>
      <c r="B205" s="4">
        <v>45527</v>
      </c>
      <c r="C205" s="4">
        <v>45529</v>
      </c>
      <c r="D205">
        <f>_xlfn.DAYS(C205,B205)</f>
        <v>2</v>
      </c>
      <c r="E205" t="s">
        <v>2804</v>
      </c>
      <c r="F205" t="s">
        <v>1192</v>
      </c>
      <c r="G205" t="s">
        <v>71</v>
      </c>
      <c r="H205" t="s">
        <v>24</v>
      </c>
      <c r="I205" t="s">
        <v>63</v>
      </c>
      <c r="J205" t="s">
        <v>190</v>
      </c>
      <c r="K205" t="s">
        <v>191</v>
      </c>
      <c r="L205" t="s">
        <v>74</v>
      </c>
      <c r="M205" t="s">
        <v>274</v>
      </c>
      <c r="N205" t="s">
        <v>1193</v>
      </c>
      <c r="O205" t="s">
        <v>44</v>
      </c>
      <c r="P205">
        <v>4</v>
      </c>
      <c r="Q205">
        <v>491.16</v>
      </c>
      <c r="R205">
        <v>0.05</v>
      </c>
      <c r="S205">
        <f>IF(ISNUMBER(SEARCH("%",R205)), VALUE(SUBSTITUTE(R205,"%",""))/100,IF(ISNUMBER(R205), R205, 0))</f>
        <v>0.05</v>
      </c>
      <c r="T205" t="str">
        <f>IF(S205&lt;0,"Negative discount (invalid)",IF(S205&gt;0.5,"Discount above allowed range (invalid)",IF(AND(R205="",S205=0),"Missing discount set to 0","OK")))</f>
        <v>OK</v>
      </c>
      <c r="U205">
        <v>1866.41</v>
      </c>
      <c r="V205">
        <v>1576.49</v>
      </c>
      <c r="W205">
        <v>289.92</v>
      </c>
      <c r="X205" t="s">
        <v>32</v>
      </c>
      <c r="Y205" t="s">
        <v>33</v>
      </c>
      <c r="Z205">
        <f>IF(T205="OK",P205*Q205*(1-S205),"invalid")</f>
        <v>1866.4079999999999</v>
      </c>
      <c r="AA205">
        <f>IF(Z205="N/A","N/A",Z205-V205)</f>
        <v>289.91799999999989</v>
      </c>
      <c r="AB205" s="8">
        <f>IF(Z205&lt;&gt;"N/A", AA205/Z205, "N/A")</f>
        <v>0.15533473924243782</v>
      </c>
      <c r="AC205">
        <f>MONTH(B205)</f>
        <v>8</v>
      </c>
      <c r="AD205">
        <f>YEAR(B205)</f>
        <v>2024</v>
      </c>
      <c r="AE205" s="10">
        <f t="shared" si="3"/>
        <v>2.00000000018008E-3</v>
      </c>
      <c r="AF205" t="s">
        <v>2804</v>
      </c>
      <c r="AG205" t="s">
        <v>2811</v>
      </c>
    </row>
    <row r="206" spans="1:33">
      <c r="A206" t="s">
        <v>1200</v>
      </c>
      <c r="B206" s="4">
        <v>45458</v>
      </c>
      <c r="C206" s="4">
        <v>45464</v>
      </c>
      <c r="D206">
        <f>_xlfn.DAYS(C206,B206)</f>
        <v>6</v>
      </c>
      <c r="E206" t="s">
        <v>2804</v>
      </c>
      <c r="F206" t="s">
        <v>1201</v>
      </c>
      <c r="G206" t="s">
        <v>89</v>
      </c>
      <c r="H206" t="s">
        <v>90</v>
      </c>
      <c r="I206" t="s">
        <v>63</v>
      </c>
      <c r="J206" t="s">
        <v>190</v>
      </c>
      <c r="K206" t="s">
        <v>191</v>
      </c>
      <c r="L206" t="s">
        <v>74</v>
      </c>
      <c r="M206" t="s">
        <v>75</v>
      </c>
      <c r="N206" t="s">
        <v>1202</v>
      </c>
      <c r="O206" t="s">
        <v>50</v>
      </c>
      <c r="P206">
        <v>8</v>
      </c>
      <c r="Q206">
        <v>1706.4</v>
      </c>
      <c r="R206">
        <v>0</v>
      </c>
      <c r="S206">
        <f>IF(ISNUMBER(SEARCH("%",R206)), VALUE(SUBSTITUTE(R206,"%",""))/100,IF(ISNUMBER(R206), R206, 0))</f>
        <v>0</v>
      </c>
      <c r="T206" t="str">
        <f>IF(S206&lt;0,"Negative discount (invalid)",IF(S206&gt;0.5,"Discount above allowed range (invalid)",IF(AND(R206="",S206=0),"Missing discount set to 0","OK")))</f>
        <v>OK</v>
      </c>
      <c r="U206">
        <v>12968.64</v>
      </c>
      <c r="V206">
        <v>10119.61</v>
      </c>
      <c r="W206">
        <v>2849.03</v>
      </c>
      <c r="X206" t="s">
        <v>32</v>
      </c>
      <c r="Y206" t="s">
        <v>33</v>
      </c>
      <c r="Z206">
        <f>IF(T206="OK",P206*Q206*(1-S206),"invalid")</f>
        <v>13651.2</v>
      </c>
      <c r="AA206">
        <f>IF(Z206="N/A","N/A",Z206-V206)</f>
        <v>3531.59</v>
      </c>
      <c r="AB206" s="8">
        <f>IF(Z206&lt;&gt;"N/A", AA206/Z206, "N/A")</f>
        <v>0.2587017991092358</v>
      </c>
      <c r="AC206">
        <f>MONTH(B206)</f>
        <v>6</v>
      </c>
      <c r="AD206">
        <f>YEAR(B206)</f>
        <v>2024</v>
      </c>
      <c r="AE206" s="10">
        <f t="shared" si="3"/>
        <v>682.56000000000131</v>
      </c>
      <c r="AF206" t="s">
        <v>2807</v>
      </c>
      <c r="AG206" t="s">
        <v>2789</v>
      </c>
    </row>
    <row r="207" spans="1:33">
      <c r="A207" t="s">
        <v>1206</v>
      </c>
      <c r="B207" s="4">
        <v>45366</v>
      </c>
      <c r="C207" s="4">
        <v>45367</v>
      </c>
      <c r="D207">
        <f>_xlfn.DAYS(C207,B207)</f>
        <v>1</v>
      </c>
      <c r="E207" t="s">
        <v>2804</v>
      </c>
      <c r="F207" t="s">
        <v>1207</v>
      </c>
      <c r="G207" t="s">
        <v>141</v>
      </c>
      <c r="H207" t="s">
        <v>24</v>
      </c>
      <c r="I207" t="s">
        <v>25</v>
      </c>
      <c r="J207" t="s">
        <v>350</v>
      </c>
      <c r="K207" t="s">
        <v>351</v>
      </c>
      <c r="L207" t="s">
        <v>28</v>
      </c>
      <c r="M207" t="s">
        <v>48</v>
      </c>
      <c r="N207" t="s">
        <v>1208</v>
      </c>
      <c r="O207" t="s">
        <v>59</v>
      </c>
      <c r="P207">
        <v>6</v>
      </c>
      <c r="Q207">
        <v>3815.09</v>
      </c>
      <c r="R207">
        <v>0.15</v>
      </c>
      <c r="S207">
        <f>IF(ISNUMBER(SEARCH("%",R207)), VALUE(SUBSTITUTE(R207,"%",""))/100,IF(ISNUMBER(R207), R207, 0))</f>
        <v>0.15</v>
      </c>
      <c r="T207" t="str">
        <f>IF(S207&lt;0,"Negative discount (invalid)",IF(S207&gt;0.5,"Discount above allowed range (invalid)",IF(AND(R207="",S207=0),"Missing discount set to 0","OK")))</f>
        <v>OK</v>
      </c>
      <c r="U207">
        <v>19456.96</v>
      </c>
      <c r="V207">
        <v>14520.06</v>
      </c>
      <c r="W207">
        <v>4936.8999999999996</v>
      </c>
      <c r="X207" t="s">
        <v>155</v>
      </c>
      <c r="Y207" t="s">
        <v>68</v>
      </c>
      <c r="Z207">
        <f>IF(T207="OK",P207*Q207*(1-S207),"invalid")</f>
        <v>19456.958999999999</v>
      </c>
      <c r="AA207">
        <f>IF(Z207="N/A","N/A",Z207-V207)</f>
        <v>4936.8989999999994</v>
      </c>
      <c r="AB207" s="8">
        <f>IF(Z207&lt;&gt;"N/A", AA207/Z207, "N/A")</f>
        <v>0.25373435797443988</v>
      </c>
      <c r="AC207">
        <f>MONTH(B207)</f>
        <v>3</v>
      </c>
      <c r="AD207">
        <f>YEAR(B207)</f>
        <v>2024</v>
      </c>
      <c r="AE207" s="10">
        <f t="shared" si="3"/>
        <v>1.0000000002037268E-3</v>
      </c>
      <c r="AF207" t="s">
        <v>2804</v>
      </c>
      <c r="AG207" t="s">
        <v>2811</v>
      </c>
    </row>
    <row r="208" spans="1:33">
      <c r="A208" t="s">
        <v>1215</v>
      </c>
      <c r="B208" s="4">
        <v>45519</v>
      </c>
      <c r="C208" s="4">
        <v>45525</v>
      </c>
      <c r="D208">
        <f>_xlfn.DAYS(C208,B208)</f>
        <v>6</v>
      </c>
      <c r="E208" t="s">
        <v>2804</v>
      </c>
      <c r="F208" t="s">
        <v>1216</v>
      </c>
      <c r="G208" t="s">
        <v>62</v>
      </c>
      <c r="H208" t="s">
        <v>37</v>
      </c>
      <c r="I208" t="s">
        <v>63</v>
      </c>
      <c r="J208" t="s">
        <v>26</v>
      </c>
      <c r="K208" t="s">
        <v>109</v>
      </c>
      <c r="L208" t="s">
        <v>74</v>
      </c>
      <c r="M208" t="s">
        <v>80</v>
      </c>
      <c r="N208" t="s">
        <v>1217</v>
      </c>
      <c r="O208" t="s">
        <v>50</v>
      </c>
      <c r="P208">
        <v>7</v>
      </c>
      <c r="Q208">
        <v>2333.81</v>
      </c>
      <c r="R208">
        <v>0.2</v>
      </c>
      <c r="S208">
        <f>IF(ISNUMBER(SEARCH("%",R208)), VALUE(SUBSTITUTE(R208,"%",""))/100,IF(ISNUMBER(R208), R208, 0))</f>
        <v>0.2</v>
      </c>
      <c r="T208" t="str">
        <f>IF(S208&lt;0,"Negative discount (invalid)",IF(S208&gt;0.5,"Discount above allowed range (invalid)",IF(AND(R208="",S208=0),"Missing discount set to 0","OK")))</f>
        <v>OK</v>
      </c>
      <c r="U208">
        <v>13069.34</v>
      </c>
      <c r="V208">
        <v>8768.59</v>
      </c>
      <c r="W208">
        <v>4300.75</v>
      </c>
      <c r="X208" t="s">
        <v>32</v>
      </c>
      <c r="Y208" t="s">
        <v>33</v>
      </c>
      <c r="Z208">
        <f>IF(T208="OK",P208*Q208*(1-S208),"invalid")</f>
        <v>13069.336000000001</v>
      </c>
      <c r="AA208">
        <f>IF(Z208="N/A","N/A",Z208-V208)</f>
        <v>4300.746000000001</v>
      </c>
      <c r="AB208" s="8">
        <f>IF(Z208&lt;&gt;"N/A", AA208/Z208, "N/A")</f>
        <v>0.32907149988339124</v>
      </c>
      <c r="AC208">
        <f>MONTH(B208)</f>
        <v>8</v>
      </c>
      <c r="AD208">
        <f>YEAR(B208)</f>
        <v>2024</v>
      </c>
      <c r="AE208" s="10">
        <f t="shared" si="3"/>
        <v>3.9999999989959178E-3</v>
      </c>
      <c r="AF208" t="s">
        <v>2804</v>
      </c>
      <c r="AG208" t="s">
        <v>2811</v>
      </c>
    </row>
    <row r="209" spans="1:33">
      <c r="A209" t="s">
        <v>1218</v>
      </c>
      <c r="B209" s="4">
        <v>45313</v>
      </c>
      <c r="C209" s="4">
        <v>45315</v>
      </c>
      <c r="D209">
        <f>_xlfn.DAYS(C209,B209)</f>
        <v>2</v>
      </c>
      <c r="E209" t="s">
        <v>2804</v>
      </c>
      <c r="F209" t="s">
        <v>1219</v>
      </c>
      <c r="G209" t="s">
        <v>162</v>
      </c>
      <c r="H209" t="s">
        <v>95</v>
      </c>
      <c r="I209" t="s">
        <v>63</v>
      </c>
      <c r="J209" t="s">
        <v>64</v>
      </c>
      <c r="K209" t="s">
        <v>65</v>
      </c>
      <c r="L209" t="s">
        <v>28</v>
      </c>
      <c r="M209" t="s">
        <v>48</v>
      </c>
      <c r="N209" t="s">
        <v>1220</v>
      </c>
      <c r="O209" t="s">
        <v>59</v>
      </c>
      <c r="P209">
        <v>6</v>
      </c>
      <c r="Q209">
        <v>1026.06</v>
      </c>
      <c r="R209">
        <v>0</v>
      </c>
      <c r="S209">
        <f>IF(ISNUMBER(SEARCH("%",R209)), VALUE(SUBSTITUTE(R209,"%",""))/100,IF(ISNUMBER(R209), R209, 0))</f>
        <v>0</v>
      </c>
      <c r="T209" t="str">
        <f>IF(S209&lt;0,"Negative discount (invalid)",IF(S209&gt;0.5,"Discount above allowed range (invalid)",IF(AND(R209="",S209=0),"Missing discount set to 0","OK")))</f>
        <v>OK</v>
      </c>
      <c r="U209">
        <v>4617.2700000000004</v>
      </c>
      <c r="V209">
        <v>2981.94</v>
      </c>
      <c r="W209">
        <v>1635.33</v>
      </c>
      <c r="X209" t="s">
        <v>102</v>
      </c>
      <c r="Y209" t="s">
        <v>68</v>
      </c>
      <c r="Z209">
        <f>IF(T209="OK",P209*Q209*(1-S209),"invalid")</f>
        <v>6156.36</v>
      </c>
      <c r="AA209">
        <f>IF(Z209="N/A","N/A",Z209-V209)</f>
        <v>3174.4199999999996</v>
      </c>
      <c r="AB209" s="8">
        <f>IF(Z209&lt;&gt;"N/A", AA209/Z209, "N/A")</f>
        <v>0.51563261407714944</v>
      </c>
      <c r="AC209">
        <f>MONTH(B209)</f>
        <v>1</v>
      </c>
      <c r="AD209">
        <f>YEAR(B209)</f>
        <v>2024</v>
      </c>
      <c r="AE209" s="10">
        <f t="shared" si="3"/>
        <v>1539.0899999999992</v>
      </c>
      <c r="AF209" t="s">
        <v>2807</v>
      </c>
      <c r="AG209" t="s">
        <v>2789</v>
      </c>
    </row>
    <row r="210" spans="1:33">
      <c r="A210" t="s">
        <v>1229</v>
      </c>
      <c r="B210" s="4">
        <v>45657</v>
      </c>
      <c r="C210" s="4">
        <v>45661</v>
      </c>
      <c r="D210">
        <f>_xlfn.DAYS(C210,B210)</f>
        <v>4</v>
      </c>
      <c r="E210" t="s">
        <v>2804</v>
      </c>
      <c r="F210" t="s">
        <v>1230</v>
      </c>
      <c r="G210" t="s">
        <v>71</v>
      </c>
      <c r="H210" t="s">
        <v>24</v>
      </c>
      <c r="I210" t="s">
        <v>25</v>
      </c>
      <c r="J210" t="s">
        <v>350</v>
      </c>
      <c r="K210" t="s">
        <v>351</v>
      </c>
      <c r="L210" t="s">
        <v>41</v>
      </c>
      <c r="M210" t="s">
        <v>66</v>
      </c>
      <c r="N210" t="s">
        <v>1231</v>
      </c>
      <c r="O210" t="s">
        <v>44</v>
      </c>
      <c r="P210">
        <v>3</v>
      </c>
      <c r="Q210">
        <v>1166.6099999999999</v>
      </c>
      <c r="R210">
        <v>0.25</v>
      </c>
      <c r="S210">
        <f>IF(ISNUMBER(SEARCH("%",R210)), VALUE(SUBSTITUTE(R210,"%",""))/100,IF(ISNUMBER(R210), R210, 0))</f>
        <v>0.25</v>
      </c>
      <c r="T210" t="str">
        <f>IF(S210&lt;0,"Negative discount (invalid)",IF(S210&gt;0.5,"Discount above allowed range (invalid)",IF(AND(R210="",S210=0),"Missing discount set to 0","OK")))</f>
        <v>OK</v>
      </c>
      <c r="U210">
        <v>2624.87</v>
      </c>
      <c r="V210">
        <v>2253.88</v>
      </c>
      <c r="W210">
        <v>370.99</v>
      </c>
      <c r="X210" t="s">
        <v>32</v>
      </c>
      <c r="Y210" t="s">
        <v>33</v>
      </c>
      <c r="Z210">
        <f>IF(T210="OK",P210*Q210*(1-S210),"invalid")</f>
        <v>2624.8724999999999</v>
      </c>
      <c r="AA210">
        <f>IF(Z210="N/A","N/A",Z210-V210)</f>
        <v>370.99249999999984</v>
      </c>
      <c r="AB210" s="8">
        <f>IF(Z210&lt;&gt;"N/A", AA210/Z210, "N/A")</f>
        <v>0.14133734114704613</v>
      </c>
      <c r="AC210">
        <f>MONTH(B210)</f>
        <v>12</v>
      </c>
      <c r="AD210">
        <f>YEAR(B210)</f>
        <v>2024</v>
      </c>
      <c r="AE210" s="10">
        <f t="shared" si="3"/>
        <v>2.5000000000545697E-3</v>
      </c>
      <c r="AF210" t="s">
        <v>2804</v>
      </c>
      <c r="AG210" t="s">
        <v>2811</v>
      </c>
    </row>
    <row r="211" spans="1:33">
      <c r="A211" t="s">
        <v>1232</v>
      </c>
      <c r="B211" s="4">
        <v>45655</v>
      </c>
      <c r="C211" s="4">
        <v>45657</v>
      </c>
      <c r="D211">
        <f>_xlfn.DAYS(C211,B211)</f>
        <v>2</v>
      </c>
      <c r="E211" t="s">
        <v>2804</v>
      </c>
      <c r="F211" t="s">
        <v>1233</v>
      </c>
      <c r="G211" t="s">
        <v>47</v>
      </c>
      <c r="H211" t="s">
        <v>37</v>
      </c>
      <c r="I211" t="s">
        <v>38</v>
      </c>
      <c r="J211" t="s">
        <v>145</v>
      </c>
      <c r="K211" t="s">
        <v>146</v>
      </c>
      <c r="L211" t="s">
        <v>41</v>
      </c>
      <c r="M211" t="s">
        <v>66</v>
      </c>
      <c r="N211" t="s">
        <v>1234</v>
      </c>
      <c r="O211" t="s">
        <v>50</v>
      </c>
      <c r="P211">
        <v>6</v>
      </c>
      <c r="Q211">
        <v>1844.78</v>
      </c>
      <c r="R211">
        <v>0.2</v>
      </c>
      <c r="S211">
        <f>IF(ISNUMBER(SEARCH("%",R211)), VALUE(SUBSTITUTE(R211,"%",""))/100,IF(ISNUMBER(R211), R211, 0))</f>
        <v>0.2</v>
      </c>
      <c r="T211" t="str">
        <f>IF(S211&lt;0,"Negative discount (invalid)",IF(S211&gt;0.5,"Discount above allowed range (invalid)",IF(AND(R211="",S211=0),"Missing discount set to 0","OK")))</f>
        <v>OK</v>
      </c>
      <c r="U211">
        <v>8854.94</v>
      </c>
      <c r="V211">
        <v>7433.95</v>
      </c>
      <c r="W211">
        <v>1420.99</v>
      </c>
      <c r="X211" t="s">
        <v>32</v>
      </c>
      <c r="Y211" t="s">
        <v>33</v>
      </c>
      <c r="Z211">
        <f>IF(T211="OK",P211*Q211*(1-S211),"invalid")</f>
        <v>8854.9440000000013</v>
      </c>
      <c r="AA211">
        <f>IF(Z211="N/A","N/A",Z211-V211)</f>
        <v>1420.9940000000015</v>
      </c>
      <c r="AB211" s="8">
        <f>IF(Z211&lt;&gt;"N/A", AA211/Z211, "N/A")</f>
        <v>0.1604746455765278</v>
      </c>
      <c r="AC211">
        <f>MONTH(B211)</f>
        <v>12</v>
      </c>
      <c r="AD211">
        <f>YEAR(B211)</f>
        <v>2024</v>
      </c>
      <c r="AE211" s="10">
        <f t="shared" si="3"/>
        <v>4.0000000008149073E-3</v>
      </c>
      <c r="AF211" t="s">
        <v>2804</v>
      </c>
      <c r="AG211" t="s">
        <v>2811</v>
      </c>
    </row>
    <row r="212" spans="1:33">
      <c r="A212" t="s">
        <v>1241</v>
      </c>
      <c r="B212" s="4">
        <v>45554</v>
      </c>
      <c r="C212" s="4">
        <v>45558</v>
      </c>
      <c r="D212">
        <f>_xlfn.DAYS(C212,B212)</f>
        <v>4</v>
      </c>
      <c r="E212" t="s">
        <v>2804</v>
      </c>
      <c r="F212" t="s">
        <v>1242</v>
      </c>
      <c r="G212" t="s">
        <v>36</v>
      </c>
      <c r="H212" t="s">
        <v>37</v>
      </c>
      <c r="I212" t="s">
        <v>54</v>
      </c>
      <c r="J212" t="s">
        <v>185</v>
      </c>
      <c r="K212" t="s">
        <v>186</v>
      </c>
      <c r="L212" t="s">
        <v>28</v>
      </c>
      <c r="M212" t="s">
        <v>29</v>
      </c>
      <c r="N212" t="s">
        <v>1243</v>
      </c>
      <c r="O212" t="s">
        <v>59</v>
      </c>
      <c r="P212">
        <v>7</v>
      </c>
      <c r="Q212">
        <v>1136.68</v>
      </c>
      <c r="R212">
        <v>0</v>
      </c>
      <c r="S212">
        <f>IF(ISNUMBER(SEARCH("%",R212)), VALUE(SUBSTITUTE(R212,"%",""))/100,IF(ISNUMBER(R212), R212, 0))</f>
        <v>0</v>
      </c>
      <c r="T212" t="str">
        <f>IF(S212&lt;0,"Negative discount (invalid)",IF(S212&gt;0.5,"Discount above allowed range (invalid)",IF(AND(R212="",S212=0),"Missing discount set to 0","OK")))</f>
        <v>OK</v>
      </c>
      <c r="U212">
        <v>7956.76</v>
      </c>
      <c r="V212">
        <v>4799.54</v>
      </c>
      <c r="W212">
        <v>3157.22</v>
      </c>
      <c r="X212" t="s">
        <v>32</v>
      </c>
      <c r="Y212" t="s">
        <v>33</v>
      </c>
      <c r="Z212">
        <f>IF(T212="OK",P212*Q212*(1-S212),"invalid")</f>
        <v>7956.76</v>
      </c>
      <c r="AA212">
        <f>IF(Z212="N/A","N/A",Z212-V212)</f>
        <v>3157.2200000000003</v>
      </c>
      <c r="AB212" s="8">
        <f>IF(Z212&lt;&gt;"N/A", AA212/Z212, "N/A")</f>
        <v>0.39679718880549369</v>
      </c>
      <c r="AC212">
        <f>MONTH(B212)</f>
        <v>9</v>
      </c>
      <c r="AD212">
        <f>YEAR(B212)</f>
        <v>2024</v>
      </c>
      <c r="AE212" s="10">
        <f t="shared" si="3"/>
        <v>0</v>
      </c>
      <c r="AF212" t="s">
        <v>2804</v>
      </c>
      <c r="AG212" t="s">
        <v>2811</v>
      </c>
    </row>
    <row r="213" spans="1:33">
      <c r="A213" t="s">
        <v>1244</v>
      </c>
      <c r="B213" s="4">
        <v>45389</v>
      </c>
      <c r="C213" s="4">
        <v>45396</v>
      </c>
      <c r="D213">
        <f>_xlfn.DAYS(C213,B213)</f>
        <v>7</v>
      </c>
      <c r="E213" t="s">
        <v>2804</v>
      </c>
      <c r="F213" t="s">
        <v>1245</v>
      </c>
      <c r="G213" t="s">
        <v>71</v>
      </c>
      <c r="H213" t="s">
        <v>24</v>
      </c>
      <c r="I213" t="s">
        <v>63</v>
      </c>
      <c r="J213" t="s">
        <v>64</v>
      </c>
      <c r="K213" t="s">
        <v>65</v>
      </c>
      <c r="L213" t="s">
        <v>41</v>
      </c>
      <c r="M213" t="s">
        <v>158</v>
      </c>
      <c r="N213" t="s">
        <v>1246</v>
      </c>
      <c r="O213" t="s">
        <v>44</v>
      </c>
      <c r="P213">
        <v>5</v>
      </c>
      <c r="Q213">
        <v>2235.85</v>
      </c>
      <c r="R213">
        <v>0.25</v>
      </c>
      <c r="S213">
        <f>IF(ISNUMBER(SEARCH("%",R213)), VALUE(SUBSTITUTE(R213,"%",""))/100,IF(ISNUMBER(R213), R213, 0))</f>
        <v>0.25</v>
      </c>
      <c r="T213" t="str">
        <f>IF(S213&lt;0,"Negative discount (invalid)",IF(S213&gt;0.5,"Discount above allowed range (invalid)",IF(AND(R213="",S213=0),"Missing discount set to 0","OK")))</f>
        <v>OK</v>
      </c>
      <c r="U213">
        <v>8384.44</v>
      </c>
      <c r="V213">
        <v>4765.96</v>
      </c>
      <c r="W213">
        <v>3618.48</v>
      </c>
      <c r="X213" t="s">
        <v>32</v>
      </c>
      <c r="Y213" t="s">
        <v>103</v>
      </c>
      <c r="Z213">
        <f>IF(T213="OK",P213*Q213*(1-S213),"invalid")</f>
        <v>8384.4375</v>
      </c>
      <c r="AA213">
        <f>IF(Z213="N/A","N/A",Z213-V213)</f>
        <v>3618.4775</v>
      </c>
      <c r="AB213" s="8">
        <f>IF(Z213&lt;&gt;"N/A", AA213/Z213, "N/A")</f>
        <v>0.43157069272685256</v>
      </c>
      <c r="AC213">
        <f>MONTH(B213)</f>
        <v>4</v>
      </c>
      <c r="AD213">
        <f>YEAR(B213)</f>
        <v>2024</v>
      </c>
      <c r="AE213" s="10">
        <f t="shared" si="3"/>
        <v>2.500000000509317E-3</v>
      </c>
      <c r="AF213" t="s">
        <v>2804</v>
      </c>
      <c r="AG213" t="s">
        <v>2811</v>
      </c>
    </row>
    <row r="214" spans="1:33">
      <c r="A214" t="s">
        <v>1255</v>
      </c>
      <c r="B214" s="4">
        <v>45366</v>
      </c>
      <c r="C214" s="4">
        <v>45371</v>
      </c>
      <c r="D214">
        <f>_xlfn.DAYS(C214,B214)</f>
        <v>5</v>
      </c>
      <c r="E214" t="s">
        <v>2804</v>
      </c>
      <c r="F214" t="s">
        <v>1256</v>
      </c>
      <c r="G214" t="s">
        <v>141</v>
      </c>
      <c r="H214" t="s">
        <v>24</v>
      </c>
      <c r="I214" t="s">
        <v>38</v>
      </c>
      <c r="J214" t="s">
        <v>228</v>
      </c>
      <c r="K214" t="s">
        <v>229</v>
      </c>
      <c r="L214" t="s">
        <v>74</v>
      </c>
      <c r="M214" t="s">
        <v>80</v>
      </c>
      <c r="N214" t="s">
        <v>1257</v>
      </c>
      <c r="O214" t="s">
        <v>59</v>
      </c>
      <c r="P214">
        <v>2</v>
      </c>
      <c r="Q214">
        <v>1881.4</v>
      </c>
      <c r="R214">
        <v>0.25</v>
      </c>
      <c r="S214">
        <f>IF(ISNUMBER(SEARCH("%",R214)), VALUE(SUBSTITUTE(R214,"%",""))/100,IF(ISNUMBER(R214), R214, 0))</f>
        <v>0.25</v>
      </c>
      <c r="T214" t="str">
        <f>IF(S214&lt;0,"Negative discount (invalid)",IF(S214&gt;0.5,"Discount above allowed range (invalid)",IF(AND(R214="",S214=0),"Missing discount set to 0","OK")))</f>
        <v>OK</v>
      </c>
      <c r="U214">
        <v>2822.1</v>
      </c>
      <c r="V214">
        <v>1624.57</v>
      </c>
      <c r="W214">
        <v>1197.53</v>
      </c>
      <c r="X214" t="s">
        <v>32</v>
      </c>
      <c r="Y214" t="s">
        <v>103</v>
      </c>
      <c r="Z214">
        <f>IF(T214="OK",P214*Q214*(1-S214),"invalid")</f>
        <v>2822.1000000000004</v>
      </c>
      <c r="AA214">
        <f>IF(Z214="N/A","N/A",Z214-V214)</f>
        <v>1197.5300000000004</v>
      </c>
      <c r="AB214" s="8">
        <f>IF(Z214&lt;&gt;"N/A", AA214/Z214, "N/A")</f>
        <v>0.42434003047376079</v>
      </c>
      <c r="AC214">
        <f>MONTH(B214)</f>
        <v>3</v>
      </c>
      <c r="AD214">
        <f>YEAR(B214)</f>
        <v>2024</v>
      </c>
      <c r="AE214" s="10">
        <f t="shared" si="3"/>
        <v>4.5474735088646412E-13</v>
      </c>
      <c r="AF214" t="s">
        <v>2804</v>
      </c>
      <c r="AG214" t="s">
        <v>2811</v>
      </c>
    </row>
    <row r="215" spans="1:33">
      <c r="A215" t="s">
        <v>1267</v>
      </c>
      <c r="B215" s="4">
        <v>45425</v>
      </c>
      <c r="C215" s="4">
        <v>45430</v>
      </c>
      <c r="D215">
        <f>_xlfn.DAYS(C215,B215)</f>
        <v>5</v>
      </c>
      <c r="E215" t="s">
        <v>2804</v>
      </c>
      <c r="F215" t="s">
        <v>1268</v>
      </c>
      <c r="G215" t="s">
        <v>47</v>
      </c>
      <c r="H215" t="s">
        <v>37</v>
      </c>
      <c r="I215" t="s">
        <v>63</v>
      </c>
      <c r="J215" t="s">
        <v>180</v>
      </c>
      <c r="K215" t="s">
        <v>181</v>
      </c>
      <c r="L215" t="s">
        <v>41</v>
      </c>
      <c r="M215" t="s">
        <v>66</v>
      </c>
      <c r="N215" t="s">
        <v>1269</v>
      </c>
      <c r="O215" t="s">
        <v>59</v>
      </c>
      <c r="P215">
        <v>3</v>
      </c>
      <c r="Q215">
        <v>3128.59</v>
      </c>
      <c r="R215">
        <v>0</v>
      </c>
      <c r="S215">
        <f>IF(ISNUMBER(SEARCH("%",R215)), VALUE(SUBSTITUTE(R215,"%",""))/100,IF(ISNUMBER(R215), R215, 0))</f>
        <v>0</v>
      </c>
      <c r="T215" t="str">
        <f>IF(S215&lt;0,"Negative discount (invalid)",IF(S215&gt;0.5,"Discount above allowed range (invalid)",IF(AND(R215="",S215=0),"Missing discount set to 0","OK")))</f>
        <v>OK</v>
      </c>
      <c r="U215">
        <v>9385.77</v>
      </c>
      <c r="V215">
        <v>6872.44</v>
      </c>
      <c r="W215">
        <v>2783.66</v>
      </c>
      <c r="X215" t="s">
        <v>32</v>
      </c>
      <c r="Y215" t="s">
        <v>33</v>
      </c>
      <c r="Z215">
        <f>IF(T215="OK",P215*Q215*(1-S215),"invalid")</f>
        <v>9385.77</v>
      </c>
      <c r="AA215">
        <f>IF(Z215="N/A","N/A",Z215-V215)</f>
        <v>2513.3300000000008</v>
      </c>
      <c r="AB215" s="8">
        <f>IF(Z215&lt;&gt;"N/A", AA215/Z215, "N/A")</f>
        <v>0.26778090662779941</v>
      </c>
      <c r="AC215">
        <f>MONTH(B215)</f>
        <v>5</v>
      </c>
      <c r="AD215">
        <f>YEAR(B215)</f>
        <v>2024</v>
      </c>
      <c r="AE215" s="10">
        <f t="shared" si="3"/>
        <v>0</v>
      </c>
      <c r="AF215" t="s">
        <v>2804</v>
      </c>
      <c r="AG215" t="s">
        <v>2811</v>
      </c>
    </row>
    <row r="216" spans="1:33">
      <c r="A216" t="s">
        <v>1270</v>
      </c>
      <c r="B216" s="4">
        <v>45387</v>
      </c>
      <c r="C216" s="4">
        <v>45395</v>
      </c>
      <c r="D216">
        <f>_xlfn.DAYS(C216,B216)</f>
        <v>8</v>
      </c>
      <c r="E216" t="s">
        <v>2804</v>
      </c>
      <c r="F216" t="s">
        <v>1271</v>
      </c>
      <c r="G216" t="s">
        <v>162</v>
      </c>
      <c r="H216" t="s">
        <v>90</v>
      </c>
      <c r="I216" t="s">
        <v>63</v>
      </c>
      <c r="J216" t="s">
        <v>180</v>
      </c>
      <c r="K216" t="s">
        <v>181</v>
      </c>
      <c r="L216" t="s">
        <v>74</v>
      </c>
      <c r="M216" t="s">
        <v>274</v>
      </c>
      <c r="N216" t="s">
        <v>1272</v>
      </c>
      <c r="O216" t="s">
        <v>31</v>
      </c>
      <c r="P216">
        <v>5</v>
      </c>
      <c r="Q216">
        <v>1937.54</v>
      </c>
      <c r="R216">
        <v>0.2</v>
      </c>
      <c r="S216">
        <f>IF(ISNUMBER(SEARCH("%",R216)), VALUE(SUBSTITUTE(R216,"%",""))/100,IF(ISNUMBER(R216), R216, 0))</f>
        <v>0.2</v>
      </c>
      <c r="T216" t="str">
        <f>IF(S216&lt;0,"Negative discount (invalid)",IF(S216&gt;0.5,"Discount above allowed range (invalid)",IF(AND(R216="",S216=0),"Missing discount set to 0","OK")))</f>
        <v>OK</v>
      </c>
      <c r="U216">
        <v>7750.16</v>
      </c>
      <c r="V216">
        <v>5434.3</v>
      </c>
      <c r="W216">
        <v>2315.86</v>
      </c>
      <c r="X216" t="s">
        <v>111</v>
      </c>
      <c r="Y216" t="s">
        <v>68</v>
      </c>
      <c r="Z216">
        <f>IF(T216="OK",P216*Q216*(1-S216),"invalid")</f>
        <v>7750.1600000000008</v>
      </c>
      <c r="AA216">
        <f>IF(Z216="N/A","N/A",Z216-V216)</f>
        <v>2315.8600000000006</v>
      </c>
      <c r="AB216" s="8">
        <f>IF(Z216&lt;&gt;"N/A", AA216/Z216, "N/A")</f>
        <v>0.29881447608823564</v>
      </c>
      <c r="AC216">
        <f>MONTH(B216)</f>
        <v>4</v>
      </c>
      <c r="AD216">
        <f>YEAR(B216)</f>
        <v>2024</v>
      </c>
      <c r="AE216" s="10">
        <f t="shared" si="3"/>
        <v>9.0949470177292824E-13</v>
      </c>
      <c r="AF216" t="s">
        <v>2804</v>
      </c>
      <c r="AG216" t="s">
        <v>2811</v>
      </c>
    </row>
    <row r="217" spans="1:33">
      <c r="A217" t="s">
        <v>1273</v>
      </c>
      <c r="B217" s="4">
        <v>45602</v>
      </c>
      <c r="C217" s="4">
        <v>45607</v>
      </c>
      <c r="D217">
        <f>_xlfn.DAYS(C217,B217)</f>
        <v>5</v>
      </c>
      <c r="E217" t="s">
        <v>2804</v>
      </c>
      <c r="F217" t="s">
        <v>1274</v>
      </c>
      <c r="G217" t="s">
        <v>47</v>
      </c>
      <c r="H217" t="s">
        <v>24</v>
      </c>
      <c r="I217" t="s">
        <v>63</v>
      </c>
      <c r="J217" t="s">
        <v>180</v>
      </c>
      <c r="K217" t="s">
        <v>181</v>
      </c>
      <c r="L217" t="s">
        <v>41</v>
      </c>
      <c r="M217" t="s">
        <v>57</v>
      </c>
      <c r="N217" t="s">
        <v>1275</v>
      </c>
      <c r="O217" t="s">
        <v>59</v>
      </c>
      <c r="P217">
        <v>4</v>
      </c>
      <c r="Q217">
        <v>1917.26</v>
      </c>
      <c r="R217">
        <v>0.2</v>
      </c>
      <c r="S217">
        <f>IF(ISNUMBER(SEARCH("%",R217)), VALUE(SUBSTITUTE(R217,"%",""))/100,IF(ISNUMBER(R217), R217, 0))</f>
        <v>0.2</v>
      </c>
      <c r="T217" t="str">
        <f>IF(S217&lt;0,"Negative discount (invalid)",IF(S217&gt;0.5,"Discount above allowed range (invalid)",IF(AND(R217="",S217=0),"Missing discount set to 0","OK")))</f>
        <v>OK</v>
      </c>
      <c r="U217">
        <v>6135.23</v>
      </c>
      <c r="V217">
        <v>3439.79</v>
      </c>
      <c r="W217">
        <v>2695.44</v>
      </c>
      <c r="X217" t="s">
        <v>32</v>
      </c>
      <c r="Y217" t="s">
        <v>33</v>
      </c>
      <c r="Z217">
        <f>IF(T217="OK",P217*Q217*(1-S217),"invalid")</f>
        <v>6135.232</v>
      </c>
      <c r="AA217">
        <f>IF(Z217="N/A","N/A",Z217-V217)</f>
        <v>2695.442</v>
      </c>
      <c r="AB217" s="8">
        <f>IF(Z217&lt;&gt;"N/A", AA217/Z217, "N/A")</f>
        <v>0.43933823529411764</v>
      </c>
      <c r="AC217">
        <f>MONTH(B217)</f>
        <v>11</v>
      </c>
      <c r="AD217">
        <f>YEAR(B217)</f>
        <v>2024</v>
      </c>
      <c r="AE217" s="10">
        <f t="shared" si="3"/>
        <v>2.0000000004074536E-3</v>
      </c>
      <c r="AF217" t="s">
        <v>2804</v>
      </c>
      <c r="AG217" t="s">
        <v>2811</v>
      </c>
    </row>
    <row r="218" spans="1:33">
      <c r="A218" t="s">
        <v>1279</v>
      </c>
      <c r="B218" s="4">
        <v>45341</v>
      </c>
      <c r="C218" s="4">
        <v>45344</v>
      </c>
      <c r="D218">
        <f>_xlfn.DAYS(C218,B218)</f>
        <v>3</v>
      </c>
      <c r="E218" t="s">
        <v>2804</v>
      </c>
      <c r="F218" t="s">
        <v>1280</v>
      </c>
      <c r="G218" t="s">
        <v>89</v>
      </c>
      <c r="H218" t="s">
        <v>37</v>
      </c>
      <c r="I218" t="s">
        <v>54</v>
      </c>
      <c r="J218" t="s">
        <v>185</v>
      </c>
      <c r="K218" t="s">
        <v>186</v>
      </c>
      <c r="L218" t="s">
        <v>41</v>
      </c>
      <c r="M218" t="s">
        <v>57</v>
      </c>
      <c r="N218" t="s">
        <v>1281</v>
      </c>
      <c r="O218" t="s">
        <v>44</v>
      </c>
      <c r="P218">
        <v>9</v>
      </c>
      <c r="Q218">
        <v>4053.01</v>
      </c>
      <c r="R218">
        <v>0</v>
      </c>
      <c r="S218">
        <f>IF(ISNUMBER(SEARCH("%",R218)), VALUE(SUBSTITUTE(R218,"%",""))/100,IF(ISNUMBER(R218), R218, 0))</f>
        <v>0</v>
      </c>
      <c r="T218" t="str">
        <f>IF(S218&lt;0,"Negative discount (invalid)",IF(S218&gt;0.5,"Discount above allowed range (invalid)",IF(AND(R218="",S218=0),"Missing discount set to 0","OK")))</f>
        <v>OK</v>
      </c>
      <c r="U218">
        <v>36477.089999999997</v>
      </c>
      <c r="V218">
        <v>24525.48</v>
      </c>
      <c r="W218">
        <v>11951.61</v>
      </c>
      <c r="X218" t="s">
        <v>32</v>
      </c>
      <c r="Y218" t="s">
        <v>33</v>
      </c>
      <c r="Z218">
        <f>IF(T218="OK",P218*Q218*(1-S218),"invalid")</f>
        <v>36477.090000000004</v>
      </c>
      <c r="AA218">
        <f>IF(Z218="N/A","N/A",Z218-V218)</f>
        <v>11951.610000000004</v>
      </c>
      <c r="AB218" s="8">
        <f>IF(Z218&lt;&gt;"N/A", AA218/Z218, "N/A")</f>
        <v>0.32764702447481425</v>
      </c>
      <c r="AC218">
        <f>MONTH(B218)</f>
        <v>2</v>
      </c>
      <c r="AD218">
        <f>YEAR(B218)</f>
        <v>2024</v>
      </c>
      <c r="AE218" s="10">
        <f t="shared" si="3"/>
        <v>7.2759576141834259E-12</v>
      </c>
      <c r="AF218" t="s">
        <v>2804</v>
      </c>
      <c r="AG218" t="s">
        <v>2811</v>
      </c>
    </row>
    <row r="219" spans="1:33">
      <c r="A219" t="s">
        <v>1282</v>
      </c>
      <c r="B219" s="4">
        <v>45527</v>
      </c>
      <c r="C219" s="4">
        <v>45533</v>
      </c>
      <c r="D219">
        <f>_xlfn.DAYS(C219,B219)</f>
        <v>6</v>
      </c>
      <c r="E219" t="s">
        <v>2804</v>
      </c>
      <c r="F219" t="s">
        <v>1283</v>
      </c>
      <c r="G219" t="s">
        <v>36</v>
      </c>
      <c r="H219" t="s">
        <v>90</v>
      </c>
      <c r="I219" t="s">
        <v>25</v>
      </c>
      <c r="J219" t="s">
        <v>136</v>
      </c>
      <c r="K219" t="s">
        <v>137</v>
      </c>
      <c r="L219" t="s">
        <v>28</v>
      </c>
      <c r="M219" t="s">
        <v>91</v>
      </c>
      <c r="N219" t="s">
        <v>1284</v>
      </c>
      <c r="O219" t="s">
        <v>44</v>
      </c>
      <c r="P219">
        <v>2</v>
      </c>
      <c r="Q219">
        <v>1936.91</v>
      </c>
      <c r="R219">
        <v>0.05</v>
      </c>
      <c r="S219">
        <f>IF(ISNUMBER(SEARCH("%",R219)), VALUE(SUBSTITUTE(R219,"%",""))/100,IF(ISNUMBER(R219), R219, 0))</f>
        <v>0.05</v>
      </c>
      <c r="T219" t="str">
        <f>IF(S219&lt;0,"Negative discount (invalid)",IF(S219&gt;0.5,"Discount above allowed range (invalid)",IF(AND(R219="",S219=0),"Missing discount set to 0","OK")))</f>
        <v>OK</v>
      </c>
      <c r="U219">
        <v>3680.13</v>
      </c>
      <c r="V219">
        <v>2967.46</v>
      </c>
      <c r="W219">
        <v>712.67</v>
      </c>
      <c r="X219" t="s">
        <v>32</v>
      </c>
      <c r="Y219" t="s">
        <v>33</v>
      </c>
      <c r="Z219">
        <f>IF(T219="OK",P219*Q219*(1-S219),"invalid")</f>
        <v>3680.1289999999999</v>
      </c>
      <c r="AA219">
        <f>IF(Z219="N/A","N/A",Z219-V219)</f>
        <v>712.66899999999987</v>
      </c>
      <c r="AB219" s="8">
        <f>IF(Z219&lt;&gt;"N/A", AA219/Z219, "N/A")</f>
        <v>0.19365326595888346</v>
      </c>
      <c r="AC219">
        <f>MONTH(B219)</f>
        <v>8</v>
      </c>
      <c r="AD219">
        <f>YEAR(B219)</f>
        <v>2024</v>
      </c>
      <c r="AE219" s="10">
        <f t="shared" si="3"/>
        <v>1.0000000002037268E-3</v>
      </c>
      <c r="AF219" t="s">
        <v>2804</v>
      </c>
      <c r="AG219" t="s">
        <v>2811</v>
      </c>
    </row>
    <row r="220" spans="1:33">
      <c r="A220" t="s">
        <v>1285</v>
      </c>
      <c r="B220" s="4">
        <v>45385</v>
      </c>
      <c r="C220" s="4">
        <v>45386</v>
      </c>
      <c r="D220">
        <f>_xlfn.DAYS(C220,B220)</f>
        <v>1</v>
      </c>
      <c r="E220" t="s">
        <v>2804</v>
      </c>
      <c r="F220" t="s">
        <v>1286</v>
      </c>
      <c r="G220" t="s">
        <v>264</v>
      </c>
      <c r="H220" t="s">
        <v>24</v>
      </c>
      <c r="I220" t="s">
        <v>63</v>
      </c>
      <c r="J220" t="s">
        <v>64</v>
      </c>
      <c r="K220" t="s">
        <v>65</v>
      </c>
      <c r="L220" t="s">
        <v>41</v>
      </c>
      <c r="M220" t="s">
        <v>57</v>
      </c>
      <c r="N220" t="s">
        <v>1287</v>
      </c>
      <c r="O220" t="s">
        <v>50</v>
      </c>
      <c r="P220">
        <v>7</v>
      </c>
      <c r="Q220">
        <v>3945.21</v>
      </c>
      <c r="R220">
        <v>0</v>
      </c>
      <c r="S220">
        <f>IF(ISNUMBER(SEARCH("%",R220)), VALUE(SUBSTITUTE(R220,"%",""))/100,IF(ISNUMBER(R220), R220, 0))</f>
        <v>0</v>
      </c>
      <c r="T220" t="str">
        <f>IF(S220&lt;0,"Negative discount (invalid)",IF(S220&gt;0.5,"Discount above allowed range (invalid)",IF(AND(R220="",S220=0),"Missing discount set to 0","OK")))</f>
        <v>OK</v>
      </c>
      <c r="U220">
        <v>27616.47</v>
      </c>
      <c r="V220">
        <v>21225.26</v>
      </c>
      <c r="W220">
        <v>6391.21</v>
      </c>
      <c r="X220" t="s">
        <v>32</v>
      </c>
      <c r="Y220" t="s">
        <v>33</v>
      </c>
      <c r="Z220">
        <f>IF(T220="OK",P220*Q220*(1-S220),"invalid")</f>
        <v>27616.47</v>
      </c>
      <c r="AA220">
        <f>IF(Z220="N/A","N/A",Z220-V220)</f>
        <v>6391.2100000000028</v>
      </c>
      <c r="AB220" s="8">
        <f>IF(Z220&lt;&gt;"N/A", AA220/Z220, "N/A")</f>
        <v>0.23142747787823725</v>
      </c>
      <c r="AC220">
        <f>MONTH(B220)</f>
        <v>4</v>
      </c>
      <c r="AD220">
        <f>YEAR(B220)</f>
        <v>2024</v>
      </c>
      <c r="AE220" s="10">
        <f t="shared" si="3"/>
        <v>0</v>
      </c>
      <c r="AF220" t="s">
        <v>2804</v>
      </c>
      <c r="AG220" t="s">
        <v>2811</v>
      </c>
    </row>
    <row r="221" spans="1:33">
      <c r="A221" t="s">
        <v>1288</v>
      </c>
      <c r="B221" s="4">
        <v>45449</v>
      </c>
      <c r="C221" s="4">
        <v>45450</v>
      </c>
      <c r="D221">
        <f>_xlfn.DAYS(C221,B221)</f>
        <v>1</v>
      </c>
      <c r="E221" t="s">
        <v>2804</v>
      </c>
      <c r="F221" t="s">
        <v>1289</v>
      </c>
      <c r="G221" t="s">
        <v>118</v>
      </c>
      <c r="H221" t="s">
        <v>95</v>
      </c>
      <c r="I221" t="s">
        <v>54</v>
      </c>
      <c r="J221" t="s">
        <v>247</v>
      </c>
      <c r="K221" t="s">
        <v>248</v>
      </c>
      <c r="L221" t="s">
        <v>41</v>
      </c>
      <c r="M221" t="s">
        <v>42</v>
      </c>
      <c r="N221" t="s">
        <v>1290</v>
      </c>
      <c r="O221" t="s">
        <v>44</v>
      </c>
      <c r="P221">
        <v>7</v>
      </c>
      <c r="Q221">
        <v>861.91</v>
      </c>
      <c r="R221">
        <v>0.05</v>
      </c>
      <c r="S221">
        <f>IF(ISNUMBER(SEARCH("%",R221)), VALUE(SUBSTITUTE(R221,"%",""))/100,IF(ISNUMBER(R221), R221, 0))</f>
        <v>0.05</v>
      </c>
      <c r="T221" t="str">
        <f>IF(S221&lt;0,"Negative discount (invalid)",IF(S221&gt;0.5,"Discount above allowed range (invalid)",IF(AND(R221="",S221=0),"Missing discount set to 0","OK")))</f>
        <v>OK</v>
      </c>
      <c r="U221">
        <v>5731.7</v>
      </c>
      <c r="V221">
        <v>4115.5600000000004</v>
      </c>
      <c r="W221">
        <v>1616.14</v>
      </c>
      <c r="X221" t="s">
        <v>32</v>
      </c>
      <c r="Y221" t="s">
        <v>33</v>
      </c>
      <c r="Z221">
        <f>IF(T221="OK",P221*Q221*(1-S221),"invalid")</f>
        <v>5731.7014999999992</v>
      </c>
      <c r="AA221">
        <f>IF(Z221="N/A","N/A",Z221-V221)</f>
        <v>1616.1414999999988</v>
      </c>
      <c r="AB221" s="8">
        <f>IF(Z221&lt;&gt;"N/A", AA221/Z221, "N/A")</f>
        <v>0.28196539893084088</v>
      </c>
      <c r="AC221">
        <f>MONTH(B221)</f>
        <v>6</v>
      </c>
      <c r="AD221">
        <f>YEAR(B221)</f>
        <v>2024</v>
      </c>
      <c r="AE221" s="10">
        <f t="shared" si="3"/>
        <v>1.4999999993960955E-3</v>
      </c>
      <c r="AF221" t="s">
        <v>2804</v>
      </c>
      <c r="AG221" t="s">
        <v>2811</v>
      </c>
    </row>
    <row r="222" spans="1:33">
      <c r="A222" t="s">
        <v>1297</v>
      </c>
      <c r="B222" s="4">
        <v>45492</v>
      </c>
      <c r="C222" s="4">
        <v>45499</v>
      </c>
      <c r="D222">
        <f>_xlfn.DAYS(C222,B222)</f>
        <v>7</v>
      </c>
      <c r="E222" t="s">
        <v>2804</v>
      </c>
      <c r="F222" t="s">
        <v>1298</v>
      </c>
      <c r="G222" t="s">
        <v>71</v>
      </c>
      <c r="H222" t="s">
        <v>90</v>
      </c>
      <c r="I222" t="s">
        <v>25</v>
      </c>
      <c r="J222" t="s">
        <v>122</v>
      </c>
      <c r="K222" t="s">
        <v>123</v>
      </c>
      <c r="L222" t="s">
        <v>74</v>
      </c>
      <c r="M222" t="s">
        <v>274</v>
      </c>
      <c r="N222" t="s">
        <v>1299</v>
      </c>
      <c r="O222" t="s">
        <v>44</v>
      </c>
      <c r="P222">
        <v>2</v>
      </c>
      <c r="Q222">
        <v>1263.6500000000001</v>
      </c>
      <c r="R222">
        <v>0.2</v>
      </c>
      <c r="S222">
        <f>IF(ISNUMBER(SEARCH("%",R222)), VALUE(SUBSTITUTE(R222,"%",""))/100,IF(ISNUMBER(R222), R222, 0))</f>
        <v>0.2</v>
      </c>
      <c r="T222" t="str">
        <f>IF(S222&lt;0,"Negative discount (invalid)",IF(S222&gt;0.5,"Discount above allowed range (invalid)",IF(AND(R222="",S222=0),"Missing discount set to 0","OK")))</f>
        <v>OK</v>
      </c>
      <c r="U222">
        <v>2021.84</v>
      </c>
      <c r="V222">
        <v>1355.22</v>
      </c>
      <c r="W222">
        <v>666.62</v>
      </c>
      <c r="X222" t="s">
        <v>32</v>
      </c>
      <c r="Y222" t="s">
        <v>33</v>
      </c>
      <c r="Z222">
        <f>IF(T222="OK",P222*Q222*(1-S222),"invalid")</f>
        <v>2021.8400000000001</v>
      </c>
      <c r="AA222">
        <f>IF(Z222="N/A","N/A",Z222-V222)</f>
        <v>666.62000000000012</v>
      </c>
      <c r="AB222" s="8">
        <f>IF(Z222&lt;&gt;"N/A", AA222/Z222, "N/A")</f>
        <v>0.32970957147944452</v>
      </c>
      <c r="AC222">
        <f>MONTH(B222)</f>
        <v>7</v>
      </c>
      <c r="AD222">
        <f>YEAR(B222)</f>
        <v>2024</v>
      </c>
      <c r="AE222" s="10">
        <f t="shared" si="3"/>
        <v>2.2737367544323206E-13</v>
      </c>
      <c r="AF222" t="s">
        <v>2804</v>
      </c>
      <c r="AG222" t="s">
        <v>2811</v>
      </c>
    </row>
    <row r="223" spans="1:33">
      <c r="A223" t="s">
        <v>1309</v>
      </c>
      <c r="B223" s="4">
        <v>45373</v>
      </c>
      <c r="C223" s="4">
        <v>45373</v>
      </c>
      <c r="D223">
        <f>_xlfn.DAYS(C223,B223)</f>
        <v>0</v>
      </c>
      <c r="E223" t="s">
        <v>2804</v>
      </c>
      <c r="F223" t="s">
        <v>1310</v>
      </c>
      <c r="G223" t="s">
        <v>114</v>
      </c>
      <c r="H223" t="s">
        <v>37</v>
      </c>
      <c r="I223" t="s">
        <v>54</v>
      </c>
      <c r="J223" t="s">
        <v>175</v>
      </c>
      <c r="K223" t="s">
        <v>176</v>
      </c>
      <c r="L223" t="s">
        <v>41</v>
      </c>
      <c r="M223" t="s">
        <v>42</v>
      </c>
      <c r="N223" t="s">
        <v>1311</v>
      </c>
      <c r="O223" t="s">
        <v>2785</v>
      </c>
      <c r="P223">
        <v>3</v>
      </c>
      <c r="Q223">
        <v>1365.26</v>
      </c>
      <c r="R223">
        <v>0</v>
      </c>
      <c r="S223">
        <f>IF(ISNUMBER(SEARCH("%",R223)), VALUE(SUBSTITUTE(R223,"%",""))/100,IF(ISNUMBER(R223), R223, 0))</f>
        <v>0</v>
      </c>
      <c r="T223" t="str">
        <f>IF(S223&lt;0,"Negative discount (invalid)",IF(S223&gt;0.5,"Discount above allowed range (invalid)",IF(AND(R223="",S223=0),"Missing discount set to 0","OK")))</f>
        <v>OK</v>
      </c>
      <c r="U223">
        <v>4095.78</v>
      </c>
      <c r="V223">
        <v>2807.77</v>
      </c>
      <c r="W223">
        <v>1288.01</v>
      </c>
      <c r="X223" t="s">
        <v>32</v>
      </c>
      <c r="Y223" t="s">
        <v>33</v>
      </c>
      <c r="Z223">
        <f>IF(T223="OK",P223*Q223*(1-S223),"invalid")</f>
        <v>4095.7799999999997</v>
      </c>
      <c r="AA223">
        <f>IF(Z223="N/A","N/A",Z223-V223)</f>
        <v>1288.0099999999998</v>
      </c>
      <c r="AB223" s="8">
        <f>IF(Z223&lt;&gt;"N/A", AA223/Z223, "N/A")</f>
        <v>0.31447245701673426</v>
      </c>
      <c r="AC223">
        <f>MONTH(B223)</f>
        <v>3</v>
      </c>
      <c r="AD223">
        <f>YEAR(B223)</f>
        <v>2024</v>
      </c>
      <c r="AE223" s="10">
        <f t="shared" si="3"/>
        <v>4.5474735088646412E-13</v>
      </c>
      <c r="AF223" t="s">
        <v>2800</v>
      </c>
      <c r="AG223" t="s">
        <v>2798</v>
      </c>
    </row>
    <row r="224" spans="1:33">
      <c r="A224" t="s">
        <v>1312</v>
      </c>
      <c r="B224" s="4">
        <v>45565</v>
      </c>
      <c r="C224" s="4">
        <v>45569</v>
      </c>
      <c r="D224">
        <f>_xlfn.DAYS(C224,B224)</f>
        <v>4</v>
      </c>
      <c r="E224" t="s">
        <v>2804</v>
      </c>
      <c r="F224" t="s">
        <v>1313</v>
      </c>
      <c r="G224" t="s">
        <v>53</v>
      </c>
      <c r="H224" t="s">
        <v>37</v>
      </c>
      <c r="I224" t="s">
        <v>54</v>
      </c>
      <c r="J224" t="s">
        <v>185</v>
      </c>
      <c r="K224" t="s">
        <v>186</v>
      </c>
      <c r="L224" t="s">
        <v>28</v>
      </c>
      <c r="M224" t="s">
        <v>29</v>
      </c>
      <c r="N224" t="s">
        <v>1314</v>
      </c>
      <c r="O224" t="s">
        <v>44</v>
      </c>
      <c r="P224">
        <v>5</v>
      </c>
      <c r="Q224">
        <v>3512.25</v>
      </c>
      <c r="R224">
        <v>0.05</v>
      </c>
      <c r="S224">
        <f>IF(ISNUMBER(SEARCH("%",R224)), VALUE(SUBSTITUTE(R224,"%",""))/100,IF(ISNUMBER(R224), R224, 0))</f>
        <v>0.05</v>
      </c>
      <c r="T224" t="str">
        <f>IF(S224&lt;0,"Negative discount (invalid)",IF(S224&gt;0.5,"Discount above allowed range (invalid)",IF(AND(R224="",S224=0),"Missing discount set to 0","OK")))</f>
        <v>OK</v>
      </c>
      <c r="U224">
        <v>16683.189999999999</v>
      </c>
      <c r="V224">
        <v>10301.16</v>
      </c>
      <c r="W224">
        <v>6382.03</v>
      </c>
      <c r="X224" t="s">
        <v>32</v>
      </c>
      <c r="Y224" t="s">
        <v>103</v>
      </c>
      <c r="Z224">
        <f>IF(T224="OK",P224*Q224*(1-S224),"invalid")</f>
        <v>16683.1875</v>
      </c>
      <c r="AA224">
        <f>IF(Z224="N/A","N/A",Z224-V224)</f>
        <v>6382.0275000000001</v>
      </c>
      <c r="AB224" s="8">
        <f>IF(Z224&lt;&gt;"N/A", AA224/Z224, "N/A")</f>
        <v>0.38254245479168775</v>
      </c>
      <c r="AC224">
        <f>MONTH(B224)</f>
        <v>9</v>
      </c>
      <c r="AD224">
        <f>YEAR(B224)</f>
        <v>2024</v>
      </c>
      <c r="AE224" s="10">
        <f t="shared" si="3"/>
        <v>2.4999999986903276E-3</v>
      </c>
      <c r="AF224" t="s">
        <v>2804</v>
      </c>
      <c r="AG224" t="s">
        <v>2811</v>
      </c>
    </row>
    <row r="225" spans="1:33">
      <c r="A225" t="s">
        <v>1315</v>
      </c>
      <c r="B225" s="4">
        <v>45318</v>
      </c>
      <c r="C225" s="4">
        <v>45325</v>
      </c>
      <c r="D225">
        <f>_xlfn.DAYS(C225,B225)</f>
        <v>7</v>
      </c>
      <c r="E225" t="s">
        <v>2804</v>
      </c>
      <c r="F225" t="s">
        <v>1316</v>
      </c>
      <c r="G225" t="s">
        <v>89</v>
      </c>
      <c r="H225" t="s">
        <v>90</v>
      </c>
      <c r="I225" t="s">
        <v>63</v>
      </c>
      <c r="J225" t="s">
        <v>26</v>
      </c>
      <c r="K225" t="s">
        <v>109</v>
      </c>
      <c r="L225" t="s">
        <v>41</v>
      </c>
      <c r="M225" t="s">
        <v>66</v>
      </c>
      <c r="N225" t="s">
        <v>1317</v>
      </c>
      <c r="O225" t="s">
        <v>44</v>
      </c>
      <c r="P225">
        <v>3</v>
      </c>
      <c r="Q225">
        <v>359.61</v>
      </c>
      <c r="R225">
        <v>0</v>
      </c>
      <c r="S225">
        <f>IF(ISNUMBER(SEARCH("%",R225)), VALUE(SUBSTITUTE(R225,"%",""))/100,IF(ISNUMBER(R225), R225, 0))</f>
        <v>0</v>
      </c>
      <c r="T225" t="str">
        <f>IF(S225&lt;0,"Negative discount (invalid)",IF(S225&gt;0.5,"Discount above allowed range (invalid)",IF(AND(R225="",S225=0),"Missing discount set to 0","OK")))</f>
        <v>OK</v>
      </c>
      <c r="U225">
        <v>1078.83</v>
      </c>
      <c r="V225">
        <v>926.35</v>
      </c>
      <c r="W225">
        <v>152.47999999999999</v>
      </c>
      <c r="X225" t="s">
        <v>32</v>
      </c>
      <c r="Y225" t="s">
        <v>33</v>
      </c>
      <c r="Z225">
        <f>IF(T225="OK",P225*Q225*(1-S225),"invalid")</f>
        <v>1078.83</v>
      </c>
      <c r="AA225">
        <f>IF(Z225="N/A","N/A",Z225-V225)</f>
        <v>152.4799999999999</v>
      </c>
      <c r="AB225" s="8">
        <f>IF(Z225&lt;&gt;"N/A", AA225/Z225, "N/A")</f>
        <v>0.14133830167867034</v>
      </c>
      <c r="AC225">
        <f>MONTH(B225)</f>
        <v>1</v>
      </c>
      <c r="AD225">
        <f>YEAR(B225)</f>
        <v>2024</v>
      </c>
      <c r="AE225" s="10">
        <f t="shared" si="3"/>
        <v>0</v>
      </c>
      <c r="AF225" t="s">
        <v>2804</v>
      </c>
      <c r="AG225" t="s">
        <v>2811</v>
      </c>
    </row>
    <row r="226" spans="1:33">
      <c r="A226" t="s">
        <v>1318</v>
      </c>
      <c r="B226" s="4">
        <v>45558</v>
      </c>
      <c r="C226" s="4">
        <v>45559</v>
      </c>
      <c r="D226">
        <f>_xlfn.DAYS(C226,B226)</f>
        <v>1</v>
      </c>
      <c r="E226" t="s">
        <v>2804</v>
      </c>
      <c r="F226" t="s">
        <v>1319</v>
      </c>
      <c r="G226" t="s">
        <v>89</v>
      </c>
      <c r="H226" t="s">
        <v>95</v>
      </c>
      <c r="I226" t="s">
        <v>63</v>
      </c>
      <c r="J226" t="s">
        <v>180</v>
      </c>
      <c r="K226" t="s">
        <v>181</v>
      </c>
      <c r="L226" t="s">
        <v>41</v>
      </c>
      <c r="M226" t="s">
        <v>158</v>
      </c>
      <c r="N226" t="s">
        <v>1320</v>
      </c>
      <c r="O226" t="s">
        <v>2785</v>
      </c>
      <c r="P226">
        <v>7</v>
      </c>
      <c r="Q226">
        <v>3878.01</v>
      </c>
      <c r="R226">
        <v>0.1</v>
      </c>
      <c r="S226">
        <f>IF(ISNUMBER(SEARCH("%",R226)), VALUE(SUBSTITUTE(R226,"%",""))/100,IF(ISNUMBER(R226), R226, 0))</f>
        <v>0.1</v>
      </c>
      <c r="T226" t="str">
        <f>IF(S226&lt;0,"Negative discount (invalid)",IF(S226&gt;0.5,"Discount above allowed range (invalid)",IF(AND(R226="",S226=0),"Missing discount set to 0","OK")))</f>
        <v>OK</v>
      </c>
      <c r="U226">
        <v>24431.46</v>
      </c>
      <c r="V226">
        <v>18202.36</v>
      </c>
      <c r="W226">
        <v>6229.1</v>
      </c>
      <c r="X226" t="s">
        <v>32</v>
      </c>
      <c r="Y226" t="s">
        <v>33</v>
      </c>
      <c r="Z226">
        <f>IF(T226="OK",P226*Q226*(1-S226),"invalid")</f>
        <v>24431.463</v>
      </c>
      <c r="AA226">
        <f>IF(Z226="N/A","N/A",Z226-V226)</f>
        <v>6229.1029999999992</v>
      </c>
      <c r="AB226" s="8">
        <f>IF(Z226&lt;&gt;"N/A", AA226/Z226, "N/A")</f>
        <v>0.25496234097810677</v>
      </c>
      <c r="AC226">
        <f>MONTH(B226)</f>
        <v>9</v>
      </c>
      <c r="AD226">
        <f>YEAR(B226)</f>
        <v>2024</v>
      </c>
      <c r="AE226" s="10">
        <f t="shared" si="3"/>
        <v>3.0000000006111804E-3</v>
      </c>
      <c r="AF226" t="s">
        <v>2800</v>
      </c>
      <c r="AG226" t="s">
        <v>2798</v>
      </c>
    </row>
    <row r="227" spans="1:33">
      <c r="A227" t="s">
        <v>1324</v>
      </c>
      <c r="B227" s="4">
        <v>45424</v>
      </c>
      <c r="C227" s="4">
        <v>45425</v>
      </c>
      <c r="D227">
        <f>_xlfn.DAYS(C227,B227)</f>
        <v>1</v>
      </c>
      <c r="E227" t="s">
        <v>2804</v>
      </c>
      <c r="F227" t="s">
        <v>1325</v>
      </c>
      <c r="G227" t="s">
        <v>118</v>
      </c>
      <c r="H227" t="s">
        <v>90</v>
      </c>
      <c r="I227" t="s">
        <v>63</v>
      </c>
      <c r="J227" t="s">
        <v>190</v>
      </c>
      <c r="K227" t="s">
        <v>191</v>
      </c>
      <c r="L227" t="s">
        <v>28</v>
      </c>
      <c r="M227" t="s">
        <v>91</v>
      </c>
      <c r="N227" t="s">
        <v>1326</v>
      </c>
      <c r="O227" t="s">
        <v>31</v>
      </c>
      <c r="P227">
        <v>3</v>
      </c>
      <c r="Q227">
        <v>2644.55</v>
      </c>
      <c r="R227">
        <v>0</v>
      </c>
      <c r="S227">
        <f>IF(ISNUMBER(SEARCH("%",R227)), VALUE(SUBSTITUTE(R227,"%",""))/100,IF(ISNUMBER(R227), R227, 0))</f>
        <v>0</v>
      </c>
      <c r="T227" t="str">
        <f>IF(S227&lt;0,"Negative discount (invalid)",IF(S227&gt;0.5,"Discount above allowed range (invalid)",IF(AND(R227="",S227=0),"Missing discount set to 0","OK")))</f>
        <v>OK</v>
      </c>
      <c r="U227">
        <v>7933.65</v>
      </c>
      <c r="V227">
        <v>5698.42</v>
      </c>
      <c r="W227">
        <v>2235.23</v>
      </c>
      <c r="X227" t="s">
        <v>32</v>
      </c>
      <c r="Y227" t="s">
        <v>33</v>
      </c>
      <c r="Z227">
        <f>IF(T227="OK",P227*Q227*(1-S227),"invalid")</f>
        <v>7933.6500000000005</v>
      </c>
      <c r="AA227">
        <f>IF(Z227="N/A","N/A",Z227-V227)</f>
        <v>2235.2300000000005</v>
      </c>
      <c r="AB227" s="8">
        <f>IF(Z227&lt;&gt;"N/A", AA227/Z227, "N/A")</f>
        <v>0.2817404347305465</v>
      </c>
      <c r="AC227">
        <f>MONTH(B227)</f>
        <v>5</v>
      </c>
      <c r="AD227">
        <f>YEAR(B227)</f>
        <v>2024</v>
      </c>
      <c r="AE227" s="10">
        <f t="shared" si="3"/>
        <v>9.0949470177292824E-13</v>
      </c>
      <c r="AF227" t="s">
        <v>2804</v>
      </c>
      <c r="AG227" t="s">
        <v>2811</v>
      </c>
    </row>
    <row r="228" spans="1:33">
      <c r="A228" t="s">
        <v>1333</v>
      </c>
      <c r="B228" s="4">
        <v>45394</v>
      </c>
      <c r="C228" s="4">
        <v>45402</v>
      </c>
      <c r="D228">
        <f>_xlfn.DAYS(C228,B228)</f>
        <v>8</v>
      </c>
      <c r="E228" t="s">
        <v>2804</v>
      </c>
      <c r="F228" t="s">
        <v>1334</v>
      </c>
      <c r="G228" t="s">
        <v>162</v>
      </c>
      <c r="H228" t="s">
        <v>24</v>
      </c>
      <c r="I228" t="s">
        <v>63</v>
      </c>
      <c r="J228" t="s">
        <v>190</v>
      </c>
      <c r="K228" t="s">
        <v>191</v>
      </c>
      <c r="L228" t="s">
        <v>41</v>
      </c>
      <c r="M228" t="s">
        <v>42</v>
      </c>
      <c r="N228" t="s">
        <v>1335</v>
      </c>
      <c r="O228" t="s">
        <v>50</v>
      </c>
      <c r="P228">
        <v>9</v>
      </c>
      <c r="Q228">
        <v>1302.6099999999999</v>
      </c>
      <c r="R228">
        <v>0.2</v>
      </c>
      <c r="S228">
        <f>IF(ISNUMBER(SEARCH("%",R228)), VALUE(SUBSTITUTE(R228,"%",""))/100,IF(ISNUMBER(R228), R228, 0))</f>
        <v>0.2</v>
      </c>
      <c r="T228" t="str">
        <f>IF(S228&lt;0,"Negative discount (invalid)",IF(S228&gt;0.5,"Discount above allowed range (invalid)",IF(AND(R228="",S228=0),"Missing discount set to 0","OK")))</f>
        <v>OK</v>
      </c>
      <c r="U228">
        <v>9378.7900000000009</v>
      </c>
      <c r="V228">
        <v>6774.48</v>
      </c>
      <c r="W228">
        <v>2604.31</v>
      </c>
      <c r="X228" t="s">
        <v>32</v>
      </c>
      <c r="Y228" t="s">
        <v>33</v>
      </c>
      <c r="Z228">
        <f>IF(T228="OK",P228*Q228*(1-S228),"invalid")</f>
        <v>9378.7919999999995</v>
      </c>
      <c r="AA228">
        <f>IF(Z228="N/A","N/A",Z228-V228)</f>
        <v>2604.3119999999999</v>
      </c>
      <c r="AB228" s="8">
        <f>IF(Z228&lt;&gt;"N/A", AA228/Z228, "N/A")</f>
        <v>0.27768096360384154</v>
      </c>
      <c r="AC228">
        <f>MONTH(B228)</f>
        <v>4</v>
      </c>
      <c r="AD228">
        <f>YEAR(B228)</f>
        <v>2024</v>
      </c>
      <c r="AE228" s="10">
        <f t="shared" si="3"/>
        <v>1.9999999985884642E-3</v>
      </c>
      <c r="AF228" t="s">
        <v>2804</v>
      </c>
      <c r="AG228" t="s">
        <v>2811</v>
      </c>
    </row>
    <row r="229" spans="1:33">
      <c r="A229" t="s">
        <v>1339</v>
      </c>
      <c r="B229" s="4">
        <v>45313</v>
      </c>
      <c r="C229" s="4">
        <v>45321</v>
      </c>
      <c r="D229">
        <f>_xlfn.DAYS(C229,B229)</f>
        <v>8</v>
      </c>
      <c r="E229" t="s">
        <v>2804</v>
      </c>
      <c r="F229" t="s">
        <v>1340</v>
      </c>
      <c r="G229" t="s">
        <v>47</v>
      </c>
      <c r="H229" t="s">
        <v>90</v>
      </c>
      <c r="I229" t="s">
        <v>54</v>
      </c>
      <c r="J229" t="s">
        <v>175</v>
      </c>
      <c r="K229" t="s">
        <v>176</v>
      </c>
      <c r="L229" t="s">
        <v>41</v>
      </c>
      <c r="M229" t="s">
        <v>66</v>
      </c>
      <c r="N229" t="s">
        <v>1341</v>
      </c>
      <c r="O229" t="s">
        <v>44</v>
      </c>
      <c r="P229">
        <v>1</v>
      </c>
      <c r="Q229">
        <v>2111.39</v>
      </c>
      <c r="R229">
        <v>0.25</v>
      </c>
      <c r="S229">
        <f>IF(ISNUMBER(SEARCH("%",R229)), VALUE(SUBSTITUTE(R229,"%",""))/100,IF(ISNUMBER(R229), R229, 0))</f>
        <v>0.25</v>
      </c>
      <c r="T229" t="str">
        <f>IF(S229&lt;0,"Negative discount (invalid)",IF(S229&gt;0.5,"Discount above allowed range (invalid)",IF(AND(R229="",S229=0),"Missing discount set to 0","OK")))</f>
        <v>OK</v>
      </c>
      <c r="U229">
        <v>1583.54</v>
      </c>
      <c r="V229">
        <v>1014.19</v>
      </c>
      <c r="W229">
        <v>569.35</v>
      </c>
      <c r="X229" t="s">
        <v>32</v>
      </c>
      <c r="Y229" t="s">
        <v>33</v>
      </c>
      <c r="Z229">
        <f>IF(T229="OK",P229*Q229*(1-S229),"invalid")</f>
        <v>1583.5425</v>
      </c>
      <c r="AA229">
        <f>IF(Z229="N/A","N/A",Z229-V229)</f>
        <v>569.35249999999996</v>
      </c>
      <c r="AB229" s="8">
        <f>IF(Z229&lt;&gt;"N/A", AA229/Z229, "N/A")</f>
        <v>0.35954355503562424</v>
      </c>
      <c r="AC229">
        <f>MONTH(B229)</f>
        <v>1</v>
      </c>
      <c r="AD229">
        <f>YEAR(B229)</f>
        <v>2024</v>
      </c>
      <c r="AE229" s="10">
        <f t="shared" si="3"/>
        <v>2.5000000000545697E-3</v>
      </c>
      <c r="AF229" t="s">
        <v>2804</v>
      </c>
      <c r="AG229" t="s">
        <v>2811</v>
      </c>
    </row>
    <row r="230" spans="1:33">
      <c r="A230" t="s">
        <v>1345</v>
      </c>
      <c r="B230" s="4">
        <v>45533</v>
      </c>
      <c r="C230" s="4">
        <v>45534</v>
      </c>
      <c r="D230">
        <f>_xlfn.DAYS(C230,B230)</f>
        <v>1</v>
      </c>
      <c r="E230" t="s">
        <v>2804</v>
      </c>
      <c r="F230" t="s">
        <v>1346</v>
      </c>
      <c r="G230" t="s">
        <v>53</v>
      </c>
      <c r="H230" t="s">
        <v>95</v>
      </c>
      <c r="I230" t="s">
        <v>38</v>
      </c>
      <c r="J230" t="s">
        <v>166</v>
      </c>
      <c r="K230" t="s">
        <v>167</v>
      </c>
      <c r="L230" t="s">
        <v>28</v>
      </c>
      <c r="M230" t="s">
        <v>124</v>
      </c>
      <c r="N230" t="s">
        <v>1347</v>
      </c>
      <c r="O230" t="s">
        <v>50</v>
      </c>
      <c r="P230">
        <v>4</v>
      </c>
      <c r="Q230">
        <v>2484.08</v>
      </c>
      <c r="R230">
        <v>0.05</v>
      </c>
      <c r="S230">
        <f>IF(ISNUMBER(SEARCH("%",R230)), VALUE(SUBSTITUTE(R230,"%",""))/100,IF(ISNUMBER(R230), R230, 0))</f>
        <v>0.05</v>
      </c>
      <c r="T230" t="str">
        <f>IF(S230&lt;0,"Negative discount (invalid)",IF(S230&gt;0.5,"Discount above allowed range (invalid)",IF(AND(R230="",S230=0),"Missing discount set to 0","OK")))</f>
        <v>OK</v>
      </c>
      <c r="U230">
        <v>9439.5</v>
      </c>
      <c r="V230">
        <v>5519.39</v>
      </c>
      <c r="W230">
        <v>3920.11</v>
      </c>
      <c r="X230" t="s">
        <v>32</v>
      </c>
      <c r="Y230" t="s">
        <v>33</v>
      </c>
      <c r="Z230">
        <f>IF(T230="OK",P230*Q230*(1-S230),"invalid")</f>
        <v>9439.503999999999</v>
      </c>
      <c r="AA230">
        <f>IF(Z230="N/A","N/A",Z230-V230)</f>
        <v>3920.1139999999987</v>
      </c>
      <c r="AB230" s="8">
        <f>IF(Z230&lt;&gt;"N/A", AA230/Z230, "N/A")</f>
        <v>0.41528813378330037</v>
      </c>
      <c r="AC230">
        <f>MONTH(B230)</f>
        <v>8</v>
      </c>
      <c r="AD230">
        <f>YEAR(B230)</f>
        <v>2024</v>
      </c>
      <c r="AE230" s="10">
        <f t="shared" si="3"/>
        <v>3.9999999989959178E-3</v>
      </c>
      <c r="AF230" t="s">
        <v>2804</v>
      </c>
      <c r="AG230" t="s">
        <v>2811</v>
      </c>
    </row>
    <row r="231" spans="1:33">
      <c r="A231" t="s">
        <v>1348</v>
      </c>
      <c r="B231" s="4">
        <v>45316</v>
      </c>
      <c r="C231" s="4">
        <v>45318</v>
      </c>
      <c r="D231">
        <f>_xlfn.DAYS(C231,B231)</f>
        <v>2</v>
      </c>
      <c r="E231" t="s">
        <v>2804</v>
      </c>
      <c r="F231" t="s">
        <v>1349</v>
      </c>
      <c r="G231" t="s">
        <v>128</v>
      </c>
      <c r="H231" t="s">
        <v>90</v>
      </c>
      <c r="I231" t="s">
        <v>54</v>
      </c>
      <c r="J231" t="s">
        <v>175</v>
      </c>
      <c r="K231" t="s">
        <v>176</v>
      </c>
      <c r="L231" t="s">
        <v>28</v>
      </c>
      <c r="M231" t="s">
        <v>124</v>
      </c>
      <c r="N231" t="s">
        <v>1350</v>
      </c>
      <c r="O231" t="s">
        <v>44</v>
      </c>
      <c r="P231">
        <v>7</v>
      </c>
      <c r="Q231">
        <v>1727.26</v>
      </c>
      <c r="R231">
        <v>0.15</v>
      </c>
      <c r="S231">
        <f>IF(ISNUMBER(SEARCH("%",R231)), VALUE(SUBSTITUTE(R231,"%",""))/100,IF(ISNUMBER(R231), R231, 0))</f>
        <v>0.15</v>
      </c>
      <c r="T231" t="str">
        <f>IF(S231&lt;0,"Negative discount (invalid)",IF(S231&gt;0.5,"Discount above allowed range (invalid)",IF(AND(R231="",S231=0),"Missing discount set to 0","OK")))</f>
        <v>OK</v>
      </c>
      <c r="U231">
        <v>10277.200000000001</v>
      </c>
      <c r="V231">
        <v>7906.5</v>
      </c>
      <c r="W231">
        <v>2370.6999999999998</v>
      </c>
      <c r="X231" t="s">
        <v>32</v>
      </c>
      <c r="Y231" t="s">
        <v>103</v>
      </c>
      <c r="Z231">
        <f>IF(T231="OK",P231*Q231*(1-S231),"invalid")</f>
        <v>10277.197</v>
      </c>
      <c r="AA231">
        <f>IF(Z231="N/A","N/A",Z231-V231)</f>
        <v>2370.6970000000001</v>
      </c>
      <c r="AB231" s="8">
        <f>IF(Z231&lt;&gt;"N/A", AA231/Z231, "N/A")</f>
        <v>0.23067544584384245</v>
      </c>
      <c r="AC231">
        <f>MONTH(B231)</f>
        <v>1</v>
      </c>
      <c r="AD231">
        <f>YEAR(B231)</f>
        <v>2024</v>
      </c>
      <c r="AE231" s="10">
        <f t="shared" si="3"/>
        <v>3.0000000006111804E-3</v>
      </c>
      <c r="AF231" t="s">
        <v>2804</v>
      </c>
      <c r="AG231" t="s">
        <v>2811</v>
      </c>
    </row>
    <row r="232" spans="1:33">
      <c r="A232" t="s">
        <v>1357</v>
      </c>
      <c r="B232" s="4">
        <v>45605</v>
      </c>
      <c r="C232" s="4">
        <v>45613</v>
      </c>
      <c r="D232">
        <f>_xlfn.DAYS(C232,B232)</f>
        <v>8</v>
      </c>
      <c r="E232" t="s">
        <v>2804</v>
      </c>
      <c r="F232" t="s">
        <v>1358</v>
      </c>
      <c r="G232" t="s">
        <v>132</v>
      </c>
      <c r="H232" t="s">
        <v>90</v>
      </c>
      <c r="I232" t="s">
        <v>38</v>
      </c>
      <c r="J232" t="s">
        <v>39</v>
      </c>
      <c r="K232" t="s">
        <v>40</v>
      </c>
      <c r="L232" t="s">
        <v>74</v>
      </c>
      <c r="M232" t="s">
        <v>80</v>
      </c>
      <c r="N232" t="s">
        <v>1359</v>
      </c>
      <c r="O232" t="s">
        <v>59</v>
      </c>
      <c r="P232">
        <v>6</v>
      </c>
      <c r="Q232">
        <v>3660.4</v>
      </c>
      <c r="R232">
        <v>0</v>
      </c>
      <c r="S232">
        <f>IF(ISNUMBER(SEARCH("%",R232)), VALUE(SUBSTITUTE(R232,"%",""))/100,IF(ISNUMBER(R232), R232, 0))</f>
        <v>0</v>
      </c>
      <c r="T232" t="str">
        <f>IF(S232&lt;0,"Negative discount (invalid)",IF(S232&gt;0.5,"Discount above allowed range (invalid)",IF(AND(R232="",S232=0),"Missing discount set to 0","OK")))</f>
        <v>OK</v>
      </c>
      <c r="U232">
        <v>21962.400000000001</v>
      </c>
      <c r="V232">
        <v>15331.99</v>
      </c>
      <c r="W232">
        <v>6630.41</v>
      </c>
      <c r="X232" t="s">
        <v>155</v>
      </c>
      <c r="Y232" t="s">
        <v>68</v>
      </c>
      <c r="Z232">
        <f>IF(T232="OK",P232*Q232*(1-S232),"invalid")</f>
        <v>21962.400000000001</v>
      </c>
      <c r="AA232">
        <f>IF(Z232="N/A","N/A",Z232-V232)</f>
        <v>6630.4100000000017</v>
      </c>
      <c r="AB232" s="8">
        <f>IF(Z232&lt;&gt;"N/A", AA232/Z232, "N/A")</f>
        <v>0.3018982442720286</v>
      </c>
      <c r="AC232">
        <f>MONTH(B232)</f>
        <v>11</v>
      </c>
      <c r="AD232">
        <f>YEAR(B232)</f>
        <v>2024</v>
      </c>
      <c r="AE232" s="10">
        <f t="shared" si="3"/>
        <v>0</v>
      </c>
      <c r="AF232" t="s">
        <v>2804</v>
      </c>
      <c r="AG232" t="s">
        <v>2811</v>
      </c>
    </row>
    <row r="233" spans="1:33">
      <c r="A233" t="s">
        <v>1372</v>
      </c>
      <c r="B233" s="4">
        <v>45342</v>
      </c>
      <c r="C233" s="4">
        <v>45349</v>
      </c>
      <c r="D233">
        <f>_xlfn.DAYS(C233,B233)</f>
        <v>7</v>
      </c>
      <c r="E233" t="s">
        <v>2804</v>
      </c>
      <c r="F233" t="s">
        <v>1373</v>
      </c>
      <c r="G233" t="s">
        <v>162</v>
      </c>
      <c r="H233" t="s">
        <v>24</v>
      </c>
      <c r="I233" t="s">
        <v>54</v>
      </c>
      <c r="J233" t="s">
        <v>185</v>
      </c>
      <c r="K233" t="s">
        <v>186</v>
      </c>
      <c r="L233" t="s">
        <v>74</v>
      </c>
      <c r="M233" t="s">
        <v>75</v>
      </c>
      <c r="N233" t="s">
        <v>1374</v>
      </c>
      <c r="O233" t="s">
        <v>50</v>
      </c>
      <c r="P233">
        <v>9</v>
      </c>
      <c r="Q233">
        <v>3779.31</v>
      </c>
      <c r="R233">
        <v>0.2</v>
      </c>
      <c r="S233">
        <f>IF(ISNUMBER(SEARCH("%",R233)), VALUE(SUBSTITUTE(R233,"%",""))/100,IF(ISNUMBER(R233), R233, 0))</f>
        <v>0.2</v>
      </c>
      <c r="T233" t="str">
        <f>IF(S233&lt;0,"Negative discount (invalid)",IF(S233&gt;0.5,"Discount above allowed range (invalid)",IF(AND(R233="",S233=0),"Missing discount set to 0","OK")))</f>
        <v>OK</v>
      </c>
      <c r="U233">
        <v>27211.03</v>
      </c>
      <c r="V233">
        <v>17940.43</v>
      </c>
      <c r="W233">
        <v>9270.6</v>
      </c>
      <c r="X233" t="s">
        <v>32</v>
      </c>
      <c r="Y233" t="s">
        <v>33</v>
      </c>
      <c r="Z233">
        <f>IF(T233="OK",P233*Q233*(1-S233),"invalid")</f>
        <v>27211.032000000003</v>
      </c>
      <c r="AA233">
        <f>IF(Z233="N/A","N/A",Z233-V233)</f>
        <v>9270.6020000000026</v>
      </c>
      <c r="AB233" s="8">
        <f>IF(Z233&lt;&gt;"N/A", AA233/Z233, "N/A")</f>
        <v>0.34069277490100347</v>
      </c>
      <c r="AC233">
        <f>MONTH(B233)</f>
        <v>2</v>
      </c>
      <c r="AD233">
        <f>YEAR(B233)</f>
        <v>2024</v>
      </c>
      <c r="AE233" s="10">
        <f t="shared" si="3"/>
        <v>2.0000000040454324E-3</v>
      </c>
      <c r="AF233" t="s">
        <v>2804</v>
      </c>
      <c r="AG233" t="s">
        <v>2811</v>
      </c>
    </row>
    <row r="234" spans="1:33">
      <c r="A234" t="s">
        <v>1372</v>
      </c>
      <c r="B234" s="4">
        <v>45342</v>
      </c>
      <c r="C234" s="4">
        <v>45349</v>
      </c>
      <c r="D234">
        <f>_xlfn.DAYS(C234,B234)</f>
        <v>7</v>
      </c>
      <c r="E234" t="s">
        <v>2804</v>
      </c>
      <c r="F234" t="s">
        <v>1373</v>
      </c>
      <c r="G234" t="s">
        <v>162</v>
      </c>
      <c r="H234" t="s">
        <v>24</v>
      </c>
      <c r="I234" t="s">
        <v>54</v>
      </c>
      <c r="J234" t="s">
        <v>185</v>
      </c>
      <c r="K234" t="s">
        <v>186</v>
      </c>
      <c r="L234" t="s">
        <v>74</v>
      </c>
      <c r="M234" t="s">
        <v>75</v>
      </c>
      <c r="N234" t="s">
        <v>1374</v>
      </c>
      <c r="O234" t="s">
        <v>50</v>
      </c>
      <c r="P234">
        <v>9</v>
      </c>
      <c r="Q234">
        <v>3779.31</v>
      </c>
      <c r="R234">
        <v>0.2</v>
      </c>
      <c r="S234">
        <f>IF(ISNUMBER(SEARCH("%",R234)), VALUE(SUBSTITUTE(R234,"%",""))/100,IF(ISNUMBER(R234), R234, 0))</f>
        <v>0.2</v>
      </c>
      <c r="T234" t="str">
        <f>IF(S234&lt;0,"Negative discount (invalid)",IF(S234&gt;0.5,"Discount above allowed range (invalid)",IF(AND(R234="",S234=0),"Missing discount set to 0","OK")))</f>
        <v>OK</v>
      </c>
      <c r="U234">
        <v>27322.9</v>
      </c>
      <c r="V234">
        <v>17940.43</v>
      </c>
      <c r="W234">
        <v>9270.6</v>
      </c>
      <c r="X234" t="s">
        <v>32</v>
      </c>
      <c r="Y234" t="s">
        <v>103</v>
      </c>
      <c r="Z234">
        <f>IF(T234="OK",P234*Q234*(1-S234),"invalid")</f>
        <v>27211.032000000003</v>
      </c>
      <c r="AA234">
        <f>IF(Z234="N/A","N/A",Z234-V234)</f>
        <v>9270.6020000000026</v>
      </c>
      <c r="AB234" s="8">
        <f>IF(Z234&lt;&gt;"N/A", AA234/Z234, "N/A")</f>
        <v>0.34069277490100347</v>
      </c>
      <c r="AC234">
        <f>MONTH(B234)</f>
        <v>2</v>
      </c>
      <c r="AD234">
        <f>YEAR(B234)</f>
        <v>2024</v>
      </c>
      <c r="AE234" s="10">
        <f t="shared" si="3"/>
        <v>111.86799999999857</v>
      </c>
      <c r="AF234" t="s">
        <v>2807</v>
      </c>
      <c r="AG234" t="s">
        <v>2789</v>
      </c>
    </row>
    <row r="235" spans="1:33">
      <c r="A235" t="s">
        <v>1376</v>
      </c>
      <c r="B235" s="4">
        <v>45469</v>
      </c>
      <c r="C235" s="4">
        <v>45472</v>
      </c>
      <c r="D235">
        <f>_xlfn.DAYS(C235,B235)</f>
        <v>3</v>
      </c>
      <c r="E235" t="s">
        <v>2804</v>
      </c>
      <c r="F235" t="s">
        <v>1377</v>
      </c>
      <c r="G235" t="s">
        <v>79</v>
      </c>
      <c r="H235" t="s">
        <v>90</v>
      </c>
      <c r="I235" t="s">
        <v>25</v>
      </c>
      <c r="J235" t="s">
        <v>122</v>
      </c>
      <c r="K235" t="s">
        <v>123</v>
      </c>
      <c r="L235" t="s">
        <v>74</v>
      </c>
      <c r="M235" t="s">
        <v>171</v>
      </c>
      <c r="N235" t="s">
        <v>1378</v>
      </c>
      <c r="O235" t="s">
        <v>59</v>
      </c>
      <c r="P235">
        <v>8</v>
      </c>
      <c r="Q235">
        <v>804.52</v>
      </c>
      <c r="R235">
        <v>0</v>
      </c>
      <c r="S235">
        <f>IF(ISNUMBER(SEARCH("%",R235)), VALUE(SUBSTITUTE(R235,"%",""))/100,IF(ISNUMBER(R235), R235, 0))</f>
        <v>0</v>
      </c>
      <c r="T235" t="str">
        <f>IF(S235&lt;0,"Negative discount (invalid)",IF(S235&gt;0.5,"Discount above allowed range (invalid)",IF(AND(R235="",S235=0),"Missing discount set to 0","OK")))</f>
        <v>OK</v>
      </c>
      <c r="U235">
        <v>6436.16</v>
      </c>
      <c r="V235">
        <v>4263.83</v>
      </c>
      <c r="W235">
        <v>2172.33</v>
      </c>
      <c r="X235" t="s">
        <v>32</v>
      </c>
      <c r="Y235" t="s">
        <v>33</v>
      </c>
      <c r="Z235">
        <f>IF(T235="OK",P235*Q235*(1-S235),"invalid")</f>
        <v>6436.16</v>
      </c>
      <c r="AA235">
        <f>IF(Z235="N/A","N/A",Z235-V235)</f>
        <v>2172.33</v>
      </c>
      <c r="AB235" s="8">
        <f>IF(Z235&lt;&gt;"N/A", AA235/Z235, "N/A")</f>
        <v>0.33751957689056827</v>
      </c>
      <c r="AC235">
        <f>MONTH(B235)</f>
        <v>6</v>
      </c>
      <c r="AD235">
        <f>YEAR(B235)</f>
        <v>2024</v>
      </c>
      <c r="AE235" s="10">
        <f t="shared" si="3"/>
        <v>0</v>
      </c>
      <c r="AF235" t="s">
        <v>2804</v>
      </c>
      <c r="AG235" t="s">
        <v>2811</v>
      </c>
    </row>
    <row r="236" spans="1:33">
      <c r="A236" t="s">
        <v>1379</v>
      </c>
      <c r="B236" s="4">
        <v>45561</v>
      </c>
      <c r="C236" s="4">
        <v>45562</v>
      </c>
      <c r="D236">
        <f>_xlfn.DAYS(C236,B236)</f>
        <v>1</v>
      </c>
      <c r="E236" t="s">
        <v>2804</v>
      </c>
      <c r="F236" t="s">
        <v>1380</v>
      </c>
      <c r="G236" t="s">
        <v>47</v>
      </c>
      <c r="H236" t="s">
        <v>95</v>
      </c>
      <c r="I236" t="s">
        <v>25</v>
      </c>
      <c r="J236" t="s">
        <v>350</v>
      </c>
      <c r="K236" t="s">
        <v>351</v>
      </c>
      <c r="L236" t="s">
        <v>28</v>
      </c>
      <c r="M236" t="s">
        <v>91</v>
      </c>
      <c r="N236" t="s">
        <v>1381</v>
      </c>
      <c r="O236" t="s">
        <v>50</v>
      </c>
      <c r="P236">
        <v>2</v>
      </c>
      <c r="Q236">
        <v>1065.69</v>
      </c>
      <c r="R236">
        <v>0.1</v>
      </c>
      <c r="S236">
        <f>IF(ISNUMBER(SEARCH("%",R236)), VALUE(SUBSTITUTE(R236,"%",""))/100,IF(ISNUMBER(R236), R236, 0))</f>
        <v>0.1</v>
      </c>
      <c r="T236" t="str">
        <f>IF(S236&lt;0,"Negative discount (invalid)",IF(S236&gt;0.5,"Discount above allowed range (invalid)",IF(AND(R236="",S236=0),"Missing discount set to 0","OK")))</f>
        <v>OK</v>
      </c>
      <c r="U236">
        <v>1918.24</v>
      </c>
      <c r="V236">
        <v>1373.52</v>
      </c>
      <c r="W236">
        <v>544.72</v>
      </c>
      <c r="X236" t="s">
        <v>102</v>
      </c>
      <c r="Y236" t="s">
        <v>68</v>
      </c>
      <c r="Z236">
        <f>IF(T236="OK",P236*Q236*(1-S236),"invalid")</f>
        <v>1918.2420000000002</v>
      </c>
      <c r="AA236">
        <f>IF(Z236="N/A","N/A",Z236-V236)</f>
        <v>544.72200000000021</v>
      </c>
      <c r="AB236" s="8">
        <f>IF(Z236&lt;&gt;"N/A", AA236/Z236, "N/A")</f>
        <v>0.2839693844676533</v>
      </c>
      <c r="AC236">
        <f>MONTH(B236)</f>
        <v>9</v>
      </c>
      <c r="AD236">
        <f>YEAR(B236)</f>
        <v>2024</v>
      </c>
      <c r="AE236" s="10">
        <f t="shared" si="3"/>
        <v>2.00000000018008E-3</v>
      </c>
      <c r="AF236" t="s">
        <v>2804</v>
      </c>
      <c r="AG236" t="s">
        <v>2811</v>
      </c>
    </row>
    <row r="237" spans="1:33">
      <c r="A237" t="s">
        <v>1382</v>
      </c>
      <c r="B237" s="4">
        <v>45473</v>
      </c>
      <c r="C237" s="4">
        <v>45474</v>
      </c>
      <c r="D237">
        <f>_xlfn.DAYS(C237,B237)</f>
        <v>1</v>
      </c>
      <c r="E237" t="s">
        <v>2804</v>
      </c>
      <c r="F237" t="s">
        <v>1383</v>
      </c>
      <c r="G237" t="s">
        <v>89</v>
      </c>
      <c r="H237" t="s">
        <v>24</v>
      </c>
      <c r="I237" t="s">
        <v>25</v>
      </c>
      <c r="J237" t="s">
        <v>236</v>
      </c>
      <c r="K237" t="s">
        <v>237</v>
      </c>
      <c r="L237" t="s">
        <v>74</v>
      </c>
      <c r="M237" t="s">
        <v>80</v>
      </c>
      <c r="N237" t="s">
        <v>1384</v>
      </c>
      <c r="O237" t="s">
        <v>44</v>
      </c>
      <c r="P237">
        <v>8</v>
      </c>
      <c r="Q237">
        <v>3756.66</v>
      </c>
      <c r="R237">
        <v>0.1</v>
      </c>
      <c r="S237">
        <f>IF(ISNUMBER(SEARCH("%",R237)), VALUE(SUBSTITUTE(R237,"%",""))/100,IF(ISNUMBER(R237), R237, 0))</f>
        <v>0.1</v>
      </c>
      <c r="T237" t="str">
        <f>IF(S237&lt;0,"Negative discount (invalid)",IF(S237&gt;0.5,"Discount above allowed range (invalid)",IF(AND(R237="",S237=0),"Missing discount set to 0","OK")))</f>
        <v>OK</v>
      </c>
      <c r="U237">
        <v>27047.95</v>
      </c>
      <c r="V237">
        <v>18431.330000000002</v>
      </c>
      <c r="W237">
        <v>8616.6200000000008</v>
      </c>
      <c r="X237" t="s">
        <v>32</v>
      </c>
      <c r="Y237" t="s">
        <v>33</v>
      </c>
      <c r="Z237">
        <f>IF(T237="OK",P237*Q237*(1-S237),"invalid")</f>
        <v>27047.952000000001</v>
      </c>
      <c r="AA237">
        <f>IF(Z237="N/A","N/A",Z237-V237)</f>
        <v>8616.6219999999994</v>
      </c>
      <c r="AB237" s="8">
        <f>IF(Z237&lt;&gt;"N/A", AA237/Z237, "N/A")</f>
        <v>0.31856837072174626</v>
      </c>
      <c r="AC237">
        <f>MONTH(B237)</f>
        <v>6</v>
      </c>
      <c r="AD237">
        <f>YEAR(B237)</f>
        <v>2024</v>
      </c>
      <c r="AE237" s="10">
        <f t="shared" si="3"/>
        <v>2.0000000004074536E-3</v>
      </c>
      <c r="AF237" t="s">
        <v>2804</v>
      </c>
      <c r="AG237" t="s">
        <v>2811</v>
      </c>
    </row>
    <row r="238" spans="1:33">
      <c r="A238" t="s">
        <v>1394</v>
      </c>
      <c r="B238" s="4">
        <v>45534</v>
      </c>
      <c r="C238" s="4">
        <v>45537</v>
      </c>
      <c r="D238">
        <f>_xlfn.DAYS(C238,B238)</f>
        <v>3</v>
      </c>
      <c r="E238" t="s">
        <v>2804</v>
      </c>
      <c r="F238" t="s">
        <v>1395</v>
      </c>
      <c r="G238" t="s">
        <v>79</v>
      </c>
      <c r="H238" t="s">
        <v>37</v>
      </c>
      <c r="I238" t="s">
        <v>25</v>
      </c>
      <c r="J238" t="s">
        <v>236</v>
      </c>
      <c r="K238" t="s">
        <v>237</v>
      </c>
      <c r="L238" t="s">
        <v>28</v>
      </c>
      <c r="M238" t="s">
        <v>29</v>
      </c>
      <c r="N238" t="s">
        <v>1396</v>
      </c>
      <c r="O238" t="s">
        <v>31</v>
      </c>
      <c r="P238">
        <v>1</v>
      </c>
      <c r="Q238">
        <v>4320.84</v>
      </c>
      <c r="R238">
        <v>0.15</v>
      </c>
      <c r="S238">
        <f>IF(ISNUMBER(SEARCH("%",R238)), VALUE(SUBSTITUTE(R238,"%",""))/100,IF(ISNUMBER(R238), R238, 0))</f>
        <v>0.15</v>
      </c>
      <c r="T238" t="str">
        <f>IF(S238&lt;0,"Negative discount (invalid)",IF(S238&gt;0.5,"Discount above allowed range (invalid)",IF(AND(R238="",S238=0),"Missing discount set to 0","OK")))</f>
        <v>OK</v>
      </c>
      <c r="U238">
        <v>3672.71</v>
      </c>
      <c r="V238">
        <v>2714.23</v>
      </c>
      <c r="W238">
        <v>763.38</v>
      </c>
      <c r="X238" t="s">
        <v>32</v>
      </c>
      <c r="Y238" t="s">
        <v>33</v>
      </c>
      <c r="Z238">
        <f>IF(T238="OK",P238*Q238*(1-S238),"invalid")</f>
        <v>3672.7139999999999</v>
      </c>
      <c r="AA238">
        <f>IF(Z238="N/A","N/A",Z238-V238)</f>
        <v>958.48399999999992</v>
      </c>
      <c r="AB238" s="8">
        <f>IF(Z238&lt;&gt;"N/A", AA238/Z238, "N/A")</f>
        <v>0.26097430946161337</v>
      </c>
      <c r="AC238">
        <f>MONTH(B238)</f>
        <v>8</v>
      </c>
      <c r="AD238">
        <f>YEAR(B238)</f>
        <v>2024</v>
      </c>
      <c r="AE238" s="10">
        <f t="shared" si="3"/>
        <v>3.9999999999054126E-3</v>
      </c>
      <c r="AF238" t="s">
        <v>2804</v>
      </c>
      <c r="AG238" t="s">
        <v>2811</v>
      </c>
    </row>
    <row r="239" spans="1:33">
      <c r="A239" t="s">
        <v>1397</v>
      </c>
      <c r="B239" s="4">
        <v>45332</v>
      </c>
      <c r="C239" s="4">
        <v>45335</v>
      </c>
      <c r="D239">
        <f>_xlfn.DAYS(C239,B239)</f>
        <v>3</v>
      </c>
      <c r="E239" t="s">
        <v>2804</v>
      </c>
      <c r="F239" t="s">
        <v>1398</v>
      </c>
      <c r="G239" t="s">
        <v>23</v>
      </c>
      <c r="H239" t="s">
        <v>95</v>
      </c>
      <c r="I239" t="s">
        <v>63</v>
      </c>
      <c r="J239" t="s">
        <v>190</v>
      </c>
      <c r="K239" t="s">
        <v>191</v>
      </c>
      <c r="L239" t="s">
        <v>74</v>
      </c>
      <c r="M239" t="s">
        <v>274</v>
      </c>
      <c r="N239" t="s">
        <v>1399</v>
      </c>
      <c r="O239" t="s">
        <v>44</v>
      </c>
      <c r="P239">
        <v>2</v>
      </c>
      <c r="Q239">
        <v>4118.45</v>
      </c>
      <c r="R239">
        <v>0.25</v>
      </c>
      <c r="S239">
        <f>IF(ISNUMBER(SEARCH("%",R239)), VALUE(SUBSTITUTE(R239,"%",""))/100,IF(ISNUMBER(R239), R239, 0))</f>
        <v>0.25</v>
      </c>
      <c r="T239" t="str">
        <f>IF(S239&lt;0,"Negative discount (invalid)",IF(S239&gt;0.5,"Discount above allowed range (invalid)",IF(AND(R239="",S239=0),"Missing discount set to 0","OK")))</f>
        <v>OK</v>
      </c>
      <c r="U239">
        <v>6177.67</v>
      </c>
      <c r="V239">
        <v>4520.75</v>
      </c>
      <c r="W239">
        <v>1656.92</v>
      </c>
      <c r="X239" t="s">
        <v>32</v>
      </c>
      <c r="Y239" t="s">
        <v>33</v>
      </c>
      <c r="Z239">
        <f>IF(T239="OK",P239*Q239*(1-S239),"invalid")</f>
        <v>6177.6749999999993</v>
      </c>
      <c r="AA239">
        <f>IF(Z239="N/A","N/A",Z239-V239)</f>
        <v>1656.9249999999993</v>
      </c>
      <c r="AB239" s="8">
        <f>IF(Z239&lt;&gt;"N/A", AA239/Z239, "N/A")</f>
        <v>0.26821174632851347</v>
      </c>
      <c r="AC239">
        <f>MONTH(B239)</f>
        <v>2</v>
      </c>
      <c r="AD239">
        <f>YEAR(B239)</f>
        <v>2024</v>
      </c>
      <c r="AE239" s="10">
        <f t="shared" si="3"/>
        <v>4.9999999991996447E-3</v>
      </c>
      <c r="AF239" t="s">
        <v>2804</v>
      </c>
      <c r="AG239" t="s">
        <v>2811</v>
      </c>
    </row>
    <row r="240" spans="1:33">
      <c r="A240" t="s">
        <v>1400</v>
      </c>
      <c r="B240" s="4">
        <v>45533</v>
      </c>
      <c r="C240" s="4">
        <v>45537</v>
      </c>
      <c r="D240">
        <f>_xlfn.DAYS(C240,B240)</f>
        <v>4</v>
      </c>
      <c r="E240" t="s">
        <v>2804</v>
      </c>
      <c r="F240" t="s">
        <v>1401</v>
      </c>
      <c r="G240" t="s">
        <v>114</v>
      </c>
      <c r="H240" t="s">
        <v>37</v>
      </c>
      <c r="I240" t="s">
        <v>63</v>
      </c>
      <c r="J240" t="s">
        <v>64</v>
      </c>
      <c r="K240" t="s">
        <v>65</v>
      </c>
      <c r="L240" t="s">
        <v>41</v>
      </c>
      <c r="M240" t="s">
        <v>158</v>
      </c>
      <c r="N240" t="s">
        <v>1402</v>
      </c>
      <c r="O240" t="s">
        <v>59</v>
      </c>
      <c r="P240">
        <v>6</v>
      </c>
      <c r="Q240">
        <v>172.82</v>
      </c>
      <c r="R240">
        <v>0.05</v>
      </c>
      <c r="S240">
        <f>IF(ISNUMBER(SEARCH("%",R240)), VALUE(SUBSTITUTE(R240,"%",""))/100,IF(ISNUMBER(R240), R240, 0))</f>
        <v>0.05</v>
      </c>
      <c r="T240" t="str">
        <f>IF(S240&lt;0,"Negative discount (invalid)",IF(S240&gt;0.5,"Discount above allowed range (invalid)",IF(AND(R240="",S240=0),"Missing discount set to 0","OK")))</f>
        <v>OK</v>
      </c>
      <c r="U240">
        <v>985.07</v>
      </c>
      <c r="V240">
        <v>844.48</v>
      </c>
      <c r="W240">
        <v>140.59</v>
      </c>
      <c r="X240" t="s">
        <v>32</v>
      </c>
      <c r="Y240" t="s">
        <v>33</v>
      </c>
      <c r="Z240">
        <f>IF(T240="OK",P240*Q240*(1-S240),"invalid")</f>
        <v>985.07400000000007</v>
      </c>
      <c r="AA240">
        <f>IF(Z240="N/A","N/A",Z240-V240)</f>
        <v>140.59400000000005</v>
      </c>
      <c r="AB240" s="8">
        <f>IF(Z240&lt;&gt;"N/A", AA240/Z240, "N/A")</f>
        <v>0.14272430294576857</v>
      </c>
      <c r="AC240">
        <f>MONTH(B240)</f>
        <v>8</v>
      </c>
      <c r="AD240">
        <f>YEAR(B240)</f>
        <v>2024</v>
      </c>
      <c r="AE240" s="10">
        <f t="shared" si="3"/>
        <v>4.0000000000190994E-3</v>
      </c>
      <c r="AF240" t="s">
        <v>2804</v>
      </c>
      <c r="AG240" t="s">
        <v>2811</v>
      </c>
    </row>
    <row r="241" spans="1:33">
      <c r="A241" t="s">
        <v>1403</v>
      </c>
      <c r="B241" s="4">
        <v>45401</v>
      </c>
      <c r="C241" s="4">
        <v>45402</v>
      </c>
      <c r="D241">
        <f>_xlfn.DAYS(C241,B241)</f>
        <v>1</v>
      </c>
      <c r="E241" t="s">
        <v>2804</v>
      </c>
      <c r="F241" t="s">
        <v>1404</v>
      </c>
      <c r="G241" t="s">
        <v>114</v>
      </c>
      <c r="H241" t="s">
        <v>90</v>
      </c>
      <c r="I241" t="s">
        <v>54</v>
      </c>
      <c r="J241" t="s">
        <v>185</v>
      </c>
      <c r="K241" t="s">
        <v>186</v>
      </c>
      <c r="L241" t="s">
        <v>28</v>
      </c>
      <c r="M241" t="s">
        <v>48</v>
      </c>
      <c r="N241" t="s">
        <v>1405</v>
      </c>
      <c r="O241" t="s">
        <v>31</v>
      </c>
      <c r="P241">
        <v>4</v>
      </c>
      <c r="Q241">
        <v>1540.22</v>
      </c>
      <c r="R241">
        <v>0</v>
      </c>
      <c r="S241">
        <f>IF(ISNUMBER(SEARCH("%",R241)), VALUE(SUBSTITUTE(R241,"%",""))/100,IF(ISNUMBER(R241), R241, 0))</f>
        <v>0</v>
      </c>
      <c r="T241" t="str">
        <f>IF(S241&lt;0,"Negative discount (invalid)",IF(S241&gt;0.5,"Discount above allowed range (invalid)",IF(AND(R241="",S241=0),"Missing discount set to 0","OK")))</f>
        <v>OK</v>
      </c>
      <c r="U241">
        <v>6160.88</v>
      </c>
      <c r="V241">
        <v>4938.7</v>
      </c>
      <c r="W241">
        <v>1222.18</v>
      </c>
      <c r="X241" t="s">
        <v>102</v>
      </c>
      <c r="Y241" t="s">
        <v>103</v>
      </c>
      <c r="Z241">
        <f>IF(T241="OK",P241*Q241*(1-S241),"invalid")</f>
        <v>6160.88</v>
      </c>
      <c r="AA241">
        <f>IF(Z241="N/A","N/A",Z241-V241)</f>
        <v>1222.1800000000003</v>
      </c>
      <c r="AB241" s="8">
        <f>IF(Z241&lt;&gt;"N/A", AA241/Z241, "N/A")</f>
        <v>0.19837750451234243</v>
      </c>
      <c r="AC241">
        <f>MONTH(B241)</f>
        <v>4</v>
      </c>
      <c r="AD241">
        <f>YEAR(B241)</f>
        <v>2024</v>
      </c>
      <c r="AE241" s="10">
        <f t="shared" si="3"/>
        <v>0</v>
      </c>
      <c r="AF241" t="s">
        <v>2804</v>
      </c>
      <c r="AG241" t="s">
        <v>2811</v>
      </c>
    </row>
    <row r="242" spans="1:33">
      <c r="A242" t="s">
        <v>1412</v>
      </c>
      <c r="B242" s="4">
        <v>45459</v>
      </c>
      <c r="C242" s="4">
        <v>45464</v>
      </c>
      <c r="D242">
        <f>_xlfn.DAYS(C242,B242)</f>
        <v>5</v>
      </c>
      <c r="E242" t="s">
        <v>2804</v>
      </c>
      <c r="F242" t="s">
        <v>1413</v>
      </c>
      <c r="G242" t="s">
        <v>79</v>
      </c>
      <c r="H242" t="s">
        <v>24</v>
      </c>
      <c r="I242" t="s">
        <v>54</v>
      </c>
      <c r="J242" t="s">
        <v>185</v>
      </c>
      <c r="K242" t="s">
        <v>186</v>
      </c>
      <c r="L242" t="s">
        <v>41</v>
      </c>
      <c r="M242" t="s">
        <v>57</v>
      </c>
      <c r="N242" t="s">
        <v>1414</v>
      </c>
      <c r="O242" t="s">
        <v>44</v>
      </c>
      <c r="P242">
        <v>6</v>
      </c>
      <c r="Q242">
        <v>1156.78</v>
      </c>
      <c r="R242">
        <v>0.05</v>
      </c>
      <c r="S242">
        <f>IF(ISNUMBER(SEARCH("%",R242)), VALUE(SUBSTITUTE(R242,"%",""))/100,IF(ISNUMBER(R242), R242, 0))</f>
        <v>0.05</v>
      </c>
      <c r="T242" t="str">
        <f>IF(S242&lt;0,"Negative discount (invalid)",IF(S242&gt;0.5,"Discount above allowed range (invalid)",IF(AND(R242="",S242=0),"Missing discount set to 0","OK")))</f>
        <v>OK</v>
      </c>
      <c r="U242">
        <v>6593.65</v>
      </c>
      <c r="V242">
        <v>4359.3900000000003</v>
      </c>
      <c r="W242">
        <v>2234.2600000000002</v>
      </c>
      <c r="X242" t="s">
        <v>32</v>
      </c>
      <c r="Y242" t="s">
        <v>103</v>
      </c>
      <c r="Z242">
        <f>IF(T242="OK",P242*Q242*(1-S242),"invalid")</f>
        <v>6593.6459999999997</v>
      </c>
      <c r="AA242">
        <f>IF(Z242="N/A","N/A",Z242-V242)</f>
        <v>2234.2559999999994</v>
      </c>
      <c r="AB242" s="8">
        <f>IF(Z242&lt;&gt;"N/A", AA242/Z242, "N/A")</f>
        <v>0.33884985636171544</v>
      </c>
      <c r="AC242">
        <f>MONTH(B242)</f>
        <v>6</v>
      </c>
      <c r="AD242">
        <f>YEAR(B242)</f>
        <v>2024</v>
      </c>
      <c r="AE242" s="10">
        <f t="shared" si="3"/>
        <v>3.9999999999054126E-3</v>
      </c>
      <c r="AF242" t="s">
        <v>2804</v>
      </c>
      <c r="AG242" t="s">
        <v>2811</v>
      </c>
    </row>
    <row r="243" spans="1:33">
      <c r="A243" t="s">
        <v>1415</v>
      </c>
      <c r="B243" s="4">
        <v>45337</v>
      </c>
      <c r="C243" s="4">
        <v>45340</v>
      </c>
      <c r="D243">
        <f>_xlfn.DAYS(C243,B243)</f>
        <v>3</v>
      </c>
      <c r="E243" t="s">
        <v>2804</v>
      </c>
      <c r="F243" t="s">
        <v>1416</v>
      </c>
      <c r="G243" t="s">
        <v>89</v>
      </c>
      <c r="H243" t="s">
        <v>37</v>
      </c>
      <c r="I243" t="s">
        <v>54</v>
      </c>
      <c r="J243" t="s">
        <v>185</v>
      </c>
      <c r="K243" t="s">
        <v>186</v>
      </c>
      <c r="L243" t="s">
        <v>74</v>
      </c>
      <c r="M243" t="s">
        <v>75</v>
      </c>
      <c r="N243" t="s">
        <v>1417</v>
      </c>
      <c r="O243" t="s">
        <v>44</v>
      </c>
      <c r="P243">
        <v>8</v>
      </c>
      <c r="Q243">
        <v>379.82</v>
      </c>
      <c r="R243">
        <v>0.05</v>
      </c>
      <c r="S243">
        <f>IF(ISNUMBER(SEARCH("%",R243)), VALUE(SUBSTITUTE(R243,"%",""))/100,IF(ISNUMBER(R243), R243, 0))</f>
        <v>0.05</v>
      </c>
      <c r="T243" t="str">
        <f>IF(S243&lt;0,"Negative discount (invalid)",IF(S243&gt;0.5,"Discount above allowed range (invalid)",IF(AND(R243="",S243=0),"Missing discount set to 0","OK")))</f>
        <v>OK</v>
      </c>
      <c r="U243">
        <v>2886.63</v>
      </c>
      <c r="V243">
        <v>1588.23</v>
      </c>
      <c r="W243">
        <v>1298.4000000000001</v>
      </c>
      <c r="X243" t="s">
        <v>155</v>
      </c>
      <c r="Y243" t="s">
        <v>103</v>
      </c>
      <c r="Z243">
        <f>IF(T243="OK",P243*Q243*(1-S243),"invalid")</f>
        <v>2886.6319999999996</v>
      </c>
      <c r="AA243">
        <f>IF(Z243="N/A","N/A",Z243-V243)</f>
        <v>1298.4019999999996</v>
      </c>
      <c r="AB243" s="8">
        <f>IF(Z243&lt;&gt;"N/A", AA243/Z243, "N/A")</f>
        <v>0.44979824238073984</v>
      </c>
      <c r="AC243">
        <f>MONTH(B243)</f>
        <v>2</v>
      </c>
      <c r="AD243">
        <f>YEAR(B243)</f>
        <v>2024</v>
      </c>
      <c r="AE243" s="10">
        <f t="shared" si="3"/>
        <v>1.9999999994979589E-3</v>
      </c>
      <c r="AF243" t="s">
        <v>2804</v>
      </c>
      <c r="AG243" t="s">
        <v>2811</v>
      </c>
    </row>
    <row r="244" spans="1:33">
      <c r="A244" t="s">
        <v>1424</v>
      </c>
      <c r="B244" s="4">
        <v>45384</v>
      </c>
      <c r="C244" s="4">
        <v>45390</v>
      </c>
      <c r="D244">
        <f>_xlfn.DAYS(C244,B244)</f>
        <v>6</v>
      </c>
      <c r="E244" t="s">
        <v>2804</v>
      </c>
      <c r="F244" t="s">
        <v>270</v>
      </c>
      <c r="G244" t="s">
        <v>71</v>
      </c>
      <c r="H244" t="s">
        <v>90</v>
      </c>
      <c r="I244" t="s">
        <v>38</v>
      </c>
      <c r="J244" t="s">
        <v>39</v>
      </c>
      <c r="K244" t="s">
        <v>40</v>
      </c>
      <c r="L244" t="s">
        <v>74</v>
      </c>
      <c r="M244" t="s">
        <v>274</v>
      </c>
      <c r="N244" t="s">
        <v>1425</v>
      </c>
      <c r="O244" t="s">
        <v>31</v>
      </c>
      <c r="P244">
        <v>6</v>
      </c>
      <c r="Q244">
        <v>3722.84</v>
      </c>
      <c r="R244">
        <v>0.2</v>
      </c>
      <c r="S244">
        <f>IF(ISNUMBER(SEARCH("%",R244)), VALUE(SUBSTITUTE(R244,"%",""))/100,IF(ISNUMBER(R244), R244, 0))</f>
        <v>0.2</v>
      </c>
      <c r="T244" t="str">
        <f>IF(S244&lt;0,"Negative discount (invalid)",IF(S244&gt;0.5,"Discount above allowed range (invalid)",IF(AND(R244="",S244=0),"Missing discount set to 0","OK")))</f>
        <v>OK</v>
      </c>
      <c r="U244">
        <v>17869.63</v>
      </c>
      <c r="V244">
        <v>12163.8</v>
      </c>
      <c r="W244">
        <v>5705.83</v>
      </c>
      <c r="X244" t="s">
        <v>32</v>
      </c>
      <c r="Y244" t="s">
        <v>33</v>
      </c>
      <c r="Z244">
        <f>IF(T244="OK",P244*Q244*(1-S244),"invalid")</f>
        <v>17869.632000000001</v>
      </c>
      <c r="AA244">
        <f>IF(Z244="N/A","N/A",Z244-V244)</f>
        <v>5705.8320000000022</v>
      </c>
      <c r="AB244" s="8">
        <f>IF(Z244&lt;&gt;"N/A", AA244/Z244, "N/A")</f>
        <v>0.31930327384469931</v>
      </c>
      <c r="AC244">
        <f>MONTH(B244)</f>
        <v>4</v>
      </c>
      <c r="AD244">
        <f>YEAR(B244)</f>
        <v>2024</v>
      </c>
      <c r="AE244" s="10">
        <f t="shared" si="3"/>
        <v>2.0000000004074536E-3</v>
      </c>
      <c r="AF244" t="s">
        <v>2804</v>
      </c>
      <c r="AG244" t="s">
        <v>2811</v>
      </c>
    </row>
    <row r="245" spans="1:33">
      <c r="A245" t="s">
        <v>1426</v>
      </c>
      <c r="B245" s="4">
        <v>45568</v>
      </c>
      <c r="C245" s="4">
        <v>45568</v>
      </c>
      <c r="D245">
        <f>_xlfn.DAYS(C245,B245)</f>
        <v>0</v>
      </c>
      <c r="E245" t="s">
        <v>2804</v>
      </c>
      <c r="F245" t="s">
        <v>1427</v>
      </c>
      <c r="G245" t="s">
        <v>23</v>
      </c>
      <c r="H245" t="s">
        <v>24</v>
      </c>
      <c r="I245" t="s">
        <v>38</v>
      </c>
      <c r="J245" t="s">
        <v>145</v>
      </c>
      <c r="K245" t="s">
        <v>146</v>
      </c>
      <c r="L245" t="s">
        <v>41</v>
      </c>
      <c r="M245" t="s">
        <v>158</v>
      </c>
      <c r="N245" t="s">
        <v>1428</v>
      </c>
      <c r="O245" t="s">
        <v>59</v>
      </c>
      <c r="P245">
        <v>6</v>
      </c>
      <c r="Q245">
        <v>4217.49</v>
      </c>
      <c r="R245">
        <v>0</v>
      </c>
      <c r="S245">
        <f>IF(ISNUMBER(SEARCH("%",R245)), VALUE(SUBSTITUTE(R245,"%",""))/100,IF(ISNUMBER(R245), R245, 0))</f>
        <v>0</v>
      </c>
      <c r="T245" t="str">
        <f>IF(S245&lt;0,"Negative discount (invalid)",IF(S245&gt;0.5,"Discount above allowed range (invalid)",IF(AND(R245="",S245=0),"Missing discount set to 0","OK")))</f>
        <v>OK</v>
      </c>
      <c r="U245">
        <v>25304.94</v>
      </c>
      <c r="V245">
        <v>20771.95</v>
      </c>
      <c r="W245">
        <v>4532.99</v>
      </c>
      <c r="X245" t="s">
        <v>32</v>
      </c>
      <c r="Y245" t="s">
        <v>68</v>
      </c>
      <c r="Z245">
        <f>IF(T245="OK",P245*Q245*(1-S245),"invalid")</f>
        <v>25304.94</v>
      </c>
      <c r="AA245">
        <f>IF(Z245="N/A","N/A",Z245-V245)</f>
        <v>4532.989999999998</v>
      </c>
      <c r="AB245" s="8">
        <f>IF(Z245&lt;&gt;"N/A", AA245/Z245, "N/A")</f>
        <v>0.17913458795002077</v>
      </c>
      <c r="AC245">
        <f>MONTH(B245)</f>
        <v>10</v>
      </c>
      <c r="AD245">
        <f>YEAR(B245)</f>
        <v>2024</v>
      </c>
      <c r="AE245" s="10">
        <f t="shared" si="3"/>
        <v>0</v>
      </c>
      <c r="AF245" t="s">
        <v>2804</v>
      </c>
      <c r="AG245" t="s">
        <v>2811</v>
      </c>
    </row>
    <row r="246" spans="1:33">
      <c r="A246" t="s">
        <v>1432</v>
      </c>
      <c r="B246" s="4">
        <v>45386</v>
      </c>
      <c r="C246" s="4">
        <v>45389</v>
      </c>
      <c r="D246">
        <f>_xlfn.DAYS(C246,B246)</f>
        <v>3</v>
      </c>
      <c r="E246" t="s">
        <v>2804</v>
      </c>
      <c r="F246" t="s">
        <v>1433</v>
      </c>
      <c r="G246" t="s">
        <v>141</v>
      </c>
      <c r="H246" t="s">
        <v>95</v>
      </c>
      <c r="I246" t="s">
        <v>38</v>
      </c>
      <c r="J246" t="s">
        <v>39</v>
      </c>
      <c r="K246" t="s">
        <v>40</v>
      </c>
      <c r="L246" t="s">
        <v>41</v>
      </c>
      <c r="M246" t="s">
        <v>57</v>
      </c>
      <c r="N246" t="s">
        <v>1434</v>
      </c>
      <c r="O246" t="s">
        <v>50</v>
      </c>
      <c r="P246">
        <v>1</v>
      </c>
      <c r="Q246">
        <v>3683.75</v>
      </c>
      <c r="R246">
        <v>0.1</v>
      </c>
      <c r="S246">
        <f>IF(ISNUMBER(SEARCH("%",R246)), VALUE(SUBSTITUTE(R246,"%",""))/100,IF(ISNUMBER(R246), R246, 0))</f>
        <v>0.1</v>
      </c>
      <c r="T246" t="str">
        <f>IF(S246&lt;0,"Negative discount (invalid)",IF(S246&gt;0.5,"Discount above allowed range (invalid)",IF(AND(R246="",S246=0),"Missing discount set to 0","OK")))</f>
        <v>OK</v>
      </c>
      <c r="U246">
        <v>3315.38</v>
      </c>
      <c r="V246">
        <v>2347.6799999999998</v>
      </c>
      <c r="W246">
        <v>967.7</v>
      </c>
      <c r="X246" t="s">
        <v>32</v>
      </c>
      <c r="Y246" t="s">
        <v>33</v>
      </c>
      <c r="Z246">
        <f>IF(T246="OK",P246*Q246*(1-S246),"invalid")</f>
        <v>3315.375</v>
      </c>
      <c r="AA246">
        <f>IF(Z246="N/A","N/A",Z246-V246)</f>
        <v>967.69500000000016</v>
      </c>
      <c r="AB246" s="8">
        <f>IF(Z246&lt;&gt;"N/A", AA246/Z246, "N/A")</f>
        <v>0.29188100893564084</v>
      </c>
      <c r="AC246">
        <f>MONTH(B246)</f>
        <v>4</v>
      </c>
      <c r="AD246">
        <f>YEAR(B246)</f>
        <v>2024</v>
      </c>
      <c r="AE246" s="10">
        <f t="shared" si="3"/>
        <v>5.0000000001091394E-3</v>
      </c>
      <c r="AF246" t="s">
        <v>2804</v>
      </c>
      <c r="AG246" t="s">
        <v>2811</v>
      </c>
    </row>
    <row r="247" spans="1:33">
      <c r="A247" t="s">
        <v>1438</v>
      </c>
      <c r="B247" s="4">
        <v>45421</v>
      </c>
      <c r="C247" s="4">
        <v>45417</v>
      </c>
      <c r="D247">
        <f>_xlfn.DAYS(C247,B247)</f>
        <v>-4</v>
      </c>
      <c r="E247" t="str">
        <f>IF(B247="INVALID","Missing/Invalid order_date", IF(C247="INVALID","Missing/Invalid ship_date",IF(AND(B247&lt;&gt;"",C247&lt;&gt;"",C247&lt;B247),"Ship date before order date","")))</f>
        <v>Ship date before order date</v>
      </c>
      <c r="F247" t="s">
        <v>1439</v>
      </c>
      <c r="G247" t="s">
        <v>53</v>
      </c>
      <c r="H247" t="s">
        <v>24</v>
      </c>
      <c r="I247" t="s">
        <v>38</v>
      </c>
      <c r="J247" t="s">
        <v>166</v>
      </c>
      <c r="K247" t="s">
        <v>167</v>
      </c>
      <c r="L247" t="s">
        <v>41</v>
      </c>
      <c r="M247" t="s">
        <v>158</v>
      </c>
      <c r="N247" t="s">
        <v>1440</v>
      </c>
      <c r="O247" t="s">
        <v>44</v>
      </c>
      <c r="P247">
        <v>2</v>
      </c>
      <c r="Q247">
        <v>2111.23</v>
      </c>
      <c r="R247">
        <v>0.2</v>
      </c>
      <c r="S247">
        <f>IF(ISNUMBER(SEARCH("%",R247)), VALUE(SUBSTITUTE(R247,"%",""))/100,IF(ISNUMBER(R247), R247, 0))</f>
        <v>0.2</v>
      </c>
      <c r="T247" t="str">
        <f>IF(S247&lt;0,"Negative discount (invalid)",IF(S247&gt;0.5,"Discount above allowed range (invalid)",IF(AND(R247="",S247=0),"Missing discount set to 0","OK")))</f>
        <v>OK</v>
      </c>
      <c r="U247">
        <v>3377.97</v>
      </c>
      <c r="V247">
        <v>2496.29</v>
      </c>
      <c r="W247">
        <v>881.68</v>
      </c>
      <c r="X247" t="s">
        <v>32</v>
      </c>
      <c r="Y247" t="s">
        <v>33</v>
      </c>
      <c r="Z247">
        <f>IF(T247="OK",P247*Q247*(1-S247),"invalid")</f>
        <v>3377.9680000000003</v>
      </c>
      <c r="AA247">
        <f>IF(Z247="N/A","N/A",Z247-V247)</f>
        <v>881.67800000000034</v>
      </c>
      <c r="AB247" s="8">
        <f>IF(Z247&lt;&gt;"N/A", AA247/Z247, "N/A")</f>
        <v>0.26100839321154029</v>
      </c>
      <c r="AC247">
        <f>MONTH(B247)</f>
        <v>5</v>
      </c>
      <c r="AD247">
        <f>YEAR(B247)</f>
        <v>2024</v>
      </c>
      <c r="AE247" s="10">
        <f t="shared" si="3"/>
        <v>1.9999999994979589E-3</v>
      </c>
      <c r="AF247" t="s">
        <v>2806</v>
      </c>
      <c r="AG247" t="s">
        <v>2789</v>
      </c>
    </row>
    <row r="248" spans="1:33">
      <c r="A248" t="s">
        <v>1447</v>
      </c>
      <c r="B248" s="4">
        <v>45306</v>
      </c>
      <c r="C248" s="4">
        <v>45309</v>
      </c>
      <c r="D248">
        <f>_xlfn.DAYS(C248,B248)</f>
        <v>3</v>
      </c>
      <c r="E248" t="s">
        <v>2804</v>
      </c>
      <c r="F248" t="s">
        <v>1448</v>
      </c>
      <c r="G248" t="s">
        <v>36</v>
      </c>
      <c r="H248" t="s">
        <v>37</v>
      </c>
      <c r="I248" t="s">
        <v>54</v>
      </c>
      <c r="J248" t="s">
        <v>84</v>
      </c>
      <c r="K248" t="s">
        <v>85</v>
      </c>
      <c r="L248" t="s">
        <v>41</v>
      </c>
      <c r="M248" t="s">
        <v>66</v>
      </c>
      <c r="N248" t="s">
        <v>1449</v>
      </c>
      <c r="O248" t="s">
        <v>50</v>
      </c>
      <c r="P248">
        <v>2</v>
      </c>
      <c r="Q248">
        <v>201.21</v>
      </c>
      <c r="R248">
        <v>0.15</v>
      </c>
      <c r="S248">
        <f>IF(ISNUMBER(SEARCH("%",R248)), VALUE(SUBSTITUTE(R248,"%",""))/100,IF(ISNUMBER(R248), R248, 0))</f>
        <v>0.15</v>
      </c>
      <c r="T248" t="str">
        <f>IF(S248&lt;0,"Negative discount (invalid)",IF(S248&gt;0.5,"Discount above allowed range (invalid)",IF(AND(R248="",S248=0),"Missing discount set to 0","OK")))</f>
        <v>OK</v>
      </c>
      <c r="U248">
        <v>342.06</v>
      </c>
      <c r="V248">
        <v>244.57</v>
      </c>
      <c r="W248">
        <v>97.49</v>
      </c>
      <c r="X248" t="s">
        <v>32</v>
      </c>
      <c r="Y248" t="s">
        <v>33</v>
      </c>
      <c r="Z248">
        <f>IF(T248="OK",P248*Q248*(1-S248),"invalid")</f>
        <v>342.05700000000002</v>
      </c>
      <c r="AA248">
        <f>IF(Z248="N/A","N/A",Z248-V248)</f>
        <v>97.487000000000023</v>
      </c>
      <c r="AB248" s="8">
        <f>IF(Z248&lt;&gt;"N/A", AA248/Z248, "N/A")</f>
        <v>0.28500220723446684</v>
      </c>
      <c r="AC248">
        <f>MONTH(B248)</f>
        <v>1</v>
      </c>
      <c r="AD248">
        <f>YEAR(B248)</f>
        <v>2024</v>
      </c>
      <c r="AE248" s="10">
        <f t="shared" si="3"/>
        <v>2.9999999999859028E-3</v>
      </c>
      <c r="AF248" t="s">
        <v>2804</v>
      </c>
      <c r="AG248" t="s">
        <v>2811</v>
      </c>
    </row>
    <row r="249" spans="1:33">
      <c r="A249" t="s">
        <v>1450</v>
      </c>
      <c r="B249" s="4">
        <v>45449</v>
      </c>
      <c r="C249" s="4">
        <v>45456</v>
      </c>
      <c r="D249">
        <f>_xlfn.DAYS(C249,B249)</f>
        <v>7</v>
      </c>
      <c r="E249" t="s">
        <v>2804</v>
      </c>
      <c r="F249" t="s">
        <v>1343</v>
      </c>
      <c r="G249" t="s">
        <v>89</v>
      </c>
      <c r="H249" t="s">
        <v>90</v>
      </c>
      <c r="I249" t="s">
        <v>38</v>
      </c>
      <c r="J249" t="s">
        <v>166</v>
      </c>
      <c r="K249" t="s">
        <v>167</v>
      </c>
      <c r="L249" t="s">
        <v>74</v>
      </c>
      <c r="M249" t="s">
        <v>274</v>
      </c>
      <c r="N249" t="s">
        <v>1451</v>
      </c>
      <c r="O249" t="s">
        <v>31</v>
      </c>
      <c r="P249">
        <v>6</v>
      </c>
      <c r="Q249">
        <v>3270.36</v>
      </c>
      <c r="R249">
        <v>0</v>
      </c>
      <c r="S249">
        <f>IF(ISNUMBER(SEARCH("%",R249)), VALUE(SUBSTITUTE(R249,"%",""))/100,IF(ISNUMBER(R249), R249, 0))</f>
        <v>0</v>
      </c>
      <c r="T249" t="str">
        <f>IF(S249&lt;0,"Negative discount (invalid)",IF(S249&gt;0.5,"Discount above allowed range (invalid)",IF(AND(R249="",S249=0),"Missing discount set to 0","OK")))</f>
        <v>OK</v>
      </c>
      <c r="U249">
        <v>19622.16</v>
      </c>
      <c r="V249">
        <v>14271.27</v>
      </c>
      <c r="W249">
        <v>5350.89</v>
      </c>
      <c r="X249" t="s">
        <v>32</v>
      </c>
      <c r="Y249" t="s">
        <v>33</v>
      </c>
      <c r="Z249">
        <f>IF(T249="OK",P249*Q249*(1-S249),"invalid")</f>
        <v>19622.16</v>
      </c>
      <c r="AA249">
        <f>IF(Z249="N/A","N/A",Z249-V249)</f>
        <v>5350.8899999999994</v>
      </c>
      <c r="AB249" s="8">
        <f>IF(Z249&lt;&gt;"N/A", AA249/Z249, "N/A")</f>
        <v>0.27269627808559299</v>
      </c>
      <c r="AC249">
        <f>MONTH(B249)</f>
        <v>6</v>
      </c>
      <c r="AD249">
        <f>YEAR(B249)</f>
        <v>2024</v>
      </c>
      <c r="AE249" s="10">
        <f t="shared" si="3"/>
        <v>0</v>
      </c>
      <c r="AF249" t="s">
        <v>2804</v>
      </c>
      <c r="AG249" t="s">
        <v>2811</v>
      </c>
    </row>
    <row r="250" spans="1:33">
      <c r="A250" t="s">
        <v>1455</v>
      </c>
      <c r="B250" s="4">
        <v>45375</v>
      </c>
      <c r="C250" s="4">
        <v>45377</v>
      </c>
      <c r="D250">
        <f>_xlfn.DAYS(C250,B250)</f>
        <v>2</v>
      </c>
      <c r="E250" t="s">
        <v>2804</v>
      </c>
      <c r="F250" t="s">
        <v>1456</v>
      </c>
      <c r="G250" t="s">
        <v>141</v>
      </c>
      <c r="H250" t="s">
        <v>37</v>
      </c>
      <c r="I250" t="s">
        <v>25</v>
      </c>
      <c r="J250" t="s">
        <v>236</v>
      </c>
      <c r="K250" t="s">
        <v>237</v>
      </c>
      <c r="L250" t="s">
        <v>28</v>
      </c>
      <c r="M250" t="s">
        <v>29</v>
      </c>
      <c r="N250" t="s">
        <v>1457</v>
      </c>
      <c r="O250" t="s">
        <v>31</v>
      </c>
      <c r="P250">
        <v>8</v>
      </c>
      <c r="Q250">
        <v>1917.64</v>
      </c>
      <c r="R250">
        <v>0.15</v>
      </c>
      <c r="S250">
        <f>IF(ISNUMBER(SEARCH("%",R250)), VALUE(SUBSTITUTE(R250,"%",""))/100,IF(ISNUMBER(R250), R250, 0))</f>
        <v>0.15</v>
      </c>
      <c r="T250" t="str">
        <f>IF(S250&lt;0,"Negative discount (invalid)",IF(S250&gt;0.5,"Discount above allowed range (invalid)",IF(AND(R250="",S250=0),"Missing discount set to 0","OK")))</f>
        <v>OK</v>
      </c>
      <c r="U250">
        <v>13039.95</v>
      </c>
      <c r="V250">
        <v>11127.82</v>
      </c>
      <c r="W250">
        <v>1912.13</v>
      </c>
      <c r="X250" t="s">
        <v>32</v>
      </c>
      <c r="Y250" t="s">
        <v>68</v>
      </c>
      <c r="Z250">
        <f>IF(T250="OK",P250*Q250*(1-S250),"invalid")</f>
        <v>13039.952000000001</v>
      </c>
      <c r="AA250">
        <f>IF(Z250="N/A","N/A",Z250-V250)</f>
        <v>1912.1320000000014</v>
      </c>
      <c r="AB250" s="8">
        <f>IF(Z250&lt;&gt;"N/A", AA250/Z250, "N/A")</f>
        <v>0.1466364293365498</v>
      </c>
      <c r="AC250">
        <f>MONTH(B250)</f>
        <v>3</v>
      </c>
      <c r="AD250">
        <f>YEAR(B250)</f>
        <v>2024</v>
      </c>
      <c r="AE250" s="10">
        <f t="shared" si="3"/>
        <v>2.0000000004074536E-3</v>
      </c>
      <c r="AF250" t="s">
        <v>2804</v>
      </c>
      <c r="AG250" t="s">
        <v>2811</v>
      </c>
    </row>
    <row r="251" spans="1:33">
      <c r="A251" t="s">
        <v>1458</v>
      </c>
      <c r="B251" s="4">
        <v>45422</v>
      </c>
      <c r="C251" s="4">
        <v>45428</v>
      </c>
      <c r="D251">
        <f>_xlfn.DAYS(C251,B251)</f>
        <v>6</v>
      </c>
      <c r="E251" t="s">
        <v>2804</v>
      </c>
      <c r="F251" t="s">
        <v>1459</v>
      </c>
      <c r="G251" t="s">
        <v>162</v>
      </c>
      <c r="H251" t="s">
        <v>95</v>
      </c>
      <c r="I251" t="s">
        <v>38</v>
      </c>
      <c r="J251" t="s">
        <v>228</v>
      </c>
      <c r="K251" t="s">
        <v>229</v>
      </c>
      <c r="L251" t="s">
        <v>74</v>
      </c>
      <c r="M251" t="s">
        <v>75</v>
      </c>
      <c r="N251" t="s">
        <v>1460</v>
      </c>
      <c r="O251" t="s">
        <v>31</v>
      </c>
      <c r="P251">
        <v>6</v>
      </c>
      <c r="Q251">
        <v>2013.33</v>
      </c>
      <c r="R251">
        <v>0.2</v>
      </c>
      <c r="S251">
        <f>IF(ISNUMBER(SEARCH("%",R251)), VALUE(SUBSTITUTE(R251,"%",""))/100,IF(ISNUMBER(R251), R251, 0))</f>
        <v>0.2</v>
      </c>
      <c r="T251" t="str">
        <f>IF(S251&lt;0,"Negative discount (invalid)",IF(S251&gt;0.5,"Discount above allowed range (invalid)",IF(AND(R251="",S251=0),"Missing discount set to 0","OK")))</f>
        <v>OK</v>
      </c>
      <c r="U251">
        <v>9663.98</v>
      </c>
      <c r="V251">
        <v>5628.93</v>
      </c>
      <c r="W251">
        <v>4035.05</v>
      </c>
      <c r="X251" t="s">
        <v>32</v>
      </c>
      <c r="Y251" t="s">
        <v>33</v>
      </c>
      <c r="Z251">
        <f>IF(T251="OK",P251*Q251*(1-S251),"invalid")</f>
        <v>9663.9840000000004</v>
      </c>
      <c r="AA251">
        <f>IF(Z251="N/A","N/A",Z251-V251)</f>
        <v>4035.0540000000001</v>
      </c>
      <c r="AB251" s="8">
        <f>IF(Z251&lt;&gt;"N/A", AA251/Z251, "N/A")</f>
        <v>0.41753525254180884</v>
      </c>
      <c r="AC251">
        <f>MONTH(B251)</f>
        <v>5</v>
      </c>
      <c r="AD251">
        <f>YEAR(B251)</f>
        <v>2024</v>
      </c>
      <c r="AE251" s="10">
        <f t="shared" si="3"/>
        <v>4.0000000008149073E-3</v>
      </c>
      <c r="AF251" t="s">
        <v>2804</v>
      </c>
      <c r="AG251" t="s">
        <v>2811</v>
      </c>
    </row>
    <row r="252" spans="1:33">
      <c r="A252" t="s">
        <v>1467</v>
      </c>
      <c r="B252" s="4">
        <v>45491</v>
      </c>
      <c r="C252" s="4">
        <v>45495</v>
      </c>
      <c r="D252">
        <f>_xlfn.DAYS(C252,B252)</f>
        <v>4</v>
      </c>
      <c r="E252" t="s">
        <v>2804</v>
      </c>
      <c r="F252" t="s">
        <v>1468</v>
      </c>
      <c r="G252" t="s">
        <v>79</v>
      </c>
      <c r="H252" t="s">
        <v>37</v>
      </c>
      <c r="I252" t="s">
        <v>54</v>
      </c>
      <c r="J252" t="s">
        <v>55</v>
      </c>
      <c r="K252" t="s">
        <v>56</v>
      </c>
      <c r="L252" t="s">
        <v>28</v>
      </c>
      <c r="M252" t="s">
        <v>48</v>
      </c>
      <c r="N252" t="s">
        <v>1469</v>
      </c>
      <c r="O252" t="s">
        <v>59</v>
      </c>
      <c r="P252">
        <v>4</v>
      </c>
      <c r="Q252">
        <v>808.77</v>
      </c>
      <c r="R252">
        <v>0</v>
      </c>
      <c r="S252">
        <f>IF(ISNUMBER(SEARCH("%",R252)), VALUE(SUBSTITUTE(R252,"%",""))/100,IF(ISNUMBER(R252), R252, 0))</f>
        <v>0</v>
      </c>
      <c r="T252" t="str">
        <f>IF(S252&lt;0,"Negative discount (invalid)",IF(S252&gt;0.5,"Discount above allowed range (invalid)",IF(AND(R252="",S252=0),"Missing discount set to 0","OK")))</f>
        <v>OK</v>
      </c>
      <c r="U252">
        <v>3235.08</v>
      </c>
      <c r="V252">
        <v>1848.6</v>
      </c>
      <c r="W252">
        <v>1386.48</v>
      </c>
      <c r="X252" t="s">
        <v>32</v>
      </c>
      <c r="Y252" t="s">
        <v>33</v>
      </c>
      <c r="Z252">
        <f>IF(T252="OK",P252*Q252*(1-S252),"invalid")</f>
        <v>3235.08</v>
      </c>
      <c r="AA252">
        <f>IF(Z252="N/A","N/A",Z252-V252)</f>
        <v>1386.48</v>
      </c>
      <c r="AB252" s="8">
        <f>IF(Z252&lt;&gt;"N/A", AA252/Z252, "N/A")</f>
        <v>0.42857672762342819</v>
      </c>
      <c r="AC252">
        <f>MONTH(B252)</f>
        <v>7</v>
      </c>
      <c r="AD252">
        <f>YEAR(B252)</f>
        <v>2024</v>
      </c>
      <c r="AE252" s="10">
        <f t="shared" si="3"/>
        <v>0</v>
      </c>
      <c r="AF252" t="s">
        <v>2804</v>
      </c>
      <c r="AG252" t="s">
        <v>2811</v>
      </c>
    </row>
    <row r="253" spans="1:33">
      <c r="A253" t="s">
        <v>1470</v>
      </c>
      <c r="B253" s="4">
        <v>45342</v>
      </c>
      <c r="C253" s="4">
        <v>45342</v>
      </c>
      <c r="D253">
        <f>_xlfn.DAYS(C253,B253)</f>
        <v>0</v>
      </c>
      <c r="E253" t="s">
        <v>2804</v>
      </c>
      <c r="F253" t="s">
        <v>1471</v>
      </c>
      <c r="G253" t="s">
        <v>79</v>
      </c>
      <c r="H253" t="s">
        <v>90</v>
      </c>
      <c r="I253" t="s">
        <v>25</v>
      </c>
      <c r="J253" t="s">
        <v>136</v>
      </c>
      <c r="K253" t="s">
        <v>137</v>
      </c>
      <c r="L253" t="s">
        <v>74</v>
      </c>
      <c r="M253" t="s">
        <v>75</v>
      </c>
      <c r="N253" t="s">
        <v>1472</v>
      </c>
      <c r="O253" t="s">
        <v>44</v>
      </c>
      <c r="P253">
        <v>5</v>
      </c>
      <c r="Q253">
        <v>2604.91</v>
      </c>
      <c r="R253">
        <v>0.15</v>
      </c>
      <c r="S253">
        <f>IF(ISNUMBER(SEARCH("%",R253)), VALUE(SUBSTITUTE(R253,"%",""))/100,IF(ISNUMBER(R253), R253, 0))</f>
        <v>0.15</v>
      </c>
      <c r="T253" t="str">
        <f>IF(S253&lt;0,"Negative discount (invalid)",IF(S253&gt;0.5,"Discount above allowed range (invalid)",IF(AND(R253="",S253=0),"Missing discount set to 0","OK")))</f>
        <v>OK</v>
      </c>
      <c r="U253">
        <v>11070.87</v>
      </c>
      <c r="V253">
        <v>6623.61</v>
      </c>
      <c r="W253">
        <v>4447.26</v>
      </c>
      <c r="X253" t="s">
        <v>32</v>
      </c>
      <c r="Y253" t="s">
        <v>103</v>
      </c>
      <c r="Z253">
        <f>IF(T253="OK",P253*Q253*(1-S253),"invalid")</f>
        <v>11070.867499999998</v>
      </c>
      <c r="AA253">
        <f>IF(Z253="N/A","N/A",Z253-V253)</f>
        <v>4447.2574999999988</v>
      </c>
      <c r="AB253" s="8">
        <f>IF(Z253&lt;&gt;"N/A", AA253/Z253, "N/A")</f>
        <v>0.40170813172499803</v>
      </c>
      <c r="AC253">
        <f>MONTH(B253)</f>
        <v>2</v>
      </c>
      <c r="AD253">
        <f>YEAR(B253)</f>
        <v>2024</v>
      </c>
      <c r="AE253" s="10">
        <f t="shared" si="3"/>
        <v>2.5000000023283064E-3</v>
      </c>
      <c r="AF253" t="s">
        <v>2804</v>
      </c>
      <c r="AG253" t="s">
        <v>2811</v>
      </c>
    </row>
    <row r="254" spans="1:33">
      <c r="A254" t="s">
        <v>1473</v>
      </c>
      <c r="B254" s="4">
        <v>45416</v>
      </c>
      <c r="C254" s="4">
        <v>45416</v>
      </c>
      <c r="D254">
        <f>_xlfn.DAYS(C254,B254)</f>
        <v>0</v>
      </c>
      <c r="E254" t="s">
        <v>2804</v>
      </c>
      <c r="F254" t="s">
        <v>1474</v>
      </c>
      <c r="G254" t="s">
        <v>36</v>
      </c>
      <c r="H254" t="s">
        <v>37</v>
      </c>
      <c r="I254" t="s">
        <v>63</v>
      </c>
      <c r="J254" t="s">
        <v>190</v>
      </c>
      <c r="K254" t="s">
        <v>191</v>
      </c>
      <c r="L254" t="s">
        <v>41</v>
      </c>
      <c r="M254" t="s">
        <v>42</v>
      </c>
      <c r="N254" t="s">
        <v>1475</v>
      </c>
      <c r="O254" t="s">
        <v>59</v>
      </c>
      <c r="P254">
        <v>7</v>
      </c>
      <c r="Q254">
        <v>2851.51</v>
      </c>
      <c r="R254">
        <v>0</v>
      </c>
      <c r="S254">
        <f>IF(ISNUMBER(SEARCH("%",R254)), VALUE(SUBSTITUTE(R254,"%",""))/100,IF(ISNUMBER(R254), R254, 0))</f>
        <v>0</v>
      </c>
      <c r="T254" t="str">
        <f>IF(S254&lt;0,"Negative discount (invalid)",IF(S254&gt;0.5,"Discount above allowed range (invalid)",IF(AND(R254="",S254=0),"Missing discount set to 0","OK")))</f>
        <v>OK</v>
      </c>
      <c r="U254">
        <v>19960.57</v>
      </c>
      <c r="V254">
        <v>16603.599999999999</v>
      </c>
      <c r="W254">
        <v>3356.97</v>
      </c>
      <c r="X254" t="s">
        <v>32</v>
      </c>
      <c r="Y254" t="s">
        <v>33</v>
      </c>
      <c r="Z254">
        <f>IF(T254="OK",P254*Q254*(1-S254),"invalid")</f>
        <v>19960.57</v>
      </c>
      <c r="AA254">
        <f>IF(Z254="N/A","N/A",Z254-V254)</f>
        <v>3356.9700000000012</v>
      </c>
      <c r="AB254" s="8">
        <f>IF(Z254&lt;&gt;"N/A", AA254/Z254, "N/A")</f>
        <v>0.1681800670020947</v>
      </c>
      <c r="AC254">
        <f>MONTH(B254)</f>
        <v>5</v>
      </c>
      <c r="AD254">
        <f>YEAR(B254)</f>
        <v>2024</v>
      </c>
      <c r="AE254" s="10">
        <f t="shared" si="3"/>
        <v>0</v>
      </c>
      <c r="AF254" t="s">
        <v>2804</v>
      </c>
      <c r="AG254" t="s">
        <v>2811</v>
      </c>
    </row>
    <row r="255" spans="1:33">
      <c r="A255" t="s">
        <v>1476</v>
      </c>
      <c r="B255" s="4">
        <v>45332</v>
      </c>
      <c r="C255" s="4">
        <v>45333</v>
      </c>
      <c r="D255">
        <f>_xlfn.DAYS(C255,B255)</f>
        <v>1</v>
      </c>
      <c r="E255" t="s">
        <v>2804</v>
      </c>
      <c r="F255" t="s">
        <v>1477</v>
      </c>
      <c r="G255" t="s">
        <v>23</v>
      </c>
      <c r="H255" t="s">
        <v>90</v>
      </c>
      <c r="I255" t="s">
        <v>25</v>
      </c>
      <c r="J255" t="s">
        <v>26</v>
      </c>
      <c r="K255" t="s">
        <v>27</v>
      </c>
      <c r="L255" t="s">
        <v>74</v>
      </c>
      <c r="M255" t="s">
        <v>171</v>
      </c>
      <c r="N255" t="s">
        <v>1478</v>
      </c>
      <c r="O255" t="s">
        <v>31</v>
      </c>
      <c r="P255">
        <v>3</v>
      </c>
      <c r="Q255">
        <v>3183.72</v>
      </c>
      <c r="R255">
        <v>0.1</v>
      </c>
      <c r="S255">
        <f>IF(ISNUMBER(SEARCH("%",R255)), VALUE(SUBSTITUTE(R255,"%",""))/100,IF(ISNUMBER(R255), R255, 0))</f>
        <v>0.1</v>
      </c>
      <c r="T255" t="str">
        <f>IF(S255&lt;0,"Negative discount (invalid)",IF(S255&gt;0.5,"Discount above allowed range (invalid)",IF(AND(R255="",S255=0),"Missing discount set to 0","OK")))</f>
        <v>OK</v>
      </c>
      <c r="U255">
        <v>8596.0400000000009</v>
      </c>
      <c r="V255">
        <v>5378.16</v>
      </c>
      <c r="W255">
        <v>3217.88</v>
      </c>
      <c r="X255" t="s">
        <v>32</v>
      </c>
      <c r="Y255" t="s">
        <v>33</v>
      </c>
      <c r="Z255">
        <f>IF(T255="OK",P255*Q255*(1-S255),"invalid")</f>
        <v>8596.0439999999999</v>
      </c>
      <c r="AA255">
        <f>IF(Z255="N/A","N/A",Z255-V255)</f>
        <v>3217.884</v>
      </c>
      <c r="AB255" s="8">
        <f>IF(Z255&lt;&gt;"N/A", AA255/Z255, "N/A")</f>
        <v>0.37434475672762962</v>
      </c>
      <c r="AC255">
        <f>MONTH(B255)</f>
        <v>2</v>
      </c>
      <c r="AD255">
        <f>YEAR(B255)</f>
        <v>2024</v>
      </c>
      <c r="AE255" s="10">
        <f t="shared" si="3"/>
        <v>3.9999999989959178E-3</v>
      </c>
      <c r="AF255" t="s">
        <v>2804</v>
      </c>
      <c r="AG255" t="s">
        <v>2811</v>
      </c>
    </row>
    <row r="256" spans="1:33">
      <c r="A256" t="s">
        <v>1479</v>
      </c>
      <c r="B256" s="4">
        <v>45379</v>
      </c>
      <c r="C256" s="4">
        <v>45386</v>
      </c>
      <c r="D256">
        <f>_xlfn.DAYS(C256,B256)</f>
        <v>7</v>
      </c>
      <c r="E256" t="s">
        <v>2804</v>
      </c>
      <c r="F256" t="s">
        <v>1480</v>
      </c>
      <c r="G256" t="s">
        <v>62</v>
      </c>
      <c r="H256" t="s">
        <v>95</v>
      </c>
      <c r="I256" t="s">
        <v>63</v>
      </c>
      <c r="J256" t="s">
        <v>190</v>
      </c>
      <c r="K256" t="s">
        <v>191</v>
      </c>
      <c r="L256" t="s">
        <v>28</v>
      </c>
      <c r="M256" t="s">
        <v>29</v>
      </c>
      <c r="N256" t="s">
        <v>1481</v>
      </c>
      <c r="O256" t="s">
        <v>50</v>
      </c>
      <c r="P256">
        <v>3</v>
      </c>
      <c r="Q256">
        <v>1150.92</v>
      </c>
      <c r="R256">
        <v>0</v>
      </c>
      <c r="S256">
        <f>IF(ISNUMBER(SEARCH("%",R256)), VALUE(SUBSTITUTE(R256,"%",""))/100,IF(ISNUMBER(R256), R256, 0))</f>
        <v>0</v>
      </c>
      <c r="T256" t="str">
        <f>IF(S256&lt;0,"Negative discount (invalid)",IF(S256&gt;0.5,"Discount above allowed range (invalid)",IF(AND(R256="",S256=0),"Missing discount set to 0","OK")))</f>
        <v>OK</v>
      </c>
      <c r="U256">
        <v>3452.76</v>
      </c>
      <c r="V256">
        <v>2077.96</v>
      </c>
      <c r="W256">
        <v>1374.8</v>
      </c>
      <c r="X256" t="s">
        <v>32</v>
      </c>
      <c r="Y256" t="s">
        <v>33</v>
      </c>
      <c r="Z256">
        <f>IF(T256="OK",P256*Q256*(1-S256),"invalid")</f>
        <v>3452.76</v>
      </c>
      <c r="AA256">
        <f>IF(Z256="N/A","N/A",Z256-V256)</f>
        <v>1374.8000000000002</v>
      </c>
      <c r="AB256" s="8">
        <f>IF(Z256&lt;&gt;"N/A", AA256/Z256, "N/A")</f>
        <v>0.39817421425178701</v>
      </c>
      <c r="AC256">
        <f>MONTH(B256)</f>
        <v>3</v>
      </c>
      <c r="AD256">
        <f>YEAR(B256)</f>
        <v>2024</v>
      </c>
      <c r="AE256" s="10">
        <f t="shared" si="3"/>
        <v>0</v>
      </c>
      <c r="AF256" t="s">
        <v>2804</v>
      </c>
      <c r="AG256" t="s">
        <v>2811</v>
      </c>
    </row>
    <row r="257" spans="1:33">
      <c r="A257" t="s">
        <v>1488</v>
      </c>
      <c r="B257" s="4">
        <v>45558</v>
      </c>
      <c r="C257" s="4">
        <v>45560</v>
      </c>
      <c r="D257">
        <f>_xlfn.DAYS(C257,B257)</f>
        <v>2</v>
      </c>
      <c r="E257" t="s">
        <v>2804</v>
      </c>
      <c r="F257" t="s">
        <v>1489</v>
      </c>
      <c r="G257" t="s">
        <v>128</v>
      </c>
      <c r="H257" t="s">
        <v>95</v>
      </c>
      <c r="I257" t="s">
        <v>25</v>
      </c>
      <c r="J257" t="s">
        <v>350</v>
      </c>
      <c r="K257" t="s">
        <v>351</v>
      </c>
      <c r="L257" t="s">
        <v>28</v>
      </c>
      <c r="M257" t="s">
        <v>153</v>
      </c>
      <c r="N257" t="s">
        <v>1490</v>
      </c>
      <c r="O257" t="s">
        <v>50</v>
      </c>
      <c r="P257">
        <v>2</v>
      </c>
      <c r="Q257">
        <v>1275.1400000000001</v>
      </c>
      <c r="R257">
        <v>0.2</v>
      </c>
      <c r="S257">
        <f>IF(ISNUMBER(SEARCH("%",R257)), VALUE(SUBSTITUTE(R257,"%",""))/100,IF(ISNUMBER(R257), R257, 0))</f>
        <v>0.2</v>
      </c>
      <c r="T257" t="str">
        <f>IF(S257&lt;0,"Negative discount (invalid)",IF(S257&gt;0.5,"Discount above allowed range (invalid)",IF(AND(R257="",S257=0),"Missing discount set to 0","OK")))</f>
        <v>OK</v>
      </c>
      <c r="U257">
        <v>2040.22</v>
      </c>
      <c r="V257">
        <v>1395.71</v>
      </c>
      <c r="W257">
        <v>644.51</v>
      </c>
      <c r="X257" t="s">
        <v>32</v>
      </c>
      <c r="Y257" t="s">
        <v>33</v>
      </c>
      <c r="Z257">
        <f>IF(T257="OK",P257*Q257*(1-S257),"invalid")</f>
        <v>2040.2240000000002</v>
      </c>
      <c r="AA257">
        <f>IF(Z257="N/A","N/A",Z257-V257)</f>
        <v>644.51400000000012</v>
      </c>
      <c r="AB257" s="8">
        <f>IF(Z257&lt;&gt;"N/A", AA257/Z257, "N/A")</f>
        <v>0.31590354784572677</v>
      </c>
      <c r="AC257">
        <f>MONTH(B257)</f>
        <v>9</v>
      </c>
      <c r="AD257">
        <f>YEAR(B257)</f>
        <v>2024</v>
      </c>
      <c r="AE257" s="10">
        <f t="shared" si="3"/>
        <v>4.0000000001327862E-3</v>
      </c>
      <c r="AF257" t="s">
        <v>2804</v>
      </c>
      <c r="AG257" t="s">
        <v>2811</v>
      </c>
    </row>
    <row r="258" spans="1:33">
      <c r="A258" t="s">
        <v>1497</v>
      </c>
      <c r="B258" s="4">
        <v>45320</v>
      </c>
      <c r="C258" s="4">
        <v>45328</v>
      </c>
      <c r="D258">
        <f>_xlfn.DAYS(C258,B258)</f>
        <v>8</v>
      </c>
      <c r="E258" t="s">
        <v>2804</v>
      </c>
      <c r="F258" t="s">
        <v>1498</v>
      </c>
      <c r="G258" t="s">
        <v>128</v>
      </c>
      <c r="H258" t="s">
        <v>37</v>
      </c>
      <c r="I258" t="s">
        <v>63</v>
      </c>
      <c r="J258" t="s">
        <v>72</v>
      </c>
      <c r="K258" t="s">
        <v>73</v>
      </c>
      <c r="L258" t="s">
        <v>28</v>
      </c>
      <c r="M258" t="s">
        <v>91</v>
      </c>
      <c r="N258" t="s">
        <v>1499</v>
      </c>
      <c r="O258" t="s">
        <v>59</v>
      </c>
      <c r="P258">
        <v>2</v>
      </c>
      <c r="Q258">
        <v>1258.9000000000001</v>
      </c>
      <c r="R258">
        <v>0</v>
      </c>
      <c r="S258">
        <f>IF(ISNUMBER(SEARCH("%",R258)), VALUE(SUBSTITUTE(R258,"%",""))/100,IF(ISNUMBER(R258), R258, 0))</f>
        <v>0</v>
      </c>
      <c r="T258" t="str">
        <f>IF(S258&lt;0,"Negative discount (invalid)",IF(S258&gt;0.5,"Discount above allowed range (invalid)",IF(AND(R258="",S258=0),"Missing discount set to 0","OK")))</f>
        <v>OK</v>
      </c>
      <c r="U258">
        <v>2517.8000000000002</v>
      </c>
      <c r="V258">
        <v>1478.54</v>
      </c>
      <c r="W258">
        <v>1039.26</v>
      </c>
      <c r="X258" t="s">
        <v>32</v>
      </c>
      <c r="Y258" t="s">
        <v>33</v>
      </c>
      <c r="Z258">
        <f>IF(T258="OK",P258*Q258*(1-S258),"invalid")</f>
        <v>2517.8000000000002</v>
      </c>
      <c r="AA258">
        <f>IF(Z258="N/A","N/A",Z258-V258)</f>
        <v>1039.2600000000002</v>
      </c>
      <c r="AB258" s="8">
        <f>IF(Z258&lt;&gt;"N/A", AA258/Z258, "N/A")</f>
        <v>0.41276511239971408</v>
      </c>
      <c r="AC258">
        <f>MONTH(B258)</f>
        <v>1</v>
      </c>
      <c r="AD258">
        <f>YEAR(B258)</f>
        <v>2024</v>
      </c>
      <c r="AE258" s="10">
        <f t="shared" si="3"/>
        <v>0</v>
      </c>
      <c r="AF258" t="s">
        <v>2804</v>
      </c>
      <c r="AG258" t="s">
        <v>2811</v>
      </c>
    </row>
    <row r="259" spans="1:33">
      <c r="A259" t="s">
        <v>1500</v>
      </c>
      <c r="B259" s="4">
        <v>45295</v>
      </c>
      <c r="C259" s="4">
        <v>45299</v>
      </c>
      <c r="D259">
        <f>_xlfn.DAYS(C259,B259)</f>
        <v>4</v>
      </c>
      <c r="E259" t="s">
        <v>2804</v>
      </c>
      <c r="F259" t="s">
        <v>1501</v>
      </c>
      <c r="G259" t="s">
        <v>36</v>
      </c>
      <c r="H259" t="s">
        <v>37</v>
      </c>
      <c r="I259" t="s">
        <v>38</v>
      </c>
      <c r="J259" t="s">
        <v>145</v>
      </c>
      <c r="K259" t="s">
        <v>146</v>
      </c>
      <c r="L259" t="s">
        <v>74</v>
      </c>
      <c r="M259" t="s">
        <v>75</v>
      </c>
      <c r="N259" t="s">
        <v>1502</v>
      </c>
      <c r="O259" t="s">
        <v>44</v>
      </c>
      <c r="P259">
        <v>9</v>
      </c>
      <c r="Q259">
        <v>1591.96</v>
      </c>
      <c r="R259">
        <v>0.2</v>
      </c>
      <c r="S259">
        <f>IF(ISNUMBER(SEARCH("%",R259)), VALUE(SUBSTITUTE(R259,"%",""))/100,IF(ISNUMBER(R259), R259, 0))</f>
        <v>0.2</v>
      </c>
      <c r="T259" t="str">
        <f>IF(S259&lt;0,"Negative discount (invalid)",IF(S259&gt;0.5,"Discount above allowed range (invalid)",IF(AND(R259="",S259=0),"Missing discount set to 0","OK")))</f>
        <v>OK</v>
      </c>
      <c r="U259">
        <v>11462.11</v>
      </c>
      <c r="V259">
        <v>7105.48</v>
      </c>
      <c r="W259">
        <v>4356.63</v>
      </c>
      <c r="X259" t="s">
        <v>32</v>
      </c>
      <c r="Y259" t="s">
        <v>33</v>
      </c>
      <c r="Z259">
        <f>IF(T259="OK",P259*Q259*(1-S259),"invalid")</f>
        <v>11462.112000000001</v>
      </c>
      <c r="AA259">
        <f>IF(Z259="N/A","N/A",Z259-V259)</f>
        <v>4356.6320000000014</v>
      </c>
      <c r="AB259" s="8">
        <f>IF(Z259&lt;&gt;"N/A", AA259/Z259, "N/A")</f>
        <v>0.38008981241851425</v>
      </c>
      <c r="AC259">
        <f>MONTH(B259)</f>
        <v>1</v>
      </c>
      <c r="AD259">
        <f>YEAR(B259)</f>
        <v>2024</v>
      </c>
      <c r="AE259" s="10">
        <f t="shared" ref="AE259:AE322" si="4">IF(Z259&lt;&gt;"N/A",ABS(Z259-U259),"N/A")</f>
        <v>2.0000000004074536E-3</v>
      </c>
      <c r="AF259" t="s">
        <v>2804</v>
      </c>
      <c r="AG259" t="s">
        <v>2811</v>
      </c>
    </row>
    <row r="260" spans="1:33">
      <c r="A260" t="s">
        <v>1503</v>
      </c>
      <c r="B260" s="4">
        <v>45524</v>
      </c>
      <c r="C260" s="4">
        <v>45525</v>
      </c>
      <c r="D260">
        <f>_xlfn.DAYS(C260,B260)</f>
        <v>1</v>
      </c>
      <c r="E260" t="s">
        <v>2804</v>
      </c>
      <c r="F260" t="s">
        <v>1504</v>
      </c>
      <c r="G260" t="s">
        <v>89</v>
      </c>
      <c r="H260" t="s">
        <v>90</v>
      </c>
      <c r="I260" t="s">
        <v>38</v>
      </c>
      <c r="J260" t="s">
        <v>39</v>
      </c>
      <c r="K260" t="s">
        <v>40</v>
      </c>
      <c r="L260" t="s">
        <v>74</v>
      </c>
      <c r="M260" t="s">
        <v>80</v>
      </c>
      <c r="N260" t="s">
        <v>1505</v>
      </c>
      <c r="O260" t="s">
        <v>50</v>
      </c>
      <c r="P260">
        <v>5</v>
      </c>
      <c r="Q260">
        <v>4288.33</v>
      </c>
      <c r="R260">
        <v>0.1</v>
      </c>
      <c r="S260">
        <f>IF(ISNUMBER(SEARCH("%",R260)), VALUE(SUBSTITUTE(R260,"%",""))/100,IF(ISNUMBER(R260), R260, 0))</f>
        <v>0.1</v>
      </c>
      <c r="T260" t="str">
        <f>IF(S260&lt;0,"Negative discount (invalid)",IF(S260&gt;0.5,"Discount above allowed range (invalid)",IF(AND(R260="",S260=0),"Missing discount set to 0","OK")))</f>
        <v>OK</v>
      </c>
      <c r="U260">
        <v>19297.490000000002</v>
      </c>
      <c r="V260">
        <v>15451.66</v>
      </c>
      <c r="W260">
        <v>3845.83</v>
      </c>
      <c r="X260" t="s">
        <v>102</v>
      </c>
      <c r="Y260" t="s">
        <v>68</v>
      </c>
      <c r="Z260">
        <f>IF(T260="OK",P260*Q260*(1-S260),"invalid")</f>
        <v>19297.485000000001</v>
      </c>
      <c r="AA260">
        <f>IF(Z260="N/A","N/A",Z260-V260)</f>
        <v>3845.8250000000007</v>
      </c>
      <c r="AB260" s="8">
        <f>IF(Z260&lt;&gt;"N/A", AA260/Z260, "N/A")</f>
        <v>0.1992915138941681</v>
      </c>
      <c r="AC260">
        <f>MONTH(B260)</f>
        <v>8</v>
      </c>
      <c r="AD260">
        <f>YEAR(B260)</f>
        <v>2024</v>
      </c>
      <c r="AE260" s="10">
        <f t="shared" si="4"/>
        <v>5.0000000010186341E-3</v>
      </c>
      <c r="AF260" t="s">
        <v>2804</v>
      </c>
      <c r="AG260" t="s">
        <v>2811</v>
      </c>
    </row>
    <row r="261" spans="1:33">
      <c r="A261" t="s">
        <v>1509</v>
      </c>
      <c r="B261" s="4">
        <v>45310</v>
      </c>
      <c r="C261" s="4">
        <v>45316</v>
      </c>
      <c r="D261">
        <f>_xlfn.DAYS(C261,B261)</f>
        <v>6</v>
      </c>
      <c r="E261" t="s">
        <v>2804</v>
      </c>
      <c r="F261" t="s">
        <v>1510</v>
      </c>
      <c r="G261" t="s">
        <v>89</v>
      </c>
      <c r="H261" t="s">
        <v>90</v>
      </c>
      <c r="I261" t="s">
        <v>63</v>
      </c>
      <c r="J261" t="s">
        <v>190</v>
      </c>
      <c r="K261" t="s">
        <v>191</v>
      </c>
      <c r="L261" t="s">
        <v>74</v>
      </c>
      <c r="M261" t="s">
        <v>80</v>
      </c>
      <c r="N261" t="s">
        <v>1511</v>
      </c>
      <c r="O261" t="s">
        <v>50</v>
      </c>
      <c r="P261">
        <v>3</v>
      </c>
      <c r="Q261">
        <v>1041.6600000000001</v>
      </c>
      <c r="R261">
        <v>0.1</v>
      </c>
      <c r="S261">
        <f>IF(ISNUMBER(SEARCH("%",R261)), VALUE(SUBSTITUTE(R261,"%",""))/100,IF(ISNUMBER(R261), R261, 0))</f>
        <v>0.1</v>
      </c>
      <c r="T261" t="str">
        <f>IF(S261&lt;0,"Negative discount (invalid)",IF(S261&gt;0.5,"Discount above allowed range (invalid)",IF(AND(R261="",S261=0),"Missing discount set to 0","OK")))</f>
        <v>OK</v>
      </c>
      <c r="U261">
        <v>2812.48</v>
      </c>
      <c r="V261">
        <v>2282.12</v>
      </c>
      <c r="W261">
        <v>530.36</v>
      </c>
      <c r="X261" t="s">
        <v>32</v>
      </c>
      <c r="Y261" t="s">
        <v>33</v>
      </c>
      <c r="Z261">
        <f>IF(T261="OK",P261*Q261*(1-S261),"invalid")</f>
        <v>2812.4820000000004</v>
      </c>
      <c r="AA261">
        <f>IF(Z261="N/A","N/A",Z261-V261)</f>
        <v>530.36200000000053</v>
      </c>
      <c r="AB261" s="8">
        <f>IF(Z261&lt;&gt;"N/A", AA261/Z261, "N/A")</f>
        <v>0.18857436243147527</v>
      </c>
      <c r="AC261">
        <f>MONTH(B261)</f>
        <v>1</v>
      </c>
      <c r="AD261">
        <f>YEAR(B261)</f>
        <v>2024</v>
      </c>
      <c r="AE261" s="10">
        <f t="shared" si="4"/>
        <v>2.0000000004074536E-3</v>
      </c>
      <c r="AF261" t="s">
        <v>2804</v>
      </c>
      <c r="AG261" t="s">
        <v>2811</v>
      </c>
    </row>
    <row r="262" spans="1:33">
      <c r="A262" t="s">
        <v>1512</v>
      </c>
      <c r="B262" s="4">
        <v>45501</v>
      </c>
      <c r="C262" s="4">
        <v>45504</v>
      </c>
      <c r="D262">
        <f>_xlfn.DAYS(C262,B262)</f>
        <v>3</v>
      </c>
      <c r="E262" t="s">
        <v>2804</v>
      </c>
      <c r="F262" t="s">
        <v>1513</v>
      </c>
      <c r="G262" t="s">
        <v>89</v>
      </c>
      <c r="H262" t="s">
        <v>24</v>
      </c>
      <c r="I262" t="s">
        <v>25</v>
      </c>
      <c r="J262" t="s">
        <v>26</v>
      </c>
      <c r="K262" t="s">
        <v>27</v>
      </c>
      <c r="L262" t="s">
        <v>41</v>
      </c>
      <c r="M262" t="s">
        <v>42</v>
      </c>
      <c r="N262" t="s">
        <v>1514</v>
      </c>
      <c r="O262" t="s">
        <v>44</v>
      </c>
      <c r="P262">
        <v>2</v>
      </c>
      <c r="Q262">
        <v>4424.78</v>
      </c>
      <c r="R262">
        <v>0.2</v>
      </c>
      <c r="S262">
        <f>IF(ISNUMBER(SEARCH("%",R262)), VALUE(SUBSTITUTE(R262,"%",""))/100,IF(ISNUMBER(R262), R262, 0))</f>
        <v>0.2</v>
      </c>
      <c r="T262" t="str">
        <f>IF(S262&lt;0,"Negative discount (invalid)",IF(S262&gt;0.5,"Discount above allowed range (invalid)",IF(AND(R262="",S262=0),"Missing discount set to 0","OK")))</f>
        <v>OK</v>
      </c>
      <c r="U262">
        <v>7079.65</v>
      </c>
      <c r="V262">
        <v>4465.91</v>
      </c>
      <c r="W262">
        <v>2613.7399999999998</v>
      </c>
      <c r="X262" t="s">
        <v>32</v>
      </c>
      <c r="Y262" t="s">
        <v>33</v>
      </c>
      <c r="Z262">
        <f>IF(T262="OK",P262*Q262*(1-S262),"invalid")</f>
        <v>7079.6480000000001</v>
      </c>
      <c r="AA262">
        <f>IF(Z262="N/A","N/A",Z262-V262)</f>
        <v>2613.7380000000003</v>
      </c>
      <c r="AB262" s="8">
        <f>IF(Z262&lt;&gt;"N/A", AA262/Z262, "N/A")</f>
        <v>0.36919038912669105</v>
      </c>
      <c r="AC262">
        <f>MONTH(B262)</f>
        <v>7</v>
      </c>
      <c r="AD262">
        <f>YEAR(B262)</f>
        <v>2024</v>
      </c>
      <c r="AE262" s="10">
        <f t="shared" si="4"/>
        <v>1.9999999994979589E-3</v>
      </c>
      <c r="AF262" t="s">
        <v>2804</v>
      </c>
      <c r="AG262" t="s">
        <v>2811</v>
      </c>
    </row>
    <row r="263" spans="1:33">
      <c r="A263" t="s">
        <v>1515</v>
      </c>
      <c r="B263" s="4">
        <v>45333</v>
      </c>
      <c r="C263" s="4">
        <v>45337</v>
      </c>
      <c r="D263">
        <f>_xlfn.DAYS(C263,B263)</f>
        <v>4</v>
      </c>
      <c r="E263" t="s">
        <v>2804</v>
      </c>
      <c r="F263" t="s">
        <v>1516</v>
      </c>
      <c r="G263" t="s">
        <v>264</v>
      </c>
      <c r="H263" t="s">
        <v>24</v>
      </c>
      <c r="I263" t="s">
        <v>54</v>
      </c>
      <c r="J263" t="s">
        <v>55</v>
      </c>
      <c r="K263" t="s">
        <v>56</v>
      </c>
      <c r="L263" t="s">
        <v>28</v>
      </c>
      <c r="M263" t="s">
        <v>153</v>
      </c>
      <c r="N263" t="s">
        <v>1517</v>
      </c>
      <c r="O263" t="s">
        <v>59</v>
      </c>
      <c r="P263">
        <v>3</v>
      </c>
      <c r="Q263">
        <v>3019.14</v>
      </c>
      <c r="R263">
        <v>0.25</v>
      </c>
      <c r="S263">
        <f>IF(ISNUMBER(SEARCH("%",R263)), VALUE(SUBSTITUTE(R263,"%",""))/100,IF(ISNUMBER(R263), R263, 0))</f>
        <v>0.25</v>
      </c>
      <c r="T263" t="str">
        <f>IF(S263&lt;0,"Negative discount (invalid)",IF(S263&gt;0.5,"Discount above allowed range (invalid)",IF(AND(R263="",S263=0),"Missing discount set to 0","OK")))</f>
        <v>OK</v>
      </c>
      <c r="U263">
        <v>6793.07</v>
      </c>
      <c r="V263">
        <v>4985.22</v>
      </c>
      <c r="W263">
        <v>1807.85</v>
      </c>
      <c r="X263" t="s">
        <v>32</v>
      </c>
      <c r="Y263" t="s">
        <v>33</v>
      </c>
      <c r="Z263">
        <f>IF(T263="OK",P263*Q263*(1-S263),"invalid")</f>
        <v>6793.0650000000005</v>
      </c>
      <c r="AA263">
        <f>IF(Z263="N/A","N/A",Z263-V263)</f>
        <v>1807.8450000000003</v>
      </c>
      <c r="AB263" s="8">
        <f>IF(Z263&lt;&gt;"N/A", AA263/Z263, "N/A")</f>
        <v>0.26613097327936652</v>
      </c>
      <c r="AC263">
        <f>MONTH(B263)</f>
        <v>2</v>
      </c>
      <c r="AD263">
        <f>YEAR(B263)</f>
        <v>2024</v>
      </c>
      <c r="AE263" s="10">
        <f t="shared" si="4"/>
        <v>4.9999999991996447E-3</v>
      </c>
      <c r="AF263" t="s">
        <v>2804</v>
      </c>
      <c r="AG263" t="s">
        <v>2811</v>
      </c>
    </row>
    <row r="264" spans="1:33">
      <c r="A264" t="s">
        <v>1518</v>
      </c>
      <c r="B264" s="4">
        <v>45353</v>
      </c>
      <c r="C264" s="4">
        <v>45358</v>
      </c>
      <c r="D264">
        <f>_xlfn.DAYS(C264,B264)</f>
        <v>5</v>
      </c>
      <c r="E264" t="s">
        <v>2804</v>
      </c>
      <c r="F264" t="s">
        <v>1519</v>
      </c>
      <c r="G264" t="s">
        <v>141</v>
      </c>
      <c r="H264" t="s">
        <v>90</v>
      </c>
      <c r="I264" t="s">
        <v>38</v>
      </c>
      <c r="J264" t="s">
        <v>39</v>
      </c>
      <c r="K264" t="s">
        <v>40</v>
      </c>
      <c r="L264" t="s">
        <v>28</v>
      </c>
      <c r="M264" t="s">
        <v>124</v>
      </c>
      <c r="N264" t="s">
        <v>1520</v>
      </c>
      <c r="O264" t="s">
        <v>59</v>
      </c>
      <c r="P264">
        <v>7</v>
      </c>
      <c r="Q264">
        <v>263.45999999999998</v>
      </c>
      <c r="R264">
        <v>0</v>
      </c>
      <c r="S264">
        <f>IF(ISNUMBER(SEARCH("%",R264)), VALUE(SUBSTITUTE(R264,"%",""))/100,IF(ISNUMBER(R264), R264, 0))</f>
        <v>0</v>
      </c>
      <c r="T264" t="str">
        <f>IF(S264&lt;0,"Negative discount (invalid)",IF(S264&gt;0.5,"Discount above allowed range (invalid)",IF(AND(R264="",S264=0),"Missing discount set to 0","OK")))</f>
        <v>OK</v>
      </c>
      <c r="U264">
        <v>1844.22</v>
      </c>
      <c r="V264">
        <v>1094.21</v>
      </c>
      <c r="W264">
        <v>750.01</v>
      </c>
      <c r="X264" t="s">
        <v>32</v>
      </c>
      <c r="Y264" t="s">
        <v>33</v>
      </c>
      <c r="Z264">
        <f>IF(T264="OK",P264*Q264*(1-S264),"invalid")</f>
        <v>1844.2199999999998</v>
      </c>
      <c r="AA264">
        <f>IF(Z264="N/A","N/A",Z264-V264)</f>
        <v>750.00999999999976</v>
      </c>
      <c r="AB264" s="8">
        <f>IF(Z264&lt;&gt;"N/A", AA264/Z264, "N/A")</f>
        <v>0.40668141544934977</v>
      </c>
      <c r="AC264">
        <f>MONTH(B264)</f>
        <v>3</v>
      </c>
      <c r="AD264">
        <f>YEAR(B264)</f>
        <v>2024</v>
      </c>
      <c r="AE264" s="10">
        <f t="shared" si="4"/>
        <v>2.2737367544323206E-13</v>
      </c>
      <c r="AF264" t="s">
        <v>2804</v>
      </c>
      <c r="AG264" t="s">
        <v>2811</v>
      </c>
    </row>
    <row r="265" spans="1:33">
      <c r="A265" t="s">
        <v>1521</v>
      </c>
      <c r="B265" s="4">
        <v>45609</v>
      </c>
      <c r="C265" s="4">
        <v>45609</v>
      </c>
      <c r="D265">
        <f>_xlfn.DAYS(C265,B265)</f>
        <v>0</v>
      </c>
      <c r="E265" t="s">
        <v>2804</v>
      </c>
      <c r="F265" t="s">
        <v>1522</v>
      </c>
      <c r="G265" t="s">
        <v>114</v>
      </c>
      <c r="H265" t="s">
        <v>24</v>
      </c>
      <c r="I265" t="s">
        <v>63</v>
      </c>
      <c r="J265" t="s">
        <v>190</v>
      </c>
      <c r="K265" t="s">
        <v>191</v>
      </c>
      <c r="L265" t="s">
        <v>74</v>
      </c>
      <c r="M265" t="s">
        <v>80</v>
      </c>
      <c r="N265" t="s">
        <v>1523</v>
      </c>
      <c r="O265" t="s">
        <v>59</v>
      </c>
      <c r="P265">
        <v>6</v>
      </c>
      <c r="Q265">
        <v>191.45</v>
      </c>
      <c r="R265">
        <v>0.2</v>
      </c>
      <c r="S265">
        <f>IF(ISNUMBER(SEARCH("%",R265)), VALUE(SUBSTITUTE(R265,"%",""))/100,IF(ISNUMBER(R265), R265, 0))</f>
        <v>0.2</v>
      </c>
      <c r="T265" t="str">
        <f>IF(S265&lt;0,"Negative discount (invalid)",IF(S265&gt;0.5,"Discount above allowed range (invalid)",IF(AND(R265="",S265=0),"Missing discount set to 0","OK")))</f>
        <v>OK</v>
      </c>
      <c r="U265">
        <v>918.96</v>
      </c>
      <c r="V265">
        <v>554.17999999999995</v>
      </c>
      <c r="W265">
        <v>364.78</v>
      </c>
      <c r="X265" t="s">
        <v>32</v>
      </c>
      <c r="Y265" t="s">
        <v>33</v>
      </c>
      <c r="Z265">
        <f>IF(T265="OK",P265*Q265*(1-S265),"invalid")</f>
        <v>918.95999999999992</v>
      </c>
      <c r="AA265">
        <f>IF(Z265="N/A","N/A",Z265-V265)</f>
        <v>364.78</v>
      </c>
      <c r="AB265" s="8">
        <f>IF(Z265&lt;&gt;"N/A", AA265/Z265, "N/A")</f>
        <v>0.39694872464525116</v>
      </c>
      <c r="AC265">
        <f>MONTH(B265)</f>
        <v>11</v>
      </c>
      <c r="AD265">
        <f>YEAR(B265)</f>
        <v>2024</v>
      </c>
      <c r="AE265" s="10">
        <f t="shared" si="4"/>
        <v>1.1368683772161603E-13</v>
      </c>
      <c r="AF265" t="s">
        <v>2804</v>
      </c>
      <c r="AG265" t="s">
        <v>2811</v>
      </c>
    </row>
    <row r="266" spans="1:33">
      <c r="A266" t="s">
        <v>1524</v>
      </c>
      <c r="B266" s="4">
        <v>45446</v>
      </c>
      <c r="C266" s="4">
        <v>45453</v>
      </c>
      <c r="D266">
        <f>_xlfn.DAYS(C266,B266)</f>
        <v>7</v>
      </c>
      <c r="E266" t="s">
        <v>2804</v>
      </c>
      <c r="F266" t="s">
        <v>1525</v>
      </c>
      <c r="G266" t="s">
        <v>162</v>
      </c>
      <c r="H266" t="s">
        <v>90</v>
      </c>
      <c r="I266" t="s">
        <v>25</v>
      </c>
      <c r="J266" t="s">
        <v>122</v>
      </c>
      <c r="K266" t="s">
        <v>123</v>
      </c>
      <c r="L266" t="s">
        <v>41</v>
      </c>
      <c r="M266" t="s">
        <v>57</v>
      </c>
      <c r="N266" t="s">
        <v>1526</v>
      </c>
      <c r="O266" t="s">
        <v>59</v>
      </c>
      <c r="P266">
        <v>3</v>
      </c>
      <c r="Q266">
        <v>1633.57</v>
      </c>
      <c r="R266">
        <v>0</v>
      </c>
      <c r="S266">
        <f>IF(ISNUMBER(SEARCH("%",R266)), VALUE(SUBSTITUTE(R266,"%",""))/100,IF(ISNUMBER(R266), R266, 0))</f>
        <v>0</v>
      </c>
      <c r="T266" t="str">
        <f>IF(S266&lt;0,"Negative discount (invalid)",IF(S266&gt;0.5,"Discount above allowed range (invalid)",IF(AND(R266="",S266=0),"Missing discount set to 0","OK")))</f>
        <v>OK</v>
      </c>
      <c r="U266">
        <v>4900.71</v>
      </c>
      <c r="V266">
        <v>2713.9</v>
      </c>
      <c r="W266">
        <v>2186.81</v>
      </c>
      <c r="X266" t="s">
        <v>32</v>
      </c>
      <c r="Y266" t="s">
        <v>33</v>
      </c>
      <c r="Z266">
        <f>IF(T266="OK",P266*Q266*(1-S266),"invalid")</f>
        <v>4900.71</v>
      </c>
      <c r="AA266">
        <f>IF(Z266="N/A","N/A",Z266-V266)</f>
        <v>2186.81</v>
      </c>
      <c r="AB266" s="8">
        <f>IF(Z266&lt;&gt;"N/A", AA266/Z266, "N/A")</f>
        <v>0.44622309828575857</v>
      </c>
      <c r="AC266">
        <f>MONTH(B266)</f>
        <v>6</v>
      </c>
      <c r="AD266">
        <f>YEAR(B266)</f>
        <v>2024</v>
      </c>
      <c r="AE266" s="10">
        <f t="shared" si="4"/>
        <v>0</v>
      </c>
      <c r="AF266" t="s">
        <v>2804</v>
      </c>
      <c r="AG266" t="s">
        <v>2811</v>
      </c>
    </row>
    <row r="267" spans="1:33">
      <c r="A267" t="s">
        <v>1530</v>
      </c>
      <c r="B267" s="4">
        <v>45419</v>
      </c>
      <c r="C267" s="4">
        <v>45426</v>
      </c>
      <c r="D267">
        <f>_xlfn.DAYS(C267,B267)</f>
        <v>7</v>
      </c>
      <c r="E267" t="s">
        <v>2804</v>
      </c>
      <c r="F267" t="s">
        <v>1531</v>
      </c>
      <c r="G267" t="s">
        <v>132</v>
      </c>
      <c r="H267" t="s">
        <v>37</v>
      </c>
      <c r="I267" t="s">
        <v>25</v>
      </c>
      <c r="J267" t="s">
        <v>26</v>
      </c>
      <c r="K267" t="s">
        <v>27</v>
      </c>
      <c r="L267" t="s">
        <v>28</v>
      </c>
      <c r="M267" t="s">
        <v>124</v>
      </c>
      <c r="N267" t="s">
        <v>1532</v>
      </c>
      <c r="O267" t="s">
        <v>50</v>
      </c>
      <c r="P267">
        <v>3</v>
      </c>
      <c r="Q267">
        <v>383.58</v>
      </c>
      <c r="R267">
        <v>0.1</v>
      </c>
      <c r="S267">
        <f>IF(ISNUMBER(SEARCH("%",R267)), VALUE(SUBSTITUTE(R267,"%",""))/100,IF(ISNUMBER(R267), R267, 0))</f>
        <v>0.1</v>
      </c>
      <c r="T267" t="str">
        <f>IF(S267&lt;0,"Negative discount (invalid)",IF(S267&gt;0.5,"Discount above allowed range (invalid)",IF(AND(R267="",S267=0),"Missing discount set to 0","OK")))</f>
        <v>OK</v>
      </c>
      <c r="U267">
        <v>1035.67</v>
      </c>
      <c r="V267">
        <v>595.41999999999996</v>
      </c>
      <c r="W267">
        <v>440.25</v>
      </c>
      <c r="X267" t="s">
        <v>32</v>
      </c>
      <c r="Y267" t="s">
        <v>33</v>
      </c>
      <c r="Z267">
        <f>IF(T267="OK",P267*Q267*(1-S267),"invalid")</f>
        <v>1035.6659999999999</v>
      </c>
      <c r="AA267">
        <f>IF(Z267="N/A","N/A",Z267-V267)</f>
        <v>440.24599999999998</v>
      </c>
      <c r="AB267" s="8">
        <f>IF(Z267&lt;&gt;"N/A", AA267/Z267, "N/A")</f>
        <v>0.42508492120046426</v>
      </c>
      <c r="AC267">
        <f>MONTH(B267)</f>
        <v>5</v>
      </c>
      <c r="AD267">
        <f>YEAR(B267)</f>
        <v>2024</v>
      </c>
      <c r="AE267" s="10">
        <f t="shared" si="4"/>
        <v>4.0000000001327862E-3</v>
      </c>
      <c r="AF267" t="s">
        <v>2804</v>
      </c>
      <c r="AG267" t="s">
        <v>2811</v>
      </c>
    </row>
    <row r="268" spans="1:33">
      <c r="A268" t="s">
        <v>1536</v>
      </c>
      <c r="B268" s="4">
        <v>45452</v>
      </c>
      <c r="C268" s="4">
        <v>45456</v>
      </c>
      <c r="D268">
        <f>_xlfn.DAYS(C268,B268)</f>
        <v>4</v>
      </c>
      <c r="E268" t="s">
        <v>2804</v>
      </c>
      <c r="F268" t="s">
        <v>1537</v>
      </c>
      <c r="G268" t="s">
        <v>36</v>
      </c>
      <c r="H268" t="s">
        <v>95</v>
      </c>
      <c r="I268" t="s">
        <v>2785</v>
      </c>
      <c r="J268" t="s">
        <v>136</v>
      </c>
      <c r="K268" t="s">
        <v>137</v>
      </c>
      <c r="L268" t="s">
        <v>74</v>
      </c>
      <c r="M268" t="s">
        <v>274</v>
      </c>
      <c r="N268" t="s">
        <v>1538</v>
      </c>
      <c r="O268" t="s">
        <v>44</v>
      </c>
      <c r="P268">
        <v>7</v>
      </c>
      <c r="Q268">
        <v>4079.71</v>
      </c>
      <c r="R268">
        <v>0.1</v>
      </c>
      <c r="S268">
        <f>IF(ISNUMBER(SEARCH("%",R268)), VALUE(SUBSTITUTE(R268,"%",""))/100,IF(ISNUMBER(R268), R268, 0))</f>
        <v>0.1</v>
      </c>
      <c r="T268" t="str">
        <f>IF(S268&lt;0,"Negative discount (invalid)",IF(S268&gt;0.5,"Discount above allowed range (invalid)",IF(AND(R268="",S268=0),"Missing discount set to 0","OK")))</f>
        <v>OK</v>
      </c>
      <c r="U268">
        <v>25702.17</v>
      </c>
      <c r="V268">
        <v>14571.48</v>
      </c>
      <c r="W268">
        <v>11130.69</v>
      </c>
      <c r="X268" t="s">
        <v>102</v>
      </c>
      <c r="Y268" t="s">
        <v>103</v>
      </c>
      <c r="Z268">
        <f>IF(T268="OK",P268*Q268*(1-S268),"invalid")</f>
        <v>25702.173000000003</v>
      </c>
      <c r="AA268">
        <f>IF(Z268="N/A","N/A",Z268-V268)</f>
        <v>11130.693000000003</v>
      </c>
      <c r="AB268" s="8">
        <f>IF(Z268&lt;&gt;"N/A", AA268/Z268, "N/A")</f>
        <v>0.43306427826160854</v>
      </c>
      <c r="AC268">
        <f>MONTH(B268)</f>
        <v>6</v>
      </c>
      <c r="AD268">
        <f>YEAR(B268)</f>
        <v>2024</v>
      </c>
      <c r="AE268" s="10">
        <f t="shared" si="4"/>
        <v>3.0000000042491592E-3</v>
      </c>
      <c r="AF268" t="s">
        <v>2799</v>
      </c>
      <c r="AG268" t="s">
        <v>2798</v>
      </c>
    </row>
    <row r="269" spans="1:33">
      <c r="A269" t="s">
        <v>1539</v>
      </c>
      <c r="B269" s="4">
        <v>45345</v>
      </c>
      <c r="C269" s="4">
        <v>45342</v>
      </c>
      <c r="D269">
        <f>_xlfn.DAYS(C269,B269)</f>
        <v>-3</v>
      </c>
      <c r="E269" t="str">
        <f>IF(B269="INVALID","Missing/Invalid order_date", IF(C269="INVALID","Missing/Invalid ship_date",IF(AND(B269&lt;&gt;"",C269&lt;&gt;"",C269&lt;B269),"Ship date before order date","")))</f>
        <v>Ship date before order date</v>
      </c>
      <c r="F269" t="s">
        <v>1540</v>
      </c>
      <c r="G269" t="s">
        <v>53</v>
      </c>
      <c r="H269" t="s">
        <v>90</v>
      </c>
      <c r="I269" t="s">
        <v>38</v>
      </c>
      <c r="J269" t="s">
        <v>39</v>
      </c>
      <c r="K269" t="s">
        <v>40</v>
      </c>
      <c r="L269" t="s">
        <v>41</v>
      </c>
      <c r="M269" t="s">
        <v>66</v>
      </c>
      <c r="N269" t="s">
        <v>1541</v>
      </c>
      <c r="O269" t="s">
        <v>31</v>
      </c>
      <c r="P269">
        <v>1</v>
      </c>
      <c r="Q269">
        <v>2202.5500000000002</v>
      </c>
      <c r="R269">
        <v>0</v>
      </c>
      <c r="S269">
        <f>IF(ISNUMBER(SEARCH("%",R269)), VALUE(SUBSTITUTE(R269,"%",""))/100,IF(ISNUMBER(R269), R269, 0))</f>
        <v>0</v>
      </c>
      <c r="T269" t="str">
        <f>IF(S269&lt;0,"Negative discount (invalid)",IF(S269&gt;0.5,"Discount above allowed range (invalid)",IF(AND(R269="",S269=0),"Missing discount set to 0","OK")))</f>
        <v>OK</v>
      </c>
      <c r="U269">
        <v>1651.91</v>
      </c>
      <c r="V269">
        <v>1034.57</v>
      </c>
      <c r="W269">
        <v>617.34</v>
      </c>
      <c r="X269" t="s">
        <v>32</v>
      </c>
      <c r="Y269" t="s">
        <v>33</v>
      </c>
      <c r="Z269">
        <f>IF(T269="OK",P269*Q269*(1-S269),"invalid")</f>
        <v>2202.5500000000002</v>
      </c>
      <c r="AA269">
        <f>IF(Z269="N/A","N/A",Z269-V269)</f>
        <v>1167.9800000000002</v>
      </c>
      <c r="AB269" s="8">
        <f>IF(Z269&lt;&gt;"N/A", AA269/Z269, "N/A")</f>
        <v>0.53028535107035035</v>
      </c>
      <c r="AC269">
        <f>MONTH(B269)</f>
        <v>2</v>
      </c>
      <c r="AD269">
        <f>YEAR(B269)</f>
        <v>2024</v>
      </c>
      <c r="AE269" s="10">
        <f t="shared" si="4"/>
        <v>550.6400000000001</v>
      </c>
      <c r="AF269" t="s">
        <v>2808</v>
      </c>
      <c r="AG269" t="s">
        <v>2789</v>
      </c>
    </row>
    <row r="270" spans="1:33">
      <c r="A270" t="s">
        <v>1548</v>
      </c>
      <c r="B270" s="4">
        <v>45495</v>
      </c>
      <c r="C270" s="4">
        <v>45495</v>
      </c>
      <c r="D270">
        <f>_xlfn.DAYS(C270,B270)</f>
        <v>0</v>
      </c>
      <c r="E270" t="s">
        <v>2804</v>
      </c>
      <c r="F270" t="s">
        <v>1549</v>
      </c>
      <c r="G270" t="s">
        <v>114</v>
      </c>
      <c r="H270" t="s">
        <v>24</v>
      </c>
      <c r="I270" t="s">
        <v>54</v>
      </c>
      <c r="J270" t="s">
        <v>175</v>
      </c>
      <c r="K270" t="s">
        <v>176</v>
      </c>
      <c r="L270" t="s">
        <v>74</v>
      </c>
      <c r="M270" t="s">
        <v>75</v>
      </c>
      <c r="N270" t="s">
        <v>1550</v>
      </c>
      <c r="O270" t="s">
        <v>31</v>
      </c>
      <c r="P270">
        <v>3</v>
      </c>
      <c r="Q270">
        <v>1286.22</v>
      </c>
      <c r="R270">
        <v>0.25</v>
      </c>
      <c r="S270">
        <f>IF(ISNUMBER(SEARCH("%",R270)), VALUE(SUBSTITUTE(R270,"%",""))/100,IF(ISNUMBER(R270), R270, 0))</f>
        <v>0.25</v>
      </c>
      <c r="T270" t="str">
        <f>IF(S270&lt;0,"Negative discount (invalid)",IF(S270&gt;0.5,"Discount above allowed range (invalid)",IF(AND(R270="",S270=0),"Missing discount set to 0","OK")))</f>
        <v>OK</v>
      </c>
      <c r="U270">
        <v>2893.99</v>
      </c>
      <c r="V270">
        <v>1856.03</v>
      </c>
      <c r="W270">
        <v>1037.96</v>
      </c>
      <c r="X270" t="s">
        <v>32</v>
      </c>
      <c r="Y270" t="s">
        <v>33</v>
      </c>
      <c r="Z270">
        <f>IF(T270="OK",P270*Q270*(1-S270),"invalid")</f>
        <v>2893.9949999999999</v>
      </c>
      <c r="AA270">
        <f>IF(Z270="N/A","N/A",Z270-V270)</f>
        <v>1037.9649999999999</v>
      </c>
      <c r="AB270" s="8">
        <f>IF(Z270&lt;&gt;"N/A", AA270/Z270, "N/A")</f>
        <v>0.35866164247001114</v>
      </c>
      <c r="AC270">
        <f>MONTH(B270)</f>
        <v>7</v>
      </c>
      <c r="AD270">
        <f>YEAR(B270)</f>
        <v>2024</v>
      </c>
      <c r="AE270" s="10">
        <f t="shared" si="4"/>
        <v>5.0000000001091394E-3</v>
      </c>
      <c r="AF270" t="s">
        <v>2804</v>
      </c>
      <c r="AG270" t="s">
        <v>2811</v>
      </c>
    </row>
    <row r="271" spans="1:33">
      <c r="A271" t="s">
        <v>1551</v>
      </c>
      <c r="B271" s="4">
        <v>45651</v>
      </c>
      <c r="C271" s="4">
        <v>45651</v>
      </c>
      <c r="D271">
        <f>_xlfn.DAYS(C271,B271)</f>
        <v>0</v>
      </c>
      <c r="E271" t="s">
        <v>2804</v>
      </c>
      <c r="F271" t="s">
        <v>1552</v>
      </c>
      <c r="G271" t="s">
        <v>36</v>
      </c>
      <c r="H271" t="s">
        <v>90</v>
      </c>
      <c r="I271" t="s">
        <v>38</v>
      </c>
      <c r="J271" t="s">
        <v>145</v>
      </c>
      <c r="K271" t="s">
        <v>146</v>
      </c>
      <c r="L271" t="s">
        <v>74</v>
      </c>
      <c r="M271" t="s">
        <v>80</v>
      </c>
      <c r="N271" t="s">
        <v>1553</v>
      </c>
      <c r="O271" t="s">
        <v>59</v>
      </c>
      <c r="P271">
        <v>1</v>
      </c>
      <c r="Q271">
        <v>829.66</v>
      </c>
      <c r="R271">
        <v>0.15</v>
      </c>
      <c r="S271">
        <f>IF(ISNUMBER(SEARCH("%",R271)), VALUE(SUBSTITUTE(R271,"%",""))/100,IF(ISNUMBER(R271), R271, 0))</f>
        <v>0.15</v>
      </c>
      <c r="T271" t="str">
        <f>IF(S271&lt;0,"Negative discount (invalid)",IF(S271&gt;0.5,"Discount above allowed range (invalid)",IF(AND(R271="",S271=0),"Missing discount set to 0","OK")))</f>
        <v>OK</v>
      </c>
      <c r="U271">
        <v>705.21</v>
      </c>
      <c r="V271">
        <v>438.32</v>
      </c>
      <c r="W271">
        <v>266.89</v>
      </c>
      <c r="X271" t="s">
        <v>32</v>
      </c>
      <c r="Y271" t="s">
        <v>33</v>
      </c>
      <c r="Z271">
        <f>IF(T271="OK",P271*Q271*(1-S271),"invalid")</f>
        <v>705.2109999999999</v>
      </c>
      <c r="AA271">
        <f>IF(Z271="N/A","N/A",Z271-V271)</f>
        <v>266.89099999999991</v>
      </c>
      <c r="AB271" s="8">
        <f>IF(Z271&lt;&gt;"N/A", AA271/Z271, "N/A")</f>
        <v>0.37845552607659261</v>
      </c>
      <c r="AC271">
        <f>MONTH(B271)</f>
        <v>12</v>
      </c>
      <c r="AD271">
        <f>YEAR(B271)</f>
        <v>2024</v>
      </c>
      <c r="AE271" s="10">
        <f t="shared" si="4"/>
        <v>9.999999998626663E-4</v>
      </c>
      <c r="AF271" t="s">
        <v>2804</v>
      </c>
      <c r="AG271" t="s">
        <v>2811</v>
      </c>
    </row>
    <row r="272" spans="1:33">
      <c r="A272" t="s">
        <v>1554</v>
      </c>
      <c r="B272" s="4">
        <v>45654</v>
      </c>
      <c r="C272" s="4">
        <v>45657</v>
      </c>
      <c r="D272">
        <f>_xlfn.DAYS(C272,B272)</f>
        <v>3</v>
      </c>
      <c r="E272" t="s">
        <v>2804</v>
      </c>
      <c r="F272" t="s">
        <v>1555</v>
      </c>
      <c r="G272" t="s">
        <v>36</v>
      </c>
      <c r="H272" t="s">
        <v>37</v>
      </c>
      <c r="I272" t="s">
        <v>54</v>
      </c>
      <c r="J272" t="s">
        <v>84</v>
      </c>
      <c r="K272" t="s">
        <v>85</v>
      </c>
      <c r="L272" t="s">
        <v>41</v>
      </c>
      <c r="M272" t="s">
        <v>57</v>
      </c>
      <c r="N272" t="s">
        <v>1556</v>
      </c>
      <c r="O272" t="s">
        <v>50</v>
      </c>
      <c r="P272">
        <v>6</v>
      </c>
      <c r="Q272">
        <v>3641.22</v>
      </c>
      <c r="R272">
        <v>0.25</v>
      </c>
      <c r="S272">
        <f>IF(ISNUMBER(SEARCH("%",R272)), VALUE(SUBSTITUTE(R272,"%",""))/100,IF(ISNUMBER(R272), R272, 0))</f>
        <v>0.25</v>
      </c>
      <c r="T272" t="str">
        <f>IF(S272&lt;0,"Negative discount (invalid)",IF(S272&gt;0.5,"Discount above allowed range (invalid)",IF(AND(R272="",S272=0),"Missing discount set to 0","OK")))</f>
        <v>OK</v>
      </c>
      <c r="U272">
        <v>16385.490000000002</v>
      </c>
      <c r="V272">
        <v>13679.24</v>
      </c>
      <c r="W272">
        <v>2706.25</v>
      </c>
      <c r="X272" t="s">
        <v>32</v>
      </c>
      <c r="Y272" t="s">
        <v>33</v>
      </c>
      <c r="Z272">
        <f>IF(T272="OK",P272*Q272*(1-S272),"invalid")</f>
        <v>16385.489999999998</v>
      </c>
      <c r="AA272">
        <f>IF(Z272="N/A","N/A",Z272-V272)</f>
        <v>2706.2499999999982</v>
      </c>
      <c r="AB272" s="8">
        <f>IF(Z272&lt;&gt;"N/A", AA272/Z272, "N/A")</f>
        <v>0.16516137143289572</v>
      </c>
      <c r="AC272">
        <f>MONTH(B272)</f>
        <v>12</v>
      </c>
      <c r="AD272">
        <f>YEAR(B272)</f>
        <v>2024</v>
      </c>
      <c r="AE272" s="10">
        <f t="shared" si="4"/>
        <v>3.637978807091713E-12</v>
      </c>
      <c r="AF272" t="s">
        <v>2804</v>
      </c>
      <c r="AG272" t="s">
        <v>2811</v>
      </c>
    </row>
    <row r="273" spans="1:33">
      <c r="A273" t="s">
        <v>1566</v>
      </c>
      <c r="B273" s="4">
        <v>45579</v>
      </c>
      <c r="C273" s="4">
        <v>45585</v>
      </c>
      <c r="D273">
        <f>_xlfn.DAYS(C273,B273)</f>
        <v>6</v>
      </c>
      <c r="E273" t="s">
        <v>2804</v>
      </c>
      <c r="F273" t="s">
        <v>1567</v>
      </c>
      <c r="G273" t="s">
        <v>89</v>
      </c>
      <c r="H273" t="s">
        <v>37</v>
      </c>
      <c r="I273" t="s">
        <v>25</v>
      </c>
      <c r="J273" t="s">
        <v>26</v>
      </c>
      <c r="K273" t="s">
        <v>27</v>
      </c>
      <c r="L273" t="s">
        <v>41</v>
      </c>
      <c r="M273" t="s">
        <v>42</v>
      </c>
      <c r="N273" t="s">
        <v>1568</v>
      </c>
      <c r="O273" t="s">
        <v>44</v>
      </c>
      <c r="P273">
        <v>7</v>
      </c>
      <c r="Q273">
        <v>1547.6</v>
      </c>
      <c r="R273">
        <v>0.2</v>
      </c>
      <c r="S273">
        <f>IF(ISNUMBER(SEARCH("%",R273)), VALUE(SUBSTITUTE(R273,"%",""))/100,IF(ISNUMBER(R273), R273, 0))</f>
        <v>0.2</v>
      </c>
      <c r="T273" t="str">
        <f>IF(S273&lt;0,"Negative discount (invalid)",IF(S273&gt;0.5,"Discount above allowed range (invalid)",IF(AND(R273="",S273=0),"Missing discount set to 0","OK")))</f>
        <v>OK</v>
      </c>
      <c r="U273">
        <v>8666.56</v>
      </c>
      <c r="V273">
        <v>5967.44</v>
      </c>
      <c r="W273">
        <v>2699.12</v>
      </c>
      <c r="X273" t="s">
        <v>32</v>
      </c>
      <c r="Y273" t="s">
        <v>33</v>
      </c>
      <c r="Z273">
        <f>IF(T273="OK",P273*Q273*(1-S273),"invalid")</f>
        <v>8666.56</v>
      </c>
      <c r="AA273">
        <f>IF(Z273="N/A","N/A",Z273-V273)</f>
        <v>2699.12</v>
      </c>
      <c r="AB273" s="8">
        <f>IF(Z273&lt;&gt;"N/A", AA273/Z273, "N/A")</f>
        <v>0.31144075619392242</v>
      </c>
      <c r="AC273">
        <f>MONTH(B273)</f>
        <v>10</v>
      </c>
      <c r="AD273">
        <f>YEAR(B273)</f>
        <v>2024</v>
      </c>
      <c r="AE273" s="10">
        <f t="shared" si="4"/>
        <v>0</v>
      </c>
      <c r="AF273" t="s">
        <v>2804</v>
      </c>
      <c r="AG273" t="s">
        <v>2811</v>
      </c>
    </row>
    <row r="274" spans="1:33">
      <c r="A274" t="s">
        <v>1569</v>
      </c>
      <c r="B274" s="4">
        <v>45329</v>
      </c>
      <c r="C274" s="4">
        <v>45334</v>
      </c>
      <c r="D274">
        <f>_xlfn.DAYS(C274,B274)</f>
        <v>5</v>
      </c>
      <c r="E274" t="s">
        <v>2804</v>
      </c>
      <c r="F274" t="s">
        <v>1570</v>
      </c>
      <c r="G274" t="s">
        <v>53</v>
      </c>
      <c r="H274" t="s">
        <v>95</v>
      </c>
      <c r="I274" t="s">
        <v>38</v>
      </c>
      <c r="J274" t="s">
        <v>99</v>
      </c>
      <c r="K274" t="s">
        <v>100</v>
      </c>
      <c r="L274" t="s">
        <v>74</v>
      </c>
      <c r="M274" t="s">
        <v>75</v>
      </c>
      <c r="N274" t="s">
        <v>1571</v>
      </c>
      <c r="O274" t="s">
        <v>31</v>
      </c>
      <c r="P274">
        <v>1</v>
      </c>
      <c r="Q274">
        <v>452.19</v>
      </c>
      <c r="R274">
        <v>0.2</v>
      </c>
      <c r="S274">
        <f>IF(ISNUMBER(SEARCH("%",R274)), VALUE(SUBSTITUTE(R274,"%",""))/100,IF(ISNUMBER(R274), R274, 0))</f>
        <v>0.2</v>
      </c>
      <c r="T274" t="str">
        <f>IF(S274&lt;0,"Negative discount (invalid)",IF(S274&gt;0.5,"Discount above allowed range (invalid)",IF(AND(R274="",S274=0),"Missing discount set to 0","OK")))</f>
        <v>OK</v>
      </c>
      <c r="U274">
        <v>361.75</v>
      </c>
      <c r="V274">
        <v>262.52999999999997</v>
      </c>
      <c r="W274">
        <v>99.22</v>
      </c>
      <c r="X274" t="s">
        <v>32</v>
      </c>
      <c r="Y274" t="s">
        <v>33</v>
      </c>
      <c r="Z274">
        <f>IF(T274="OK",P274*Q274*(1-S274),"invalid")</f>
        <v>361.75200000000001</v>
      </c>
      <c r="AA274">
        <f>IF(Z274="N/A","N/A",Z274-V274)</f>
        <v>99.222000000000037</v>
      </c>
      <c r="AB274" s="8">
        <f>IF(Z274&lt;&gt;"N/A", AA274/Z274, "N/A")</f>
        <v>0.27428182843495003</v>
      </c>
      <c r="AC274">
        <f>MONTH(B274)</f>
        <v>2</v>
      </c>
      <c r="AD274">
        <f>YEAR(B274)</f>
        <v>2024</v>
      </c>
      <c r="AE274" s="10">
        <f t="shared" si="4"/>
        <v>2.0000000000095497E-3</v>
      </c>
      <c r="AF274" t="s">
        <v>2804</v>
      </c>
      <c r="AG274" t="s">
        <v>2811</v>
      </c>
    </row>
    <row r="275" spans="1:33">
      <c r="A275" t="s">
        <v>1572</v>
      </c>
      <c r="B275" s="4">
        <v>45551</v>
      </c>
      <c r="C275" s="4">
        <v>45554</v>
      </c>
      <c r="D275">
        <f>_xlfn.DAYS(C275,B275)</f>
        <v>3</v>
      </c>
      <c r="E275" t="s">
        <v>2804</v>
      </c>
      <c r="F275" t="s">
        <v>1573</v>
      </c>
      <c r="G275" t="s">
        <v>89</v>
      </c>
      <c r="H275" t="s">
        <v>24</v>
      </c>
      <c r="I275" t="s">
        <v>63</v>
      </c>
      <c r="J275" t="s">
        <v>26</v>
      </c>
      <c r="K275" t="s">
        <v>109</v>
      </c>
      <c r="L275" t="s">
        <v>28</v>
      </c>
      <c r="M275" t="s">
        <v>153</v>
      </c>
      <c r="N275" t="s">
        <v>1574</v>
      </c>
      <c r="O275" t="s">
        <v>50</v>
      </c>
      <c r="P275">
        <v>7</v>
      </c>
      <c r="Q275">
        <v>406.42</v>
      </c>
      <c r="R275">
        <v>0.15</v>
      </c>
      <c r="S275">
        <f>IF(ISNUMBER(SEARCH("%",R275)), VALUE(SUBSTITUTE(R275,"%",""))/100,IF(ISNUMBER(R275), R275, 0))</f>
        <v>0.15</v>
      </c>
      <c r="T275" t="str">
        <f>IF(S275&lt;0,"Negative discount (invalid)",IF(S275&gt;0.5,"Discount above allowed range (invalid)",IF(AND(R275="",S275=0),"Missing discount set to 0","OK")))</f>
        <v>OK</v>
      </c>
      <c r="U275">
        <v>2418.1999999999998</v>
      </c>
      <c r="V275">
        <v>1613.82</v>
      </c>
      <c r="W275">
        <v>804.38</v>
      </c>
      <c r="X275" t="s">
        <v>32</v>
      </c>
      <c r="Y275" t="s">
        <v>33</v>
      </c>
      <c r="Z275">
        <f>IF(T275="OK",P275*Q275*(1-S275),"invalid")</f>
        <v>2418.1990000000001</v>
      </c>
      <c r="AA275">
        <f>IF(Z275="N/A","N/A",Z275-V275)</f>
        <v>804.37900000000013</v>
      </c>
      <c r="AB275" s="8">
        <f>IF(Z275&lt;&gt;"N/A", AA275/Z275, "N/A")</f>
        <v>0.33263556886757462</v>
      </c>
      <c r="AC275">
        <f>MONTH(B275)</f>
        <v>9</v>
      </c>
      <c r="AD275">
        <f>YEAR(B275)</f>
        <v>2024</v>
      </c>
      <c r="AE275" s="10">
        <f t="shared" si="4"/>
        <v>9.9999999974897946E-4</v>
      </c>
      <c r="AF275" t="s">
        <v>2804</v>
      </c>
      <c r="AG275" t="s">
        <v>2811</v>
      </c>
    </row>
    <row r="276" spans="1:33">
      <c r="A276" t="s">
        <v>1584</v>
      </c>
      <c r="B276" s="4">
        <v>45610</v>
      </c>
      <c r="C276" s="4">
        <v>45618</v>
      </c>
      <c r="D276">
        <f>_xlfn.DAYS(C276,B276)</f>
        <v>8</v>
      </c>
      <c r="E276" t="s">
        <v>2804</v>
      </c>
      <c r="F276" t="s">
        <v>1585</v>
      </c>
      <c r="G276" t="s">
        <v>47</v>
      </c>
      <c r="H276" t="s">
        <v>24</v>
      </c>
      <c r="I276" t="s">
        <v>63</v>
      </c>
      <c r="J276" t="s">
        <v>72</v>
      </c>
      <c r="K276" t="s">
        <v>73</v>
      </c>
      <c r="L276" t="s">
        <v>74</v>
      </c>
      <c r="M276" t="s">
        <v>171</v>
      </c>
      <c r="N276" t="s">
        <v>1586</v>
      </c>
      <c r="O276" t="s">
        <v>59</v>
      </c>
      <c r="P276">
        <v>3</v>
      </c>
      <c r="Q276">
        <v>671.68</v>
      </c>
      <c r="R276">
        <v>-0.13</v>
      </c>
      <c r="S276">
        <f>IF(ISNUMBER(SEARCH("%",R276)), VALUE(SUBSTITUTE(R276,"%",""))/100,IF(ISNUMBER(R276), R276, 0))</f>
        <v>-0.13</v>
      </c>
      <c r="T276" t="str">
        <f>IF(S276&lt;0,"Negative discount (invalid)",IF(S276&gt;0.5,"Discount above allowed range (invalid)",IF(AND(R276="",S276=0),"Missing discount set to 0","OK")))</f>
        <v>Negative discount (invalid)</v>
      </c>
      <c r="U276">
        <v>1712.78</v>
      </c>
      <c r="V276">
        <v>1569.38</v>
      </c>
      <c r="W276">
        <v>360.66</v>
      </c>
      <c r="X276" t="s">
        <v>155</v>
      </c>
      <c r="Y276" t="s">
        <v>68</v>
      </c>
      <c r="Z276" t="s">
        <v>2793</v>
      </c>
      <c r="AA276" t="str">
        <f>IF(Z276="N/A","N/A",Z276-V276)</f>
        <v>N/A</v>
      </c>
      <c r="AB276" s="8" t="str">
        <f>IF(Z276&lt;&gt;"N/A", AA276/Z276, "N/A")</f>
        <v>N/A</v>
      </c>
      <c r="AC276">
        <f>MONTH(B276)</f>
        <v>11</v>
      </c>
      <c r="AD276">
        <f>YEAR(B276)</f>
        <v>2024</v>
      </c>
      <c r="AE276" s="10" t="str">
        <f t="shared" si="4"/>
        <v>N/A</v>
      </c>
      <c r="AF276" t="s">
        <v>2802</v>
      </c>
      <c r="AG276" t="s">
        <v>2789</v>
      </c>
    </row>
    <row r="277" spans="1:33">
      <c r="A277" t="s">
        <v>1587</v>
      </c>
      <c r="B277" s="4">
        <v>45421</v>
      </c>
      <c r="C277" s="4">
        <v>45427</v>
      </c>
      <c r="D277">
        <f>_xlfn.DAYS(C277,B277)</f>
        <v>6</v>
      </c>
      <c r="E277" t="s">
        <v>2804</v>
      </c>
      <c r="F277" t="s">
        <v>1588</v>
      </c>
      <c r="G277" t="s">
        <v>36</v>
      </c>
      <c r="H277" t="s">
        <v>37</v>
      </c>
      <c r="I277" t="s">
        <v>38</v>
      </c>
      <c r="J277" t="s">
        <v>166</v>
      </c>
      <c r="K277" t="s">
        <v>167</v>
      </c>
      <c r="L277" t="s">
        <v>74</v>
      </c>
      <c r="M277" t="s">
        <v>171</v>
      </c>
      <c r="N277" t="s">
        <v>1589</v>
      </c>
      <c r="O277" t="s">
        <v>31</v>
      </c>
      <c r="P277">
        <v>4</v>
      </c>
      <c r="Q277">
        <v>995.98</v>
      </c>
      <c r="R277">
        <v>0.05</v>
      </c>
      <c r="S277">
        <f>IF(ISNUMBER(SEARCH("%",R277)), VALUE(SUBSTITUTE(R277,"%",""))/100,IF(ISNUMBER(R277), R277, 0))</f>
        <v>0.05</v>
      </c>
      <c r="T277" t="str">
        <f>IF(S277&lt;0,"Negative discount (invalid)",IF(S277&gt;0.5,"Discount above allowed range (invalid)",IF(AND(R277="",S277=0),"Missing discount set to 0","OK")))</f>
        <v>OK</v>
      </c>
      <c r="U277">
        <v>3784.72</v>
      </c>
      <c r="V277">
        <v>2419.2399999999998</v>
      </c>
      <c r="W277">
        <v>1365.48</v>
      </c>
      <c r="X277" t="s">
        <v>102</v>
      </c>
      <c r="Y277" t="s">
        <v>103</v>
      </c>
      <c r="Z277">
        <f>IF(T277="OK",P277*Q277*(1-S277),"invalid")</f>
        <v>3784.7239999999997</v>
      </c>
      <c r="AA277">
        <f>IF(Z277="N/A","N/A",Z277-V277)</f>
        <v>1365.4839999999999</v>
      </c>
      <c r="AB277" s="8">
        <f>IF(Z277&lt;&gt;"N/A", AA277/Z277, "N/A")</f>
        <v>0.36078826355633858</v>
      </c>
      <c r="AC277">
        <f>MONTH(B277)</f>
        <v>5</v>
      </c>
      <c r="AD277">
        <f>YEAR(B277)</f>
        <v>2024</v>
      </c>
      <c r="AE277" s="10">
        <f t="shared" si="4"/>
        <v>3.9999999999054126E-3</v>
      </c>
      <c r="AF277" t="s">
        <v>2804</v>
      </c>
      <c r="AG277" t="s">
        <v>2811</v>
      </c>
    </row>
    <row r="278" spans="1:33">
      <c r="A278" t="s">
        <v>1593</v>
      </c>
      <c r="B278" s="4">
        <v>45533</v>
      </c>
      <c r="C278" s="4">
        <v>45533</v>
      </c>
      <c r="D278">
        <f>_xlfn.DAYS(C278,B278)</f>
        <v>0</v>
      </c>
      <c r="E278" t="s">
        <v>2804</v>
      </c>
      <c r="F278" t="s">
        <v>1594</v>
      </c>
      <c r="G278" t="s">
        <v>132</v>
      </c>
      <c r="H278" t="s">
        <v>37</v>
      </c>
      <c r="I278" t="s">
        <v>25</v>
      </c>
      <c r="J278" t="s">
        <v>136</v>
      </c>
      <c r="K278" t="s">
        <v>137</v>
      </c>
      <c r="L278" t="s">
        <v>74</v>
      </c>
      <c r="M278" t="s">
        <v>75</v>
      </c>
      <c r="N278" t="s">
        <v>1595</v>
      </c>
      <c r="O278" t="s">
        <v>31</v>
      </c>
      <c r="P278">
        <v>1</v>
      </c>
      <c r="Q278">
        <v>3106.88</v>
      </c>
      <c r="R278">
        <v>0.2</v>
      </c>
      <c r="S278">
        <f>IF(ISNUMBER(SEARCH("%",R278)), VALUE(SUBSTITUTE(R278,"%",""))/100,IF(ISNUMBER(R278), R278, 0))</f>
        <v>0.2</v>
      </c>
      <c r="T278" t="str">
        <f>IF(S278&lt;0,"Negative discount (invalid)",IF(S278&gt;0.5,"Discount above allowed range (invalid)",IF(AND(R278="",S278=0),"Missing discount set to 0","OK")))</f>
        <v>OK</v>
      </c>
      <c r="U278">
        <v>2485.5</v>
      </c>
      <c r="V278">
        <v>2028.43</v>
      </c>
      <c r="W278">
        <v>457.07</v>
      </c>
      <c r="X278" t="s">
        <v>32</v>
      </c>
      <c r="Y278" t="s">
        <v>68</v>
      </c>
      <c r="Z278">
        <f>IF(T278="OK",P278*Q278*(1-S278),"invalid")</f>
        <v>2485.5040000000004</v>
      </c>
      <c r="AA278">
        <f>IF(Z278="N/A","N/A",Z278-V278)</f>
        <v>457.0740000000003</v>
      </c>
      <c r="AB278" s="8">
        <f>IF(Z278&lt;&gt;"N/A", AA278/Z278, "N/A")</f>
        <v>0.18389590199814615</v>
      </c>
      <c r="AC278">
        <f>MONTH(B278)</f>
        <v>8</v>
      </c>
      <c r="AD278">
        <f>YEAR(B278)</f>
        <v>2024</v>
      </c>
      <c r="AE278" s="10">
        <f t="shared" si="4"/>
        <v>4.0000000003601599E-3</v>
      </c>
      <c r="AF278" t="s">
        <v>2804</v>
      </c>
      <c r="AG278" t="s">
        <v>2811</v>
      </c>
    </row>
    <row r="279" spans="1:33">
      <c r="A279" t="s">
        <v>1599</v>
      </c>
      <c r="B279" s="4">
        <v>45648</v>
      </c>
      <c r="C279" s="4">
        <v>45652</v>
      </c>
      <c r="D279">
        <f>_xlfn.DAYS(C279,B279)</f>
        <v>4</v>
      </c>
      <c r="E279" t="s">
        <v>2804</v>
      </c>
      <c r="F279" t="s">
        <v>1600</v>
      </c>
      <c r="G279" t="s">
        <v>118</v>
      </c>
      <c r="H279" t="s">
        <v>95</v>
      </c>
      <c r="I279" t="s">
        <v>25</v>
      </c>
      <c r="J279" t="s">
        <v>136</v>
      </c>
      <c r="K279" t="s">
        <v>137</v>
      </c>
      <c r="L279" t="s">
        <v>41</v>
      </c>
      <c r="M279" t="s">
        <v>66</v>
      </c>
      <c r="N279" t="s">
        <v>1601</v>
      </c>
      <c r="O279" t="s">
        <v>59</v>
      </c>
      <c r="P279">
        <v>9</v>
      </c>
      <c r="Q279">
        <v>1110.8699999999999</v>
      </c>
      <c r="R279">
        <v>0</v>
      </c>
      <c r="S279">
        <f>IF(ISNUMBER(SEARCH("%",R279)), VALUE(SUBSTITUTE(R279,"%",""))/100,IF(ISNUMBER(R279), R279, 0))</f>
        <v>0</v>
      </c>
      <c r="T279" t="str">
        <f>IF(S279&lt;0,"Negative discount (invalid)",IF(S279&gt;0.5,"Discount above allowed range (invalid)",IF(AND(R279="",S279=0),"Missing discount set to 0","OK")))</f>
        <v>OK</v>
      </c>
      <c r="U279">
        <v>7498.37</v>
      </c>
      <c r="V279">
        <v>6059.07</v>
      </c>
      <c r="W279">
        <v>1439.3</v>
      </c>
      <c r="X279" t="s">
        <v>32</v>
      </c>
      <c r="Y279" t="s">
        <v>68</v>
      </c>
      <c r="Z279">
        <f>IF(T279="OK",P279*Q279*(1-S279),"invalid")</f>
        <v>9997.8299999999981</v>
      </c>
      <c r="AA279">
        <f>IF(Z279="N/A","N/A",Z279-V279)</f>
        <v>3938.7599999999984</v>
      </c>
      <c r="AB279" s="8">
        <f>IF(Z279&lt;&gt;"N/A", AA279/Z279, "N/A")</f>
        <v>0.3939614896432525</v>
      </c>
      <c r="AC279">
        <f>MONTH(B279)</f>
        <v>12</v>
      </c>
      <c r="AD279">
        <f>YEAR(B279)</f>
        <v>2024</v>
      </c>
      <c r="AE279" s="10">
        <f t="shared" si="4"/>
        <v>2499.4599999999982</v>
      </c>
      <c r="AF279" t="s">
        <v>2807</v>
      </c>
      <c r="AG279" t="s">
        <v>2789</v>
      </c>
    </row>
    <row r="280" spans="1:33">
      <c r="A280" t="s">
        <v>1602</v>
      </c>
      <c r="B280" s="4">
        <v>45429</v>
      </c>
      <c r="C280" s="4">
        <v>45434</v>
      </c>
      <c r="D280">
        <f>_xlfn.DAYS(C280,B280)</f>
        <v>5</v>
      </c>
      <c r="E280" t="s">
        <v>2804</v>
      </c>
      <c r="F280" t="s">
        <v>1603</v>
      </c>
      <c r="G280" t="s">
        <v>132</v>
      </c>
      <c r="H280" t="s">
        <v>24</v>
      </c>
      <c r="I280" t="s">
        <v>54</v>
      </c>
      <c r="J280" t="s">
        <v>185</v>
      </c>
      <c r="K280" t="s">
        <v>186</v>
      </c>
      <c r="L280" t="s">
        <v>74</v>
      </c>
      <c r="M280" t="s">
        <v>171</v>
      </c>
      <c r="N280" t="s">
        <v>1604</v>
      </c>
      <c r="O280" t="s">
        <v>44</v>
      </c>
      <c r="P280">
        <v>9</v>
      </c>
      <c r="Q280">
        <v>3795.99</v>
      </c>
      <c r="R280" t="s">
        <v>768</v>
      </c>
      <c r="S280">
        <f>IF(ISNUMBER(SEARCH("%",R280)), VALUE(SUBSTITUTE(R280,"%",""))/100,IF(ISNUMBER(R280), R280, 0))</f>
        <v>0.85</v>
      </c>
      <c r="T280" t="str">
        <f>IF(S280&lt;0,"Negative discount (invalid)",IF(S280&gt;0.5,"Discount above allowed range (invalid)",IF(AND(R280="",S280=0),"Missing discount set to 0","OK")))</f>
        <v>Discount above allowed range (invalid)</v>
      </c>
      <c r="U280">
        <v>34163.910000000003</v>
      </c>
      <c r="V280">
        <v>28577.15</v>
      </c>
      <c r="W280">
        <v>5586.76</v>
      </c>
      <c r="X280" t="s">
        <v>32</v>
      </c>
      <c r="Y280" t="s">
        <v>33</v>
      </c>
      <c r="Z280" t="s">
        <v>2793</v>
      </c>
      <c r="AA280" t="str">
        <f>IF(Z280="N/A","N/A",Z280-V280)</f>
        <v>N/A</v>
      </c>
      <c r="AB280" s="8" t="str">
        <f>IF(Z280&lt;&gt;"N/A", AA280/Z280, "N/A")</f>
        <v>N/A</v>
      </c>
      <c r="AC280">
        <f>MONTH(B280)</f>
        <v>5</v>
      </c>
      <c r="AD280">
        <f>YEAR(B280)</f>
        <v>2024</v>
      </c>
      <c r="AE280" s="10" t="str">
        <f t="shared" si="4"/>
        <v>N/A</v>
      </c>
      <c r="AF280" t="s">
        <v>2802</v>
      </c>
      <c r="AG280" t="s">
        <v>2789</v>
      </c>
    </row>
    <row r="281" spans="1:33">
      <c r="A281" t="s">
        <v>1605</v>
      </c>
      <c r="B281" s="4">
        <v>45515</v>
      </c>
      <c r="C281" s="4">
        <v>45521</v>
      </c>
      <c r="D281">
        <f>_xlfn.DAYS(C281,B281)</f>
        <v>6</v>
      </c>
      <c r="E281" t="s">
        <v>2804</v>
      </c>
      <c r="F281" t="s">
        <v>809</v>
      </c>
      <c r="G281" t="s">
        <v>79</v>
      </c>
      <c r="H281" t="s">
        <v>24</v>
      </c>
      <c r="I281" t="s">
        <v>38</v>
      </c>
      <c r="J281" t="s">
        <v>228</v>
      </c>
      <c r="K281" t="s">
        <v>229</v>
      </c>
      <c r="L281" t="s">
        <v>28</v>
      </c>
      <c r="M281" t="s">
        <v>48</v>
      </c>
      <c r="N281" t="s">
        <v>1606</v>
      </c>
      <c r="O281" t="s">
        <v>31</v>
      </c>
      <c r="P281">
        <v>6</v>
      </c>
      <c r="Q281">
        <v>3497.54</v>
      </c>
      <c r="R281">
        <v>0.15</v>
      </c>
      <c r="S281">
        <f>IF(ISNUMBER(SEARCH("%",R281)), VALUE(SUBSTITUTE(R281,"%",""))/100,IF(ISNUMBER(R281), R281, 0))</f>
        <v>0.15</v>
      </c>
      <c r="T281" t="str">
        <f>IF(S281&lt;0,"Negative discount (invalid)",IF(S281&gt;0.5,"Discount above allowed range (invalid)",IF(AND(R281="",S281=0),"Missing discount set to 0","OK")))</f>
        <v>OK</v>
      </c>
      <c r="U281">
        <v>17837.45</v>
      </c>
      <c r="V281">
        <v>13627.02</v>
      </c>
      <c r="W281">
        <v>4210.43</v>
      </c>
      <c r="X281" t="s">
        <v>32</v>
      </c>
      <c r="Y281" t="s">
        <v>33</v>
      </c>
      <c r="Z281">
        <f>IF(T281="OK",P281*Q281*(1-S281),"invalid")</f>
        <v>17837.453999999998</v>
      </c>
      <c r="AA281">
        <f>IF(Z281="N/A","N/A",Z281-V281)</f>
        <v>4210.4339999999975</v>
      </c>
      <c r="AB281" s="8">
        <f>IF(Z281&lt;&gt;"N/A", AA281/Z281, "N/A")</f>
        <v>0.23604456106796395</v>
      </c>
      <c r="AC281">
        <f>MONTH(B281)</f>
        <v>8</v>
      </c>
      <c r="AD281">
        <f>YEAR(B281)</f>
        <v>2024</v>
      </c>
      <c r="AE281" s="10">
        <f t="shared" si="4"/>
        <v>3.9999999971769284E-3</v>
      </c>
      <c r="AF281" t="s">
        <v>2804</v>
      </c>
      <c r="AG281" t="s">
        <v>2811</v>
      </c>
    </row>
    <row r="282" spans="1:33">
      <c r="A282" t="s">
        <v>1607</v>
      </c>
      <c r="B282" s="4">
        <v>45383</v>
      </c>
      <c r="C282" s="4">
        <v>45391</v>
      </c>
      <c r="D282">
        <f>_xlfn.DAYS(C282,B282)</f>
        <v>8</v>
      </c>
      <c r="E282" t="s">
        <v>2804</v>
      </c>
      <c r="F282" t="s">
        <v>1608</v>
      </c>
      <c r="G282" t="s">
        <v>114</v>
      </c>
      <c r="H282" t="s">
        <v>37</v>
      </c>
      <c r="I282" t="s">
        <v>38</v>
      </c>
      <c r="J282" t="s">
        <v>39</v>
      </c>
      <c r="K282" t="s">
        <v>40</v>
      </c>
      <c r="L282" t="s">
        <v>74</v>
      </c>
      <c r="M282" t="s">
        <v>80</v>
      </c>
      <c r="N282" t="s">
        <v>1609</v>
      </c>
      <c r="O282" t="s">
        <v>31</v>
      </c>
      <c r="P282">
        <v>6</v>
      </c>
      <c r="Q282">
        <v>826.93</v>
      </c>
      <c r="R282">
        <v>0.1</v>
      </c>
      <c r="S282">
        <f>IF(ISNUMBER(SEARCH("%",R282)), VALUE(SUBSTITUTE(R282,"%",""))/100,IF(ISNUMBER(R282), R282, 0))</f>
        <v>0.1</v>
      </c>
      <c r="T282" t="str">
        <f>IF(S282&lt;0,"Negative discount (invalid)",IF(S282&gt;0.5,"Discount above allowed range (invalid)",IF(AND(R282="",S282=0),"Missing discount set to 0","OK")))</f>
        <v>OK</v>
      </c>
      <c r="U282">
        <v>4465.42</v>
      </c>
      <c r="V282">
        <v>3377.1</v>
      </c>
      <c r="W282">
        <v>1088.32</v>
      </c>
      <c r="X282" t="s">
        <v>32</v>
      </c>
      <c r="Y282" t="s">
        <v>33</v>
      </c>
      <c r="Z282">
        <f>IF(T282="OK",P282*Q282*(1-S282),"invalid")</f>
        <v>4465.4220000000005</v>
      </c>
      <c r="AA282">
        <f>IF(Z282="N/A","N/A",Z282-V282)</f>
        <v>1088.3220000000006</v>
      </c>
      <c r="AB282" s="8">
        <f>IF(Z282&lt;&gt;"N/A", AA282/Z282, "N/A")</f>
        <v>0.24372209390288319</v>
      </c>
      <c r="AC282">
        <f>MONTH(B282)</f>
        <v>4</v>
      </c>
      <c r="AD282">
        <f>YEAR(B282)</f>
        <v>2024</v>
      </c>
      <c r="AE282" s="10">
        <f t="shared" si="4"/>
        <v>2.0000000004074536E-3</v>
      </c>
      <c r="AF282" t="s">
        <v>2804</v>
      </c>
      <c r="AG282" t="s">
        <v>2811</v>
      </c>
    </row>
    <row r="283" spans="1:33">
      <c r="A283" t="s">
        <v>1610</v>
      </c>
      <c r="B283" s="4">
        <v>45563</v>
      </c>
      <c r="C283" s="4">
        <v>45570</v>
      </c>
      <c r="D283">
        <f>_xlfn.DAYS(C283,B283)</f>
        <v>7</v>
      </c>
      <c r="E283" t="s">
        <v>2804</v>
      </c>
      <c r="F283" t="s">
        <v>1611</v>
      </c>
      <c r="G283" t="s">
        <v>128</v>
      </c>
      <c r="H283" t="s">
        <v>24</v>
      </c>
      <c r="I283" t="s">
        <v>54</v>
      </c>
      <c r="J283" t="s">
        <v>247</v>
      </c>
      <c r="K283" t="s">
        <v>248</v>
      </c>
      <c r="L283" t="s">
        <v>74</v>
      </c>
      <c r="M283" t="s">
        <v>171</v>
      </c>
      <c r="N283" t="s">
        <v>1612</v>
      </c>
      <c r="O283" t="s">
        <v>59</v>
      </c>
      <c r="P283">
        <v>7</v>
      </c>
      <c r="Q283">
        <v>1681.6</v>
      </c>
      <c r="R283">
        <v>0.1</v>
      </c>
      <c r="S283">
        <f>IF(ISNUMBER(SEARCH("%",R283)), VALUE(SUBSTITUTE(R283,"%",""))/100,IF(ISNUMBER(R283), R283, 0))</f>
        <v>0.1</v>
      </c>
      <c r="T283" t="str">
        <f>IF(S283&lt;0,"Negative discount (invalid)",IF(S283&gt;0.5,"Discount above allowed range (invalid)",IF(AND(R283="",S283=0),"Missing discount set to 0","OK")))</f>
        <v>OK</v>
      </c>
      <c r="U283">
        <v>10594.08</v>
      </c>
      <c r="V283">
        <v>7160.31</v>
      </c>
      <c r="W283">
        <v>3433.77</v>
      </c>
      <c r="X283" t="s">
        <v>32</v>
      </c>
      <c r="Y283" t="s">
        <v>33</v>
      </c>
      <c r="Z283">
        <f>IF(T283="OK",P283*Q283*(1-S283),"invalid")</f>
        <v>10594.08</v>
      </c>
      <c r="AA283">
        <f>IF(Z283="N/A","N/A",Z283-V283)</f>
        <v>3433.7699999999995</v>
      </c>
      <c r="AB283" s="8">
        <f>IF(Z283&lt;&gt;"N/A", AA283/Z283, "N/A")</f>
        <v>0.32412158488514337</v>
      </c>
      <c r="AC283">
        <f>MONTH(B283)</f>
        <v>9</v>
      </c>
      <c r="AD283">
        <f>YEAR(B283)</f>
        <v>2024</v>
      </c>
      <c r="AE283" s="10">
        <f t="shared" si="4"/>
        <v>0</v>
      </c>
      <c r="AF283" t="s">
        <v>2804</v>
      </c>
      <c r="AG283" t="s">
        <v>2811</v>
      </c>
    </row>
    <row r="284" spans="1:33">
      <c r="A284" t="s">
        <v>1616</v>
      </c>
      <c r="B284" s="4">
        <v>45605</v>
      </c>
      <c r="C284" s="4">
        <v>45610</v>
      </c>
      <c r="D284">
        <f>_xlfn.DAYS(C284,B284)</f>
        <v>5</v>
      </c>
      <c r="E284" t="s">
        <v>2804</v>
      </c>
      <c r="F284" t="s">
        <v>1617</v>
      </c>
      <c r="G284" t="s">
        <v>79</v>
      </c>
      <c r="H284" t="s">
        <v>90</v>
      </c>
      <c r="I284" t="s">
        <v>63</v>
      </c>
      <c r="J284" t="s">
        <v>72</v>
      </c>
      <c r="K284" t="s">
        <v>73</v>
      </c>
      <c r="L284" t="s">
        <v>28</v>
      </c>
      <c r="M284" t="s">
        <v>48</v>
      </c>
      <c r="N284" t="s">
        <v>1618</v>
      </c>
      <c r="O284" t="s">
        <v>50</v>
      </c>
      <c r="P284">
        <v>9</v>
      </c>
      <c r="Q284">
        <v>2438.29</v>
      </c>
      <c r="R284">
        <v>0.2</v>
      </c>
      <c r="S284">
        <f>IF(ISNUMBER(SEARCH("%",R284)), VALUE(SUBSTITUTE(R284,"%",""))/100,IF(ISNUMBER(R284), R284, 0))</f>
        <v>0.2</v>
      </c>
      <c r="T284" t="str">
        <f>IF(S284&lt;0,"Negative discount (invalid)",IF(S284&gt;0.5,"Discount above allowed range (invalid)",IF(AND(R284="",S284=0),"Missing discount set to 0","OK")))</f>
        <v>OK</v>
      </c>
      <c r="U284">
        <v>17555.689999999999</v>
      </c>
      <c r="V284">
        <v>13293.2</v>
      </c>
      <c r="W284">
        <v>4262.49</v>
      </c>
      <c r="X284" t="s">
        <v>32</v>
      </c>
      <c r="Y284" t="s">
        <v>68</v>
      </c>
      <c r="Z284">
        <f>IF(T284="OK",P284*Q284*(1-S284),"invalid")</f>
        <v>17555.688000000002</v>
      </c>
      <c r="AA284">
        <f>IF(Z284="N/A","N/A",Z284-V284)</f>
        <v>4262.4880000000012</v>
      </c>
      <c r="AB284" s="8">
        <f>IF(Z284&lt;&gt;"N/A", AA284/Z284, "N/A")</f>
        <v>0.24279811762432785</v>
      </c>
      <c r="AC284">
        <f>MONTH(B284)</f>
        <v>11</v>
      </c>
      <c r="AD284">
        <f>YEAR(B284)</f>
        <v>2024</v>
      </c>
      <c r="AE284" s="10">
        <f t="shared" si="4"/>
        <v>1.9999999967694748E-3</v>
      </c>
      <c r="AF284" t="s">
        <v>2804</v>
      </c>
      <c r="AG284" t="s">
        <v>2811</v>
      </c>
    </row>
    <row r="285" spans="1:33">
      <c r="A285" t="s">
        <v>1619</v>
      </c>
      <c r="B285" s="4">
        <v>45641</v>
      </c>
      <c r="C285" s="4">
        <v>45641</v>
      </c>
      <c r="D285">
        <f>_xlfn.DAYS(C285,B285)</f>
        <v>0</v>
      </c>
      <c r="E285" t="s">
        <v>2804</v>
      </c>
      <c r="F285" t="s">
        <v>1620</v>
      </c>
      <c r="G285" t="s">
        <v>128</v>
      </c>
      <c r="H285" t="s">
        <v>37</v>
      </c>
      <c r="I285" t="s">
        <v>25</v>
      </c>
      <c r="J285" t="s">
        <v>122</v>
      </c>
      <c r="K285" t="s">
        <v>123</v>
      </c>
      <c r="L285" t="s">
        <v>41</v>
      </c>
      <c r="M285" t="s">
        <v>57</v>
      </c>
      <c r="N285" t="s">
        <v>1621</v>
      </c>
      <c r="O285" t="s">
        <v>50</v>
      </c>
      <c r="P285">
        <v>2</v>
      </c>
      <c r="Q285">
        <v>669.8</v>
      </c>
      <c r="R285">
        <v>0.1</v>
      </c>
      <c r="S285">
        <f>IF(ISNUMBER(SEARCH("%",R285)), VALUE(SUBSTITUTE(R285,"%",""))/100,IF(ISNUMBER(R285), R285, 0))</f>
        <v>0.1</v>
      </c>
      <c r="T285" t="str">
        <f>IF(S285&lt;0,"Negative discount (invalid)",IF(S285&gt;0.5,"Discount above allowed range (invalid)",IF(AND(R285="",S285=0),"Missing discount set to 0","OK")))</f>
        <v>OK</v>
      </c>
      <c r="U285">
        <v>1205.6400000000001</v>
      </c>
      <c r="V285">
        <v>842.07</v>
      </c>
      <c r="W285">
        <v>363.57</v>
      </c>
      <c r="X285" t="s">
        <v>102</v>
      </c>
      <c r="Y285" t="s">
        <v>103</v>
      </c>
      <c r="Z285">
        <f>IF(T285="OK",P285*Q285*(1-S285),"invalid")</f>
        <v>1205.6399999999999</v>
      </c>
      <c r="AA285">
        <f>IF(Z285="N/A","N/A",Z285-V285)</f>
        <v>363.56999999999982</v>
      </c>
      <c r="AB285" s="8">
        <f>IF(Z285&lt;&gt;"N/A", AA285/Z285, "N/A")</f>
        <v>0.30155767890912699</v>
      </c>
      <c r="AC285">
        <f>MONTH(B285)</f>
        <v>12</v>
      </c>
      <c r="AD285">
        <f>YEAR(B285)</f>
        <v>2024</v>
      </c>
      <c r="AE285" s="10">
        <f t="shared" si="4"/>
        <v>2.2737367544323206E-13</v>
      </c>
      <c r="AF285" t="s">
        <v>2804</v>
      </c>
      <c r="AG285" t="s">
        <v>2811</v>
      </c>
    </row>
    <row r="286" spans="1:33">
      <c r="A286" t="s">
        <v>1625</v>
      </c>
      <c r="B286" s="4">
        <v>45382</v>
      </c>
      <c r="C286" s="4">
        <v>45389</v>
      </c>
      <c r="D286">
        <f>_xlfn.DAYS(C286,B286)</f>
        <v>7</v>
      </c>
      <c r="E286" t="s">
        <v>2804</v>
      </c>
      <c r="F286" t="s">
        <v>1626</v>
      </c>
      <c r="G286" t="s">
        <v>47</v>
      </c>
      <c r="H286" t="s">
        <v>37</v>
      </c>
      <c r="I286" t="s">
        <v>25</v>
      </c>
      <c r="J286" t="s">
        <v>236</v>
      </c>
      <c r="K286" t="s">
        <v>237</v>
      </c>
      <c r="L286" t="s">
        <v>74</v>
      </c>
      <c r="M286" t="s">
        <v>274</v>
      </c>
      <c r="N286" t="s">
        <v>1627</v>
      </c>
      <c r="O286" t="s">
        <v>31</v>
      </c>
      <c r="P286">
        <v>4</v>
      </c>
      <c r="Q286">
        <v>1831</v>
      </c>
      <c r="R286">
        <v>0</v>
      </c>
      <c r="S286">
        <f>IF(ISNUMBER(SEARCH("%",R286)), VALUE(SUBSTITUTE(R286,"%",""))/100,IF(ISNUMBER(R286), R286, 0))</f>
        <v>0</v>
      </c>
      <c r="T286" t="str">
        <f>IF(S286&lt;0,"Negative discount (invalid)",IF(S286&gt;0.5,"Discount above allowed range (invalid)",IF(AND(R286="",S286=0),"Missing discount set to 0","OK")))</f>
        <v>OK</v>
      </c>
      <c r="U286">
        <v>7324</v>
      </c>
      <c r="V286">
        <v>4179.63</v>
      </c>
      <c r="W286">
        <v>3144.37</v>
      </c>
      <c r="X286" t="s">
        <v>32</v>
      </c>
      <c r="Y286" t="s">
        <v>33</v>
      </c>
      <c r="Z286">
        <f>IF(T286="OK",P286*Q286*(1-S286),"invalid")</f>
        <v>7324</v>
      </c>
      <c r="AA286">
        <f>IF(Z286="N/A","N/A",Z286-V286)</f>
        <v>3144.37</v>
      </c>
      <c r="AB286" s="8">
        <f>IF(Z286&lt;&gt;"N/A", AA286/Z286, "N/A")</f>
        <v>0.42932413981430911</v>
      </c>
      <c r="AC286">
        <f>MONTH(B286)</f>
        <v>3</v>
      </c>
      <c r="AD286">
        <f>YEAR(B286)</f>
        <v>2024</v>
      </c>
      <c r="AE286" s="10">
        <f t="shared" si="4"/>
        <v>0</v>
      </c>
      <c r="AF286" t="s">
        <v>2804</v>
      </c>
      <c r="AG286" t="s">
        <v>2811</v>
      </c>
    </row>
    <row r="287" spans="1:33">
      <c r="A287" t="s">
        <v>1631</v>
      </c>
      <c r="B287" s="4">
        <v>45583</v>
      </c>
      <c r="C287" s="4">
        <v>45586</v>
      </c>
      <c r="D287">
        <f>_xlfn.DAYS(C287,B287)</f>
        <v>3</v>
      </c>
      <c r="E287" t="s">
        <v>2804</v>
      </c>
      <c r="F287" t="s">
        <v>1632</v>
      </c>
      <c r="G287" t="s">
        <v>128</v>
      </c>
      <c r="H287" t="s">
        <v>24</v>
      </c>
      <c r="I287" t="s">
        <v>54</v>
      </c>
      <c r="J287" t="s">
        <v>175</v>
      </c>
      <c r="K287" t="s">
        <v>176</v>
      </c>
      <c r="L287" t="s">
        <v>28</v>
      </c>
      <c r="M287" t="s">
        <v>124</v>
      </c>
      <c r="N287" t="s">
        <v>1633</v>
      </c>
      <c r="O287" t="s">
        <v>31</v>
      </c>
      <c r="P287">
        <v>2</v>
      </c>
      <c r="Q287">
        <v>4238.51</v>
      </c>
      <c r="R287">
        <v>0</v>
      </c>
      <c r="S287">
        <f>IF(ISNUMBER(SEARCH("%",R287)), VALUE(SUBSTITUTE(R287,"%",""))/100,IF(ISNUMBER(R287), R287, 0))</f>
        <v>0</v>
      </c>
      <c r="T287" t="str">
        <f>IF(S287&lt;0,"Negative discount (invalid)",IF(S287&gt;0.5,"Discount above allowed range (invalid)",IF(AND(R287="",S287=0),"Missing discount set to 0","OK")))</f>
        <v>OK</v>
      </c>
      <c r="U287">
        <v>8477.02</v>
      </c>
      <c r="V287">
        <v>6884.96</v>
      </c>
      <c r="W287">
        <v>1592.06</v>
      </c>
      <c r="X287" t="s">
        <v>32</v>
      </c>
      <c r="Y287" t="s">
        <v>33</v>
      </c>
      <c r="Z287">
        <f>IF(T287="OK",P287*Q287*(1-S287),"invalid")</f>
        <v>8477.02</v>
      </c>
      <c r="AA287">
        <f>IF(Z287="N/A","N/A",Z287-V287)</f>
        <v>1592.0600000000004</v>
      </c>
      <c r="AB287" s="8">
        <f>IF(Z287&lt;&gt;"N/A", AA287/Z287, "N/A")</f>
        <v>0.18780892341884298</v>
      </c>
      <c r="AC287">
        <f>MONTH(B287)</f>
        <v>10</v>
      </c>
      <c r="AD287">
        <f>YEAR(B287)</f>
        <v>2024</v>
      </c>
      <c r="AE287" s="10">
        <f t="shared" si="4"/>
        <v>0</v>
      </c>
      <c r="AF287" t="s">
        <v>2804</v>
      </c>
      <c r="AG287" t="s">
        <v>2811</v>
      </c>
    </row>
    <row r="288" spans="1:33">
      <c r="A288" t="s">
        <v>1634</v>
      </c>
      <c r="B288" s="4">
        <v>45588</v>
      </c>
      <c r="C288" s="4">
        <v>45591</v>
      </c>
      <c r="D288">
        <f>_xlfn.DAYS(C288,B288)</f>
        <v>3</v>
      </c>
      <c r="E288" t="s">
        <v>2804</v>
      </c>
      <c r="F288" t="s">
        <v>1635</v>
      </c>
      <c r="G288" t="s">
        <v>132</v>
      </c>
      <c r="H288" t="s">
        <v>24</v>
      </c>
      <c r="I288" t="s">
        <v>63</v>
      </c>
      <c r="J288" t="s">
        <v>72</v>
      </c>
      <c r="K288" t="s">
        <v>73</v>
      </c>
      <c r="L288" t="s">
        <v>41</v>
      </c>
      <c r="M288" t="s">
        <v>158</v>
      </c>
      <c r="N288" t="s">
        <v>1636</v>
      </c>
      <c r="O288" t="s">
        <v>59</v>
      </c>
      <c r="P288">
        <v>9</v>
      </c>
      <c r="Q288">
        <v>544.27</v>
      </c>
      <c r="R288">
        <v>0.25</v>
      </c>
      <c r="S288">
        <f>IF(ISNUMBER(SEARCH("%",R288)), VALUE(SUBSTITUTE(R288,"%",""))/100,IF(ISNUMBER(R288), R288, 0))</f>
        <v>0.25</v>
      </c>
      <c r="T288" t="str">
        <f>IF(S288&lt;0,"Negative discount (invalid)",IF(S288&gt;0.5,"Discount above allowed range (invalid)",IF(AND(R288="",S288=0),"Missing discount set to 0","OK")))</f>
        <v>OK</v>
      </c>
      <c r="U288">
        <v>3673.82</v>
      </c>
      <c r="V288">
        <v>2088.15</v>
      </c>
      <c r="W288">
        <v>1585.67</v>
      </c>
      <c r="X288" t="s">
        <v>32</v>
      </c>
      <c r="Y288" t="s">
        <v>33</v>
      </c>
      <c r="Z288">
        <f>IF(T288="OK",P288*Q288*(1-S288),"invalid")</f>
        <v>3673.8225000000002</v>
      </c>
      <c r="AA288">
        <f>IF(Z288="N/A","N/A",Z288-V288)</f>
        <v>1585.6725000000001</v>
      </c>
      <c r="AB288" s="8">
        <f>IF(Z288&lt;&gt;"N/A", AA288/Z288, "N/A")</f>
        <v>0.43161380278987349</v>
      </c>
      <c r="AC288">
        <f>MONTH(B288)</f>
        <v>10</v>
      </c>
      <c r="AD288">
        <f>YEAR(B288)</f>
        <v>2024</v>
      </c>
      <c r="AE288" s="10">
        <f t="shared" si="4"/>
        <v>2.5000000000545697E-3</v>
      </c>
      <c r="AF288" t="s">
        <v>2804</v>
      </c>
      <c r="AG288" t="s">
        <v>2811</v>
      </c>
    </row>
    <row r="289" spans="1:33">
      <c r="A289" t="s">
        <v>1642</v>
      </c>
      <c r="B289" s="4">
        <v>45614</v>
      </c>
      <c r="C289" s="4">
        <v>45618</v>
      </c>
      <c r="D289">
        <f>_xlfn.DAYS(C289,B289)</f>
        <v>4</v>
      </c>
      <c r="E289" t="s">
        <v>2804</v>
      </c>
      <c r="F289" t="s">
        <v>1643</v>
      </c>
      <c r="G289" t="s">
        <v>23</v>
      </c>
      <c r="H289" t="s">
        <v>95</v>
      </c>
      <c r="I289" t="s">
        <v>54</v>
      </c>
      <c r="J289" t="s">
        <v>185</v>
      </c>
      <c r="K289" t="s">
        <v>186</v>
      </c>
      <c r="L289" t="s">
        <v>74</v>
      </c>
      <c r="M289" t="s">
        <v>75</v>
      </c>
      <c r="N289" t="s">
        <v>1644</v>
      </c>
      <c r="O289" t="s">
        <v>59</v>
      </c>
      <c r="P289">
        <v>6</v>
      </c>
      <c r="Q289">
        <v>3872.94</v>
      </c>
      <c r="R289">
        <v>0.1</v>
      </c>
      <c r="S289">
        <f>IF(ISNUMBER(SEARCH("%",R289)), VALUE(SUBSTITUTE(R289,"%",""))/100,IF(ISNUMBER(R289), R289, 0))</f>
        <v>0.1</v>
      </c>
      <c r="T289" t="str">
        <f>IF(S289&lt;0,"Negative discount (invalid)",IF(S289&gt;0.5,"Discount above allowed range (invalid)",IF(AND(R289="",S289=0),"Missing discount set to 0","OK")))</f>
        <v>OK</v>
      </c>
      <c r="U289">
        <v>20913.88</v>
      </c>
      <c r="V289">
        <v>11684.68</v>
      </c>
      <c r="W289">
        <v>9229.2000000000007</v>
      </c>
      <c r="X289" t="s">
        <v>32</v>
      </c>
      <c r="Y289" t="s">
        <v>33</v>
      </c>
      <c r="Z289">
        <f>IF(T289="OK",P289*Q289*(1-S289),"invalid")</f>
        <v>20913.876</v>
      </c>
      <c r="AA289">
        <f>IF(Z289="N/A","N/A",Z289-V289)</f>
        <v>9229.1959999999999</v>
      </c>
      <c r="AB289" s="8">
        <f>IF(Z289&lt;&gt;"N/A", AA289/Z289, "N/A")</f>
        <v>0.44129533903710627</v>
      </c>
      <c r="AC289">
        <f>MONTH(B289)</f>
        <v>11</v>
      </c>
      <c r="AD289">
        <f>YEAR(B289)</f>
        <v>2024</v>
      </c>
      <c r="AE289" s="10">
        <f t="shared" si="4"/>
        <v>4.0000000008149073E-3</v>
      </c>
      <c r="AF289" t="s">
        <v>2804</v>
      </c>
      <c r="AG289" t="s">
        <v>2811</v>
      </c>
    </row>
    <row r="290" spans="1:33">
      <c r="A290" t="s">
        <v>1648</v>
      </c>
      <c r="B290" s="4">
        <v>45563</v>
      </c>
      <c r="C290" s="4">
        <v>45569</v>
      </c>
      <c r="D290">
        <f>_xlfn.DAYS(C290,B290)</f>
        <v>6</v>
      </c>
      <c r="E290" t="s">
        <v>2804</v>
      </c>
      <c r="F290" t="s">
        <v>1649</v>
      </c>
      <c r="G290" t="s">
        <v>264</v>
      </c>
      <c r="H290" t="s">
        <v>95</v>
      </c>
      <c r="I290" t="s">
        <v>25</v>
      </c>
      <c r="J290" t="s">
        <v>350</v>
      </c>
      <c r="K290" t="s">
        <v>351</v>
      </c>
      <c r="L290" t="s">
        <v>74</v>
      </c>
      <c r="M290" t="s">
        <v>80</v>
      </c>
      <c r="N290" t="s">
        <v>1650</v>
      </c>
      <c r="O290" t="s">
        <v>59</v>
      </c>
      <c r="P290">
        <v>1</v>
      </c>
      <c r="Q290">
        <v>2233.1799999999998</v>
      </c>
      <c r="R290">
        <v>0</v>
      </c>
      <c r="S290">
        <f>IF(ISNUMBER(SEARCH("%",R290)), VALUE(SUBSTITUTE(R290,"%",""))/100,IF(ISNUMBER(R290), R290, 0))</f>
        <v>0</v>
      </c>
      <c r="T290" t="str">
        <f>IF(S290&lt;0,"Negative discount (invalid)",IF(S290&gt;0.5,"Discount above allowed range (invalid)",IF(AND(R290="",S290=0),"Missing discount set to 0","OK")))</f>
        <v>OK</v>
      </c>
      <c r="U290">
        <v>2233.1799999999998</v>
      </c>
      <c r="V290">
        <v>1585.82</v>
      </c>
      <c r="W290">
        <v>647.36</v>
      </c>
      <c r="X290" t="s">
        <v>155</v>
      </c>
      <c r="Y290" t="s">
        <v>103</v>
      </c>
      <c r="Z290">
        <f>IF(T290="OK",P290*Q290*(1-S290),"invalid")</f>
        <v>2233.1799999999998</v>
      </c>
      <c r="AA290">
        <f>IF(Z290="N/A","N/A",Z290-V290)</f>
        <v>647.3599999999999</v>
      </c>
      <c r="AB290" s="8">
        <f>IF(Z290&lt;&gt;"N/A", AA290/Z290, "N/A")</f>
        <v>0.28988258895386843</v>
      </c>
      <c r="AC290">
        <f>MONTH(B290)</f>
        <v>9</v>
      </c>
      <c r="AD290">
        <f>YEAR(B290)</f>
        <v>2024</v>
      </c>
      <c r="AE290" s="10">
        <f t="shared" si="4"/>
        <v>0</v>
      </c>
      <c r="AF290" t="s">
        <v>2804</v>
      </c>
      <c r="AG290" t="s">
        <v>2811</v>
      </c>
    </row>
    <row r="291" spans="1:33">
      <c r="A291" t="s">
        <v>1660</v>
      </c>
      <c r="B291" s="4">
        <v>45489</v>
      </c>
      <c r="C291" s="4">
        <v>45496</v>
      </c>
      <c r="D291">
        <f>_xlfn.DAYS(C291,B291)</f>
        <v>7</v>
      </c>
      <c r="E291" t="s">
        <v>2804</v>
      </c>
      <c r="F291" t="s">
        <v>1661</v>
      </c>
      <c r="G291" t="s">
        <v>128</v>
      </c>
      <c r="H291" t="s">
        <v>95</v>
      </c>
      <c r="I291" t="s">
        <v>54</v>
      </c>
      <c r="J291" t="s">
        <v>175</v>
      </c>
      <c r="K291" t="s">
        <v>176</v>
      </c>
      <c r="L291" t="s">
        <v>74</v>
      </c>
      <c r="M291" t="s">
        <v>274</v>
      </c>
      <c r="N291" t="s">
        <v>1662</v>
      </c>
      <c r="O291" t="s">
        <v>44</v>
      </c>
      <c r="P291">
        <v>1</v>
      </c>
      <c r="Q291">
        <v>1695.91</v>
      </c>
      <c r="R291">
        <v>0.05</v>
      </c>
      <c r="S291">
        <f>IF(ISNUMBER(SEARCH("%",R291)), VALUE(SUBSTITUTE(R291,"%",""))/100,IF(ISNUMBER(R291), R291, 0))</f>
        <v>0.05</v>
      </c>
      <c r="T291" t="str">
        <f>IF(S291&lt;0,"Negative discount (invalid)",IF(S291&gt;0.5,"Discount above allowed range (invalid)",IF(AND(R291="",S291=0),"Missing discount set to 0","OK")))</f>
        <v>OK</v>
      </c>
      <c r="U291">
        <v>1611.11</v>
      </c>
      <c r="V291">
        <v>895.15</v>
      </c>
      <c r="W291">
        <v>715.96</v>
      </c>
      <c r="X291" t="s">
        <v>32</v>
      </c>
      <c r="Y291" t="s">
        <v>33</v>
      </c>
      <c r="Z291">
        <f>IF(T291="OK",P291*Q291*(1-S291),"invalid")</f>
        <v>1611.1144999999999</v>
      </c>
      <c r="AA291">
        <f>IF(Z291="N/A","N/A",Z291-V291)</f>
        <v>715.96449999999993</v>
      </c>
      <c r="AB291" s="8">
        <f>IF(Z291&lt;&gt;"N/A", AA291/Z291, "N/A")</f>
        <v>0.44439082386757739</v>
      </c>
      <c r="AC291">
        <f>MONTH(B291)</f>
        <v>7</v>
      </c>
      <c r="AD291">
        <f>YEAR(B291)</f>
        <v>2024</v>
      </c>
      <c r="AE291" s="10">
        <f t="shared" si="4"/>
        <v>4.500000000007276E-3</v>
      </c>
      <c r="AF291" t="s">
        <v>2804</v>
      </c>
      <c r="AG291" t="s">
        <v>2811</v>
      </c>
    </row>
    <row r="292" spans="1:33">
      <c r="A292" t="s">
        <v>1669</v>
      </c>
      <c r="B292" s="4">
        <v>45384</v>
      </c>
      <c r="C292" s="4">
        <v>45385</v>
      </c>
      <c r="D292">
        <f>_xlfn.DAYS(C292,B292)</f>
        <v>1</v>
      </c>
      <c r="E292" t="s">
        <v>2804</v>
      </c>
      <c r="F292" t="s">
        <v>1670</v>
      </c>
      <c r="G292" t="s">
        <v>264</v>
      </c>
      <c r="H292" t="s">
        <v>95</v>
      </c>
      <c r="I292" t="s">
        <v>63</v>
      </c>
      <c r="J292" t="s">
        <v>190</v>
      </c>
      <c r="K292" t="s">
        <v>191</v>
      </c>
      <c r="L292" t="s">
        <v>28</v>
      </c>
      <c r="M292" t="s">
        <v>29</v>
      </c>
      <c r="N292" t="s">
        <v>1671</v>
      </c>
      <c r="O292" t="s">
        <v>31</v>
      </c>
      <c r="P292">
        <v>2</v>
      </c>
      <c r="Q292">
        <v>2902.63</v>
      </c>
      <c r="R292">
        <v>0</v>
      </c>
      <c r="S292">
        <f>IF(ISNUMBER(SEARCH("%",R292)), VALUE(SUBSTITUTE(R292,"%",""))/100,IF(ISNUMBER(R292), R292, 0))</f>
        <v>0</v>
      </c>
      <c r="T292" t="str">
        <f>IF(S292&lt;0,"Negative discount (invalid)",IF(S292&gt;0.5,"Discount above allowed range (invalid)",IF(AND(R292="",S292=0),"Missing discount set to 0","OK")))</f>
        <v>OK</v>
      </c>
      <c r="U292">
        <v>5805.26</v>
      </c>
      <c r="V292">
        <v>4654.3599999999997</v>
      </c>
      <c r="W292">
        <v>1150.9000000000001</v>
      </c>
      <c r="X292" t="s">
        <v>32</v>
      </c>
      <c r="Y292" t="s">
        <v>103</v>
      </c>
      <c r="Z292">
        <f>IF(T292="OK",P292*Q292*(1-S292),"invalid")</f>
        <v>5805.26</v>
      </c>
      <c r="AA292">
        <f>IF(Z292="N/A","N/A",Z292-V292)</f>
        <v>1150.9000000000005</v>
      </c>
      <c r="AB292" s="8">
        <f>IF(Z292&lt;&gt;"N/A", AA292/Z292, "N/A")</f>
        <v>0.19825124111581574</v>
      </c>
      <c r="AC292">
        <f>MONTH(B292)</f>
        <v>4</v>
      </c>
      <c r="AD292">
        <f>YEAR(B292)</f>
        <v>2024</v>
      </c>
      <c r="AE292" s="10">
        <f t="shared" si="4"/>
        <v>0</v>
      </c>
      <c r="AF292" t="s">
        <v>2804</v>
      </c>
      <c r="AG292" t="s">
        <v>2811</v>
      </c>
    </row>
    <row r="293" spans="1:33">
      <c r="A293" t="s">
        <v>1672</v>
      </c>
      <c r="B293" s="4">
        <v>45626</v>
      </c>
      <c r="C293" s="4">
        <v>45627</v>
      </c>
      <c r="D293">
        <f>_xlfn.DAYS(C293,B293)</f>
        <v>1</v>
      </c>
      <c r="E293" t="s">
        <v>2804</v>
      </c>
      <c r="F293" t="s">
        <v>1673</v>
      </c>
      <c r="G293" t="s">
        <v>62</v>
      </c>
      <c r="H293" t="s">
        <v>90</v>
      </c>
      <c r="I293" t="s">
        <v>63</v>
      </c>
      <c r="J293" t="s">
        <v>180</v>
      </c>
      <c r="K293" t="s">
        <v>181</v>
      </c>
      <c r="L293" t="s">
        <v>41</v>
      </c>
      <c r="M293" t="s">
        <v>66</v>
      </c>
      <c r="N293" t="s">
        <v>1674</v>
      </c>
      <c r="O293" t="s">
        <v>50</v>
      </c>
      <c r="P293">
        <v>9</v>
      </c>
      <c r="Q293">
        <v>4207.3599999999997</v>
      </c>
      <c r="R293">
        <v>0.1</v>
      </c>
      <c r="S293">
        <f>IF(ISNUMBER(SEARCH("%",R293)), VALUE(SUBSTITUTE(R293,"%",""))/100,IF(ISNUMBER(R293), R293, 0))</f>
        <v>0.1</v>
      </c>
      <c r="T293" t="str">
        <f>IF(S293&lt;0,"Negative discount (invalid)",IF(S293&gt;0.5,"Discount above allowed range (invalid)",IF(AND(R293="",S293=0),"Missing discount set to 0","OK")))</f>
        <v>OK</v>
      </c>
      <c r="U293">
        <v>34079.620000000003</v>
      </c>
      <c r="V293">
        <v>21871.39</v>
      </c>
      <c r="W293">
        <v>12208.23</v>
      </c>
      <c r="X293" t="s">
        <v>32</v>
      </c>
      <c r="Y293" t="s">
        <v>33</v>
      </c>
      <c r="Z293">
        <f>IF(T293="OK",P293*Q293*(1-S293),"invalid")</f>
        <v>34079.616000000002</v>
      </c>
      <c r="AA293">
        <f>IF(Z293="N/A","N/A",Z293-V293)</f>
        <v>12208.226000000002</v>
      </c>
      <c r="AB293" s="8">
        <f>IF(Z293&lt;&gt;"N/A", AA293/Z293, "N/A")</f>
        <v>0.35822663025311091</v>
      </c>
      <c r="AC293">
        <f>MONTH(B293)</f>
        <v>11</v>
      </c>
      <c r="AD293">
        <f>YEAR(B293)</f>
        <v>2024</v>
      </c>
      <c r="AE293" s="10">
        <f t="shared" si="4"/>
        <v>4.0000000008149073E-3</v>
      </c>
      <c r="AF293" t="s">
        <v>2804</v>
      </c>
      <c r="AG293" t="s">
        <v>2811</v>
      </c>
    </row>
    <row r="294" spans="1:33">
      <c r="A294" t="s">
        <v>1675</v>
      </c>
      <c r="B294" s="4">
        <v>45582</v>
      </c>
      <c r="C294" s="4">
        <v>45582</v>
      </c>
      <c r="D294">
        <f>_xlfn.DAYS(C294,B294)</f>
        <v>0</v>
      </c>
      <c r="E294" t="s">
        <v>2804</v>
      </c>
      <c r="F294" t="s">
        <v>1676</v>
      </c>
      <c r="G294" t="s">
        <v>114</v>
      </c>
      <c r="H294" t="s">
        <v>95</v>
      </c>
      <c r="I294" t="s">
        <v>38</v>
      </c>
      <c r="J294" t="s">
        <v>99</v>
      </c>
      <c r="K294" t="s">
        <v>100</v>
      </c>
      <c r="L294" t="s">
        <v>41</v>
      </c>
      <c r="M294" t="s">
        <v>66</v>
      </c>
      <c r="N294" t="s">
        <v>1677</v>
      </c>
      <c r="O294" t="s">
        <v>59</v>
      </c>
      <c r="P294">
        <v>5</v>
      </c>
      <c r="Q294">
        <v>2524.4</v>
      </c>
      <c r="R294">
        <v>0.1</v>
      </c>
      <c r="S294">
        <f>IF(ISNUMBER(SEARCH("%",R294)), VALUE(SUBSTITUTE(R294,"%",""))/100,IF(ISNUMBER(R294), R294, 0))</f>
        <v>0.1</v>
      </c>
      <c r="T294" t="str">
        <f>IF(S294&lt;0,"Negative discount (invalid)",IF(S294&gt;0.5,"Discount above allowed range (invalid)",IF(AND(R294="",S294=0),"Missing discount set to 0","OK")))</f>
        <v>OK</v>
      </c>
      <c r="U294">
        <v>11359.8</v>
      </c>
      <c r="V294">
        <v>7062.44</v>
      </c>
      <c r="W294">
        <v>4297.3599999999997</v>
      </c>
      <c r="X294" t="s">
        <v>32</v>
      </c>
      <c r="Y294" t="s">
        <v>33</v>
      </c>
      <c r="Z294">
        <f>IF(T294="OK",P294*Q294*(1-S294),"invalid")</f>
        <v>11359.800000000001</v>
      </c>
      <c r="AA294">
        <f>IF(Z294="N/A","N/A",Z294-V294)</f>
        <v>4297.3600000000015</v>
      </c>
      <c r="AB294" s="8">
        <f>IF(Z294&lt;&gt;"N/A", AA294/Z294, "N/A")</f>
        <v>0.37829539252451638</v>
      </c>
      <c r="AC294">
        <f>MONTH(B294)</f>
        <v>10</v>
      </c>
      <c r="AD294">
        <f>YEAR(B294)</f>
        <v>2024</v>
      </c>
      <c r="AE294" s="10">
        <f t="shared" si="4"/>
        <v>1.8189894035458565E-12</v>
      </c>
      <c r="AF294" t="s">
        <v>2804</v>
      </c>
      <c r="AG294" t="s">
        <v>2811</v>
      </c>
    </row>
    <row r="295" spans="1:33">
      <c r="A295" t="s">
        <v>1684</v>
      </c>
      <c r="B295" s="4">
        <v>45572</v>
      </c>
      <c r="C295" s="4">
        <v>45574</v>
      </c>
      <c r="D295">
        <f>_xlfn.DAYS(C295,B295)</f>
        <v>2</v>
      </c>
      <c r="E295" t="s">
        <v>2804</v>
      </c>
      <c r="F295" t="s">
        <v>1685</v>
      </c>
      <c r="G295" t="s">
        <v>162</v>
      </c>
      <c r="H295" t="s">
        <v>24</v>
      </c>
      <c r="I295" t="s">
        <v>54</v>
      </c>
      <c r="J295" t="s">
        <v>247</v>
      </c>
      <c r="K295" t="s">
        <v>248</v>
      </c>
      <c r="L295" t="s">
        <v>28</v>
      </c>
      <c r="M295" t="s">
        <v>153</v>
      </c>
      <c r="N295" t="s">
        <v>1686</v>
      </c>
      <c r="O295" t="s">
        <v>59</v>
      </c>
      <c r="P295">
        <v>9</v>
      </c>
      <c r="Q295">
        <v>3457.09</v>
      </c>
      <c r="R295">
        <v>0.05</v>
      </c>
      <c r="S295">
        <f>IF(ISNUMBER(SEARCH("%",R295)), VALUE(SUBSTITUTE(R295,"%",""))/100,IF(ISNUMBER(R295), R295, 0))</f>
        <v>0.05</v>
      </c>
      <c r="T295" t="str">
        <f>IF(S295&lt;0,"Negative discount (invalid)",IF(S295&gt;0.5,"Discount above allowed range (invalid)",IF(AND(R295="",S295=0),"Missing discount set to 0","OK")))</f>
        <v>OK</v>
      </c>
      <c r="U295">
        <v>29558.12</v>
      </c>
      <c r="V295">
        <v>21302.13</v>
      </c>
      <c r="W295">
        <v>8255.99</v>
      </c>
      <c r="X295" t="s">
        <v>111</v>
      </c>
      <c r="Y295" t="s">
        <v>103</v>
      </c>
      <c r="Z295">
        <f>IF(T295="OK",P295*Q295*(1-S295),"invalid")</f>
        <v>29558.119500000001</v>
      </c>
      <c r="AA295">
        <f>IF(Z295="N/A","N/A",Z295-V295)</f>
        <v>8255.9894999999997</v>
      </c>
      <c r="AB295" s="8">
        <f>IF(Z295&lt;&gt;"N/A", AA295/Z295, "N/A")</f>
        <v>0.27931376013281223</v>
      </c>
      <c r="AC295">
        <f>MONTH(B295)</f>
        <v>10</v>
      </c>
      <c r="AD295">
        <f>YEAR(B295)</f>
        <v>2024</v>
      </c>
      <c r="AE295" s="10">
        <f t="shared" si="4"/>
        <v>4.99999998282874E-4</v>
      </c>
      <c r="AF295" t="s">
        <v>2804</v>
      </c>
      <c r="AG295" t="s">
        <v>2811</v>
      </c>
    </row>
    <row r="296" spans="1:33">
      <c r="A296" t="s">
        <v>1687</v>
      </c>
      <c r="B296" s="4">
        <v>45328</v>
      </c>
      <c r="C296" s="4">
        <v>45330</v>
      </c>
      <c r="D296">
        <f>_xlfn.DAYS(C296,B296)</f>
        <v>2</v>
      </c>
      <c r="E296" t="s">
        <v>2804</v>
      </c>
      <c r="F296" t="s">
        <v>730</v>
      </c>
      <c r="G296" t="s">
        <v>23</v>
      </c>
      <c r="H296" t="s">
        <v>24</v>
      </c>
      <c r="I296" t="s">
        <v>38</v>
      </c>
      <c r="J296" t="s">
        <v>228</v>
      </c>
      <c r="K296" t="s">
        <v>229</v>
      </c>
      <c r="L296" t="s">
        <v>41</v>
      </c>
      <c r="M296" t="s">
        <v>158</v>
      </c>
      <c r="N296" t="s">
        <v>1688</v>
      </c>
      <c r="O296" t="s">
        <v>31</v>
      </c>
      <c r="P296">
        <v>9</v>
      </c>
      <c r="Q296">
        <v>1822.25</v>
      </c>
      <c r="R296">
        <v>0</v>
      </c>
      <c r="S296">
        <f>IF(ISNUMBER(SEARCH("%",R296)), VALUE(SUBSTITUTE(R296,"%",""))/100,IF(ISNUMBER(R296), R296, 0))</f>
        <v>0</v>
      </c>
      <c r="T296" t="str">
        <f>IF(S296&lt;0,"Negative discount (invalid)",IF(S296&gt;0.5,"Discount above allowed range (invalid)",IF(AND(R296="",S296=0),"Missing discount set to 0","OK")))</f>
        <v>OK</v>
      </c>
      <c r="U296">
        <v>16400.25</v>
      </c>
      <c r="V296">
        <v>12146.96</v>
      </c>
      <c r="W296">
        <v>4253.29</v>
      </c>
      <c r="X296" t="s">
        <v>32</v>
      </c>
      <c r="Y296" t="s">
        <v>33</v>
      </c>
      <c r="Z296">
        <f>IF(T296="OK",P296*Q296*(1-S296),"invalid")</f>
        <v>16400.25</v>
      </c>
      <c r="AA296">
        <f>IF(Z296="N/A","N/A",Z296-V296)</f>
        <v>4253.2900000000009</v>
      </c>
      <c r="AB296" s="8">
        <f>IF(Z296&lt;&gt;"N/A", AA296/Z296, "N/A")</f>
        <v>0.25934299782015524</v>
      </c>
      <c r="AC296">
        <f>MONTH(B296)</f>
        <v>2</v>
      </c>
      <c r="AD296">
        <f>YEAR(B296)</f>
        <v>2024</v>
      </c>
      <c r="AE296" s="10">
        <f t="shared" si="4"/>
        <v>0</v>
      </c>
      <c r="AF296" t="s">
        <v>2804</v>
      </c>
      <c r="AG296" t="s">
        <v>2811</v>
      </c>
    </row>
    <row r="297" spans="1:33">
      <c r="A297" t="s">
        <v>1692</v>
      </c>
      <c r="B297" s="4">
        <v>45505</v>
      </c>
      <c r="C297" s="4">
        <v>45512</v>
      </c>
      <c r="D297">
        <f>_xlfn.DAYS(C297,B297)</f>
        <v>7</v>
      </c>
      <c r="E297" t="s">
        <v>2804</v>
      </c>
      <c r="F297" t="s">
        <v>1693</v>
      </c>
      <c r="G297" t="s">
        <v>162</v>
      </c>
      <c r="H297" t="s">
        <v>37</v>
      </c>
      <c r="I297" t="s">
        <v>63</v>
      </c>
      <c r="J297" t="s">
        <v>64</v>
      </c>
      <c r="K297" t="s">
        <v>65</v>
      </c>
      <c r="L297" t="s">
        <v>28</v>
      </c>
      <c r="M297" t="s">
        <v>124</v>
      </c>
      <c r="N297" t="s">
        <v>1694</v>
      </c>
      <c r="O297" t="s">
        <v>2785</v>
      </c>
      <c r="P297">
        <v>1</v>
      </c>
      <c r="Q297">
        <v>442.97</v>
      </c>
      <c r="R297">
        <v>0.1</v>
      </c>
      <c r="S297">
        <f>IF(ISNUMBER(SEARCH("%",R297)), VALUE(SUBSTITUTE(R297,"%",""))/100,IF(ISNUMBER(R297), R297, 0))</f>
        <v>0.1</v>
      </c>
      <c r="T297" t="str">
        <f>IF(S297&lt;0,"Negative discount (invalid)",IF(S297&gt;0.5,"Discount above allowed range (invalid)",IF(AND(R297="",S297=0),"Missing discount set to 0","OK")))</f>
        <v>OK</v>
      </c>
      <c r="U297">
        <v>398.67</v>
      </c>
      <c r="V297">
        <v>311.66000000000003</v>
      </c>
      <c r="W297">
        <v>87.01</v>
      </c>
      <c r="X297" t="s">
        <v>32</v>
      </c>
      <c r="Y297" t="s">
        <v>33</v>
      </c>
      <c r="Z297">
        <f>IF(T297="OK",P297*Q297*(1-S297),"invalid")</f>
        <v>398.67300000000006</v>
      </c>
      <c r="AA297">
        <f>IF(Z297="N/A","N/A",Z297-V297)</f>
        <v>87.013000000000034</v>
      </c>
      <c r="AB297" s="8">
        <f>IF(Z297&lt;&gt;"N/A", AA297/Z297, "N/A")</f>
        <v>0.21825656615822997</v>
      </c>
      <c r="AC297">
        <f>MONTH(B297)</f>
        <v>8</v>
      </c>
      <c r="AD297">
        <f>YEAR(B297)</f>
        <v>2024</v>
      </c>
      <c r="AE297" s="10">
        <f t="shared" si="4"/>
        <v>3.0000000000427463E-3</v>
      </c>
      <c r="AF297" t="s">
        <v>2800</v>
      </c>
      <c r="AG297" t="s">
        <v>2798</v>
      </c>
    </row>
    <row r="298" spans="1:33">
      <c r="A298" t="s">
        <v>1698</v>
      </c>
      <c r="B298" s="4">
        <v>45529</v>
      </c>
      <c r="C298" s="4">
        <v>45536</v>
      </c>
      <c r="D298">
        <f>_xlfn.DAYS(C298,B298)</f>
        <v>7</v>
      </c>
      <c r="E298" t="s">
        <v>2804</v>
      </c>
      <c r="F298" t="s">
        <v>1699</v>
      </c>
      <c r="G298" t="s">
        <v>47</v>
      </c>
      <c r="H298" t="s">
        <v>95</v>
      </c>
      <c r="I298" t="s">
        <v>25</v>
      </c>
      <c r="J298" t="s">
        <v>26</v>
      </c>
      <c r="K298" t="s">
        <v>27</v>
      </c>
      <c r="L298" t="s">
        <v>41</v>
      </c>
      <c r="M298" t="s">
        <v>42</v>
      </c>
      <c r="N298" t="s">
        <v>1700</v>
      </c>
      <c r="O298" t="s">
        <v>44</v>
      </c>
      <c r="P298">
        <v>6</v>
      </c>
      <c r="Q298">
        <v>481.3</v>
      </c>
      <c r="R298">
        <v>0.25</v>
      </c>
      <c r="S298">
        <f>IF(ISNUMBER(SEARCH("%",R298)), VALUE(SUBSTITUTE(R298,"%",""))/100,IF(ISNUMBER(R298), R298, 0))</f>
        <v>0.25</v>
      </c>
      <c r="T298" t="str">
        <f>IF(S298&lt;0,"Negative discount (invalid)",IF(S298&gt;0.5,"Discount above allowed range (invalid)",IF(AND(R298="",S298=0),"Missing discount set to 0","OK")))</f>
        <v>OK</v>
      </c>
      <c r="U298">
        <v>2165.85</v>
      </c>
      <c r="V298">
        <v>2124.48</v>
      </c>
      <c r="W298">
        <v>430.45</v>
      </c>
      <c r="X298" t="s">
        <v>32</v>
      </c>
      <c r="Y298" t="s">
        <v>33</v>
      </c>
      <c r="Z298">
        <f>IF(T298="OK",P298*Q298*(1-S298),"invalid")</f>
        <v>2165.8500000000004</v>
      </c>
      <c r="AA298">
        <f>IF(Z298="N/A","N/A",Z298-V298)</f>
        <v>41.370000000000346</v>
      </c>
      <c r="AB298" s="8">
        <f>IF(Z298&lt;&gt;"N/A", AA298/Z298, "N/A")</f>
        <v>1.91010457787937E-2</v>
      </c>
      <c r="AC298">
        <f>MONTH(B298)</f>
        <v>8</v>
      </c>
      <c r="AD298">
        <f>YEAR(B298)</f>
        <v>2024</v>
      </c>
      <c r="AE298" s="10">
        <f t="shared" si="4"/>
        <v>4.5474735088646412E-13</v>
      </c>
      <c r="AF298" t="s">
        <v>2804</v>
      </c>
      <c r="AG298" t="s">
        <v>2811</v>
      </c>
    </row>
    <row r="299" spans="1:33">
      <c r="A299" t="s">
        <v>1704</v>
      </c>
      <c r="B299" s="4">
        <v>45431</v>
      </c>
      <c r="C299" s="4">
        <v>45433</v>
      </c>
      <c r="D299">
        <f>_xlfn.DAYS(C299,B299)</f>
        <v>2</v>
      </c>
      <c r="E299" t="s">
        <v>2804</v>
      </c>
      <c r="F299" t="s">
        <v>1705</v>
      </c>
      <c r="G299" t="s">
        <v>162</v>
      </c>
      <c r="H299" t="s">
        <v>37</v>
      </c>
      <c r="I299" t="s">
        <v>63</v>
      </c>
      <c r="J299" t="s">
        <v>64</v>
      </c>
      <c r="K299" t="s">
        <v>65</v>
      </c>
      <c r="L299" t="s">
        <v>74</v>
      </c>
      <c r="M299" t="s">
        <v>80</v>
      </c>
      <c r="N299" t="s">
        <v>1706</v>
      </c>
      <c r="O299" t="s">
        <v>50</v>
      </c>
      <c r="P299">
        <v>3</v>
      </c>
      <c r="Q299">
        <v>4000.98</v>
      </c>
      <c r="R299">
        <v>0.2</v>
      </c>
      <c r="S299">
        <f>IF(ISNUMBER(SEARCH("%",R299)), VALUE(SUBSTITUTE(R299,"%",""))/100,IF(ISNUMBER(R299), R299, 0))</f>
        <v>0.2</v>
      </c>
      <c r="T299" t="str">
        <f>IF(S299&lt;0,"Negative discount (invalid)",IF(S299&gt;0.5,"Discount above allowed range (invalid)",IF(AND(R299="",S299=0),"Missing discount set to 0","OK")))</f>
        <v>OK</v>
      </c>
      <c r="U299">
        <v>9602.35</v>
      </c>
      <c r="V299">
        <v>7387.57</v>
      </c>
      <c r="W299">
        <v>2214.7800000000002</v>
      </c>
      <c r="X299" t="s">
        <v>32</v>
      </c>
      <c r="Y299" t="s">
        <v>33</v>
      </c>
      <c r="Z299">
        <f>IF(T299="OK",P299*Q299*(1-S299),"invalid")</f>
        <v>9602.3520000000008</v>
      </c>
      <c r="AA299">
        <f>IF(Z299="N/A","N/A",Z299-V299)</f>
        <v>2214.7820000000011</v>
      </c>
      <c r="AB299" s="8">
        <f>IF(Z299&lt;&gt;"N/A", AA299/Z299, "N/A")</f>
        <v>0.23064994909580494</v>
      </c>
      <c r="AC299">
        <f>MONTH(B299)</f>
        <v>5</v>
      </c>
      <c r="AD299">
        <f>YEAR(B299)</f>
        <v>2024</v>
      </c>
      <c r="AE299" s="10">
        <f t="shared" si="4"/>
        <v>2.0000000004074536E-3</v>
      </c>
      <c r="AF299" t="s">
        <v>2804</v>
      </c>
      <c r="AG299" t="s">
        <v>2811</v>
      </c>
    </row>
    <row r="300" spans="1:33">
      <c r="A300" t="s">
        <v>1710</v>
      </c>
      <c r="B300" s="4">
        <v>45313</v>
      </c>
      <c r="C300" s="4">
        <v>45321</v>
      </c>
      <c r="D300">
        <f>_xlfn.DAYS(C300,B300)</f>
        <v>8</v>
      </c>
      <c r="E300" t="s">
        <v>2804</v>
      </c>
      <c r="F300" t="s">
        <v>1711</v>
      </c>
      <c r="G300" t="s">
        <v>62</v>
      </c>
      <c r="H300" t="s">
        <v>37</v>
      </c>
      <c r="I300" t="s">
        <v>25</v>
      </c>
      <c r="J300" t="s">
        <v>236</v>
      </c>
      <c r="K300" t="s">
        <v>237</v>
      </c>
      <c r="L300" t="s">
        <v>28</v>
      </c>
      <c r="M300" t="s">
        <v>48</v>
      </c>
      <c r="N300" t="s">
        <v>1712</v>
      </c>
      <c r="O300" t="s">
        <v>44</v>
      </c>
      <c r="P300">
        <v>3</v>
      </c>
      <c r="Q300">
        <v>676.37</v>
      </c>
      <c r="R300">
        <v>0.05</v>
      </c>
      <c r="S300">
        <f>IF(ISNUMBER(SEARCH("%",R300)), VALUE(SUBSTITUTE(R300,"%",""))/100,IF(ISNUMBER(R300), R300, 0))</f>
        <v>0.05</v>
      </c>
      <c r="T300" t="str">
        <f>IF(S300&lt;0,"Negative discount (invalid)",IF(S300&gt;0.5,"Discount above allowed range (invalid)",IF(AND(R300="",S300=0),"Missing discount set to 0","OK")))</f>
        <v>OK</v>
      </c>
      <c r="U300">
        <v>1927.65</v>
      </c>
      <c r="V300">
        <v>1460.6</v>
      </c>
      <c r="W300">
        <v>467.05</v>
      </c>
      <c r="X300" t="s">
        <v>155</v>
      </c>
      <c r="Y300" t="s">
        <v>68</v>
      </c>
      <c r="Z300">
        <f>IF(T300="OK",P300*Q300*(1-S300),"invalid")</f>
        <v>1927.6545000000001</v>
      </c>
      <c r="AA300">
        <f>IF(Z300="N/A","N/A",Z300-V300)</f>
        <v>467.05450000000019</v>
      </c>
      <c r="AB300" s="8">
        <f>IF(Z300&lt;&gt;"N/A", AA300/Z300, "N/A")</f>
        <v>0.24229160360427668</v>
      </c>
      <c r="AC300">
        <f>MONTH(B300)</f>
        <v>1</v>
      </c>
      <c r="AD300">
        <f>YEAR(B300)</f>
        <v>2024</v>
      </c>
      <c r="AE300" s="10">
        <f t="shared" si="4"/>
        <v>4.500000000007276E-3</v>
      </c>
      <c r="AF300" t="s">
        <v>2804</v>
      </c>
      <c r="AG300" t="s">
        <v>2811</v>
      </c>
    </row>
    <row r="301" spans="1:33">
      <c r="A301" t="s">
        <v>1713</v>
      </c>
      <c r="B301" s="4">
        <v>45560</v>
      </c>
      <c r="C301" s="4">
        <v>45566</v>
      </c>
      <c r="D301">
        <f>_xlfn.DAYS(C301,B301)</f>
        <v>6</v>
      </c>
      <c r="E301" t="s">
        <v>2804</v>
      </c>
      <c r="F301" t="s">
        <v>1714</v>
      </c>
      <c r="G301" t="s">
        <v>162</v>
      </c>
      <c r="H301" t="s">
        <v>37</v>
      </c>
      <c r="I301" t="s">
        <v>38</v>
      </c>
      <c r="J301" t="s">
        <v>228</v>
      </c>
      <c r="K301" t="s">
        <v>229</v>
      </c>
      <c r="L301" t="s">
        <v>41</v>
      </c>
      <c r="M301" t="s">
        <v>42</v>
      </c>
      <c r="N301" t="s">
        <v>1715</v>
      </c>
      <c r="O301" t="s">
        <v>31</v>
      </c>
      <c r="P301">
        <v>9</v>
      </c>
      <c r="Q301">
        <v>3908.6</v>
      </c>
      <c r="R301">
        <v>0.15</v>
      </c>
      <c r="S301">
        <f>IF(ISNUMBER(SEARCH("%",R301)), VALUE(SUBSTITUTE(R301,"%",""))/100,IF(ISNUMBER(R301), R301, 0))</f>
        <v>0.15</v>
      </c>
      <c r="T301" t="str">
        <f>IF(S301&lt;0,"Negative discount (invalid)",IF(S301&gt;0.5,"Discount above allowed range (invalid)",IF(AND(R301="",S301=0),"Missing discount set to 0","OK")))</f>
        <v>OK</v>
      </c>
      <c r="U301">
        <v>29900.79</v>
      </c>
      <c r="V301">
        <v>24650.67</v>
      </c>
      <c r="W301">
        <v>5250.12</v>
      </c>
      <c r="X301" t="s">
        <v>32</v>
      </c>
      <c r="Y301" t="s">
        <v>33</v>
      </c>
      <c r="Z301">
        <f>IF(T301="OK",P301*Q301*(1-S301),"invalid")</f>
        <v>29900.79</v>
      </c>
      <c r="AA301">
        <f>IF(Z301="N/A","N/A",Z301-V301)</f>
        <v>5250.1200000000026</v>
      </c>
      <c r="AB301" s="8">
        <f>IF(Z301&lt;&gt;"N/A", AA301/Z301, "N/A")</f>
        <v>0.17558465846554563</v>
      </c>
      <c r="AC301">
        <f>MONTH(B301)</f>
        <v>9</v>
      </c>
      <c r="AD301">
        <f>YEAR(B301)</f>
        <v>2024</v>
      </c>
      <c r="AE301" s="10">
        <f t="shared" si="4"/>
        <v>0</v>
      </c>
      <c r="AF301" t="s">
        <v>2804</v>
      </c>
      <c r="AG301" t="s">
        <v>2811</v>
      </c>
    </row>
    <row r="302" spans="1:33">
      <c r="A302" t="s">
        <v>1719</v>
      </c>
      <c r="B302" s="4">
        <v>45348</v>
      </c>
      <c r="C302" s="4">
        <v>45345</v>
      </c>
      <c r="D302">
        <f>_xlfn.DAYS(C302,B302)</f>
        <v>-3</v>
      </c>
      <c r="E302" t="str">
        <f>IF(B302="INVALID","Missing/Invalid order_date", IF(C302="INVALID","Missing/Invalid ship_date",IF(AND(B302&lt;&gt;"",C302&lt;&gt;"",C302&lt;B302),"Ship date before order date","")))</f>
        <v>Ship date before order date</v>
      </c>
      <c r="F302" t="s">
        <v>1720</v>
      </c>
      <c r="G302" t="s">
        <v>264</v>
      </c>
      <c r="H302" t="s">
        <v>24</v>
      </c>
      <c r="I302" t="s">
        <v>63</v>
      </c>
      <c r="J302" t="s">
        <v>180</v>
      </c>
      <c r="K302" t="s">
        <v>181</v>
      </c>
      <c r="L302" t="s">
        <v>41</v>
      </c>
      <c r="M302" t="s">
        <v>57</v>
      </c>
      <c r="N302" t="s">
        <v>1721</v>
      </c>
      <c r="O302" t="s">
        <v>59</v>
      </c>
      <c r="P302">
        <v>7</v>
      </c>
      <c r="Q302">
        <v>3852.07</v>
      </c>
      <c r="R302">
        <v>0.2</v>
      </c>
      <c r="S302">
        <f>IF(ISNUMBER(SEARCH("%",R302)), VALUE(SUBSTITUTE(R302,"%",""))/100,IF(ISNUMBER(R302), R302, 0))</f>
        <v>0.2</v>
      </c>
      <c r="T302" t="str">
        <f>IF(S302&lt;0,"Negative discount (invalid)",IF(S302&gt;0.5,"Discount above allowed range (invalid)",IF(AND(R302="",S302=0),"Missing discount set to 0","OK")))</f>
        <v>OK</v>
      </c>
      <c r="U302">
        <v>21571.59</v>
      </c>
      <c r="V302">
        <v>17118.07</v>
      </c>
      <c r="W302">
        <v>4453.5200000000004</v>
      </c>
      <c r="X302" t="s">
        <v>32</v>
      </c>
      <c r="Y302" t="s">
        <v>33</v>
      </c>
      <c r="Z302">
        <f>IF(T302="OK",P302*Q302*(1-S302),"invalid")</f>
        <v>21571.592000000004</v>
      </c>
      <c r="AA302">
        <f>IF(Z302="N/A","N/A",Z302-V302)</f>
        <v>4453.5220000000045</v>
      </c>
      <c r="AB302" s="8">
        <f>IF(Z302&lt;&gt;"N/A", AA302/Z302, "N/A")</f>
        <v>0.20645309813017063</v>
      </c>
      <c r="AC302">
        <f>MONTH(B302)</f>
        <v>2</v>
      </c>
      <c r="AD302">
        <f>YEAR(B302)</f>
        <v>2024</v>
      </c>
      <c r="AE302" s="10">
        <f t="shared" si="4"/>
        <v>2.0000000040454324E-3</v>
      </c>
      <c r="AF302" t="s">
        <v>2806</v>
      </c>
      <c r="AG302" t="s">
        <v>2789</v>
      </c>
    </row>
    <row r="303" spans="1:33">
      <c r="A303" t="s">
        <v>1725</v>
      </c>
      <c r="B303" s="4">
        <v>45552</v>
      </c>
      <c r="C303" s="4">
        <v>45558</v>
      </c>
      <c r="D303">
        <f>_xlfn.DAYS(C303,B303)</f>
        <v>6</v>
      </c>
      <c r="E303" t="s">
        <v>2804</v>
      </c>
      <c r="F303" t="s">
        <v>1726</v>
      </c>
      <c r="G303" t="s">
        <v>118</v>
      </c>
      <c r="H303" t="s">
        <v>95</v>
      </c>
      <c r="I303" t="s">
        <v>54</v>
      </c>
      <c r="J303" t="s">
        <v>185</v>
      </c>
      <c r="K303" t="s">
        <v>186</v>
      </c>
      <c r="L303" t="s">
        <v>41</v>
      </c>
      <c r="M303" t="s">
        <v>158</v>
      </c>
      <c r="N303" t="s">
        <v>1727</v>
      </c>
      <c r="O303" t="s">
        <v>31</v>
      </c>
      <c r="P303">
        <v>3</v>
      </c>
      <c r="Q303">
        <v>4067.62</v>
      </c>
      <c r="R303">
        <v>0.2</v>
      </c>
      <c r="S303">
        <f>IF(ISNUMBER(SEARCH("%",R303)), VALUE(SUBSTITUTE(R303,"%",""))/100,IF(ISNUMBER(R303), R303, 0))</f>
        <v>0.2</v>
      </c>
      <c r="T303" t="str">
        <f>IF(S303&lt;0,"Negative discount (invalid)",IF(S303&gt;0.5,"Discount above allowed range (invalid)",IF(AND(R303="",S303=0),"Missing discount set to 0","OK")))</f>
        <v>OK</v>
      </c>
      <c r="U303">
        <v>9988.5300000000007</v>
      </c>
      <c r="V303">
        <v>8368.24</v>
      </c>
      <c r="W303">
        <v>1394.05</v>
      </c>
      <c r="X303" t="s">
        <v>32</v>
      </c>
      <c r="Y303" t="s">
        <v>68</v>
      </c>
      <c r="Z303">
        <f>IF(T303="OK",P303*Q303*(1-S303),"invalid")</f>
        <v>9762.2880000000005</v>
      </c>
      <c r="AA303">
        <f>IF(Z303="N/A","N/A",Z303-V303)</f>
        <v>1394.0480000000007</v>
      </c>
      <c r="AB303" s="8">
        <f>IF(Z303&lt;&gt;"N/A", AA303/Z303, "N/A")</f>
        <v>0.14279931098119628</v>
      </c>
      <c r="AC303">
        <f>MONTH(B303)</f>
        <v>9</v>
      </c>
      <c r="AD303">
        <f>YEAR(B303)</f>
        <v>2024</v>
      </c>
      <c r="AE303" s="10">
        <f t="shared" si="4"/>
        <v>226.24200000000019</v>
      </c>
      <c r="AF303" t="s">
        <v>2807</v>
      </c>
      <c r="AG303" t="s">
        <v>2789</v>
      </c>
    </row>
    <row r="304" spans="1:33">
      <c r="A304" t="s">
        <v>1728</v>
      </c>
      <c r="B304" s="4">
        <v>45487</v>
      </c>
      <c r="C304" s="4">
        <v>45493</v>
      </c>
      <c r="D304">
        <f>_xlfn.DAYS(C304,B304)</f>
        <v>6</v>
      </c>
      <c r="E304" t="s">
        <v>2804</v>
      </c>
      <c r="F304" t="s">
        <v>1729</v>
      </c>
      <c r="G304" t="s">
        <v>36</v>
      </c>
      <c r="H304" t="s">
        <v>24</v>
      </c>
      <c r="I304" t="s">
        <v>38</v>
      </c>
      <c r="J304" t="s">
        <v>145</v>
      </c>
      <c r="K304" t="s">
        <v>146</v>
      </c>
      <c r="L304" t="s">
        <v>74</v>
      </c>
      <c r="M304" t="s">
        <v>80</v>
      </c>
      <c r="N304" t="s">
        <v>1730</v>
      </c>
      <c r="O304" t="s">
        <v>44</v>
      </c>
      <c r="P304">
        <v>1</v>
      </c>
      <c r="Q304">
        <v>492.67</v>
      </c>
      <c r="R304">
        <v>0.15</v>
      </c>
      <c r="S304">
        <f>IF(ISNUMBER(SEARCH("%",R304)), VALUE(SUBSTITUTE(R304,"%",""))/100,IF(ISNUMBER(R304), R304, 0))</f>
        <v>0.15</v>
      </c>
      <c r="T304" t="str">
        <f>IF(S304&lt;0,"Negative discount (invalid)",IF(S304&gt;0.5,"Discount above allowed range (invalid)",IF(AND(R304="",S304=0),"Missing discount set to 0","OK")))</f>
        <v>OK</v>
      </c>
      <c r="U304">
        <v>418.77</v>
      </c>
      <c r="V304">
        <v>313.72000000000003</v>
      </c>
      <c r="W304">
        <v>105.05</v>
      </c>
      <c r="X304" t="s">
        <v>32</v>
      </c>
      <c r="Y304" t="s">
        <v>33</v>
      </c>
      <c r="Z304">
        <f>IF(T304="OK",P304*Q304*(1-S304),"invalid")</f>
        <v>418.76949999999999</v>
      </c>
      <c r="AA304">
        <f>IF(Z304="N/A","N/A",Z304-V304)</f>
        <v>105.04949999999997</v>
      </c>
      <c r="AB304" s="8">
        <f>IF(Z304&lt;&gt;"N/A", AA304/Z304, "N/A")</f>
        <v>0.25085279610859906</v>
      </c>
      <c r="AC304">
        <f>MONTH(B304)</f>
        <v>7</v>
      </c>
      <c r="AD304">
        <f>YEAR(B304)</f>
        <v>2024</v>
      </c>
      <c r="AE304" s="10">
        <f t="shared" si="4"/>
        <v>4.9999999998817657E-4</v>
      </c>
      <c r="AF304" t="s">
        <v>2804</v>
      </c>
      <c r="AG304" t="s">
        <v>2811</v>
      </c>
    </row>
    <row r="305" spans="1:33">
      <c r="A305" t="s">
        <v>1734</v>
      </c>
      <c r="B305" s="4">
        <v>45439</v>
      </c>
      <c r="C305" s="4">
        <v>45442</v>
      </c>
      <c r="D305">
        <f>_xlfn.DAYS(C305,B305)</f>
        <v>3</v>
      </c>
      <c r="E305" t="s">
        <v>2804</v>
      </c>
      <c r="F305" t="s">
        <v>1735</v>
      </c>
      <c r="G305" t="s">
        <v>264</v>
      </c>
      <c r="H305" t="s">
        <v>37</v>
      </c>
      <c r="I305" t="s">
        <v>38</v>
      </c>
      <c r="J305" t="s">
        <v>228</v>
      </c>
      <c r="K305" t="s">
        <v>229</v>
      </c>
      <c r="L305" t="s">
        <v>28</v>
      </c>
      <c r="M305" t="s">
        <v>124</v>
      </c>
      <c r="N305" t="s">
        <v>1736</v>
      </c>
      <c r="O305" t="s">
        <v>44</v>
      </c>
      <c r="P305">
        <v>7</v>
      </c>
      <c r="Q305">
        <v>2900.86</v>
      </c>
      <c r="R305">
        <v>0.15</v>
      </c>
      <c r="S305">
        <f>IF(ISNUMBER(SEARCH("%",R305)), VALUE(SUBSTITUTE(R305,"%",""))/100,IF(ISNUMBER(R305), R305, 0))</f>
        <v>0.15</v>
      </c>
      <c r="T305" t="str">
        <f>IF(S305&lt;0,"Negative discount (invalid)",IF(S305&gt;0.5,"Discount above allowed range (invalid)",IF(AND(R305="",S305=0),"Missing discount set to 0","OK")))</f>
        <v>OK</v>
      </c>
      <c r="U305">
        <v>17260.12</v>
      </c>
      <c r="V305">
        <v>13513.51</v>
      </c>
      <c r="W305">
        <v>3746.61</v>
      </c>
      <c r="X305" t="s">
        <v>32</v>
      </c>
      <c r="Y305" t="s">
        <v>33</v>
      </c>
      <c r="Z305">
        <f>IF(T305="OK",P305*Q305*(1-S305),"invalid")</f>
        <v>17260.116999999998</v>
      </c>
      <c r="AA305">
        <f>IF(Z305="N/A","N/A",Z305-V305)</f>
        <v>3746.6069999999982</v>
      </c>
      <c r="AB305" s="8">
        <f>IF(Z305&lt;&gt;"N/A", AA305/Z305, "N/A")</f>
        <v>0.21706730029697935</v>
      </c>
      <c r="AC305">
        <f>MONTH(B305)</f>
        <v>5</v>
      </c>
      <c r="AD305">
        <f>YEAR(B305)</f>
        <v>2024</v>
      </c>
      <c r="AE305" s="10">
        <f t="shared" si="4"/>
        <v>3.0000000006111804E-3</v>
      </c>
      <c r="AF305" t="s">
        <v>2804</v>
      </c>
      <c r="AG305" t="s">
        <v>2811</v>
      </c>
    </row>
    <row r="306" spans="1:33">
      <c r="A306" t="s">
        <v>1740</v>
      </c>
      <c r="B306" s="4">
        <v>45428</v>
      </c>
      <c r="C306" s="4">
        <v>45435</v>
      </c>
      <c r="D306">
        <f>_xlfn.DAYS(C306,B306)</f>
        <v>7</v>
      </c>
      <c r="E306" t="s">
        <v>2804</v>
      </c>
      <c r="F306" t="s">
        <v>1741</v>
      </c>
      <c r="G306" t="s">
        <v>79</v>
      </c>
      <c r="H306" t="s">
        <v>37</v>
      </c>
      <c r="I306" t="s">
        <v>25</v>
      </c>
      <c r="J306" t="s">
        <v>136</v>
      </c>
      <c r="K306" t="s">
        <v>137</v>
      </c>
      <c r="L306" t="s">
        <v>74</v>
      </c>
      <c r="M306" t="s">
        <v>80</v>
      </c>
      <c r="N306" t="s">
        <v>1742</v>
      </c>
      <c r="O306" t="s">
        <v>59</v>
      </c>
      <c r="P306">
        <v>9</v>
      </c>
      <c r="Q306">
        <v>3722.09</v>
      </c>
      <c r="R306">
        <v>0.1</v>
      </c>
      <c r="S306">
        <f>IF(ISNUMBER(SEARCH("%",R306)), VALUE(SUBSTITUTE(R306,"%",""))/100,IF(ISNUMBER(R306), R306, 0))</f>
        <v>0.1</v>
      </c>
      <c r="T306" t="str">
        <f>IF(S306&lt;0,"Negative discount (invalid)",IF(S306&gt;0.5,"Discount above allowed range (invalid)",IF(AND(R306="",S306=0),"Missing discount set to 0","OK")))</f>
        <v>OK</v>
      </c>
      <c r="U306">
        <v>30148.93</v>
      </c>
      <c r="V306">
        <v>25155.07</v>
      </c>
      <c r="W306">
        <v>4993.8599999999997</v>
      </c>
      <c r="X306" t="s">
        <v>32</v>
      </c>
      <c r="Y306" t="s">
        <v>33</v>
      </c>
      <c r="Z306">
        <f>IF(T306="OK",P306*Q306*(1-S306),"invalid")</f>
        <v>30148.929</v>
      </c>
      <c r="AA306">
        <f>IF(Z306="N/A","N/A",Z306-V306)</f>
        <v>4993.8590000000004</v>
      </c>
      <c r="AB306" s="8">
        <f>IF(Z306&lt;&gt;"N/A", AA306/Z306, "N/A")</f>
        <v>0.16563968159532302</v>
      </c>
      <c r="AC306">
        <f>MONTH(B306)</f>
        <v>5</v>
      </c>
      <c r="AD306">
        <f>YEAR(B306)</f>
        <v>2024</v>
      </c>
      <c r="AE306" s="10">
        <f t="shared" si="4"/>
        <v>1.0000000002037268E-3</v>
      </c>
      <c r="AF306" t="s">
        <v>2804</v>
      </c>
      <c r="AG306" t="s">
        <v>2811</v>
      </c>
    </row>
    <row r="307" spans="1:33">
      <c r="A307" t="s">
        <v>1743</v>
      </c>
      <c r="B307" s="4">
        <v>45441</v>
      </c>
      <c r="C307" s="4">
        <v>45441</v>
      </c>
      <c r="D307">
        <f>_xlfn.DAYS(C307,B307)</f>
        <v>0</v>
      </c>
      <c r="E307" t="s">
        <v>2804</v>
      </c>
      <c r="F307" t="s">
        <v>1744</v>
      </c>
      <c r="G307" t="s">
        <v>141</v>
      </c>
      <c r="H307" t="s">
        <v>90</v>
      </c>
      <c r="I307" t="s">
        <v>38</v>
      </c>
      <c r="J307" t="s">
        <v>145</v>
      </c>
      <c r="K307" t="s">
        <v>146</v>
      </c>
      <c r="L307" t="s">
        <v>41</v>
      </c>
      <c r="M307" t="s">
        <v>158</v>
      </c>
      <c r="N307" t="s">
        <v>1745</v>
      </c>
      <c r="O307" t="s">
        <v>44</v>
      </c>
      <c r="P307">
        <v>1</v>
      </c>
      <c r="Q307">
        <v>1072.01</v>
      </c>
      <c r="R307">
        <v>0</v>
      </c>
      <c r="S307">
        <f>IF(ISNUMBER(SEARCH("%",R307)), VALUE(SUBSTITUTE(R307,"%",""))/100,IF(ISNUMBER(R307), R307, 0))</f>
        <v>0</v>
      </c>
      <c r="T307" t="str">
        <f>IF(S307&lt;0,"Negative discount (invalid)",IF(S307&gt;0.5,"Discount above allowed range (invalid)",IF(AND(R307="",S307=0),"Missing discount set to 0","OK")))</f>
        <v>OK</v>
      </c>
      <c r="U307">
        <v>1072.01</v>
      </c>
      <c r="V307">
        <v>852.62</v>
      </c>
      <c r="W307">
        <v>219.39</v>
      </c>
      <c r="X307" t="s">
        <v>111</v>
      </c>
      <c r="Y307" t="s">
        <v>68</v>
      </c>
      <c r="Z307">
        <f>IF(T307="OK",P307*Q307*(1-S307),"invalid")</f>
        <v>1072.01</v>
      </c>
      <c r="AA307">
        <f>IF(Z307="N/A","N/A",Z307-V307)</f>
        <v>219.39</v>
      </c>
      <c r="AB307" s="8">
        <f>IF(Z307&lt;&gt;"N/A", AA307/Z307, "N/A")</f>
        <v>0.20465294167032022</v>
      </c>
      <c r="AC307">
        <f>MONTH(B307)</f>
        <v>5</v>
      </c>
      <c r="AD307">
        <f>YEAR(B307)</f>
        <v>2024</v>
      </c>
      <c r="AE307" s="10">
        <f t="shared" si="4"/>
        <v>0</v>
      </c>
      <c r="AF307" t="s">
        <v>2804</v>
      </c>
      <c r="AG307" t="s">
        <v>2811</v>
      </c>
    </row>
    <row r="308" spans="1:33">
      <c r="A308" t="s">
        <v>1749</v>
      </c>
      <c r="B308" s="4">
        <v>45506</v>
      </c>
      <c r="C308" s="4">
        <v>45514</v>
      </c>
      <c r="D308">
        <f>_xlfn.DAYS(C308,B308)</f>
        <v>8</v>
      </c>
      <c r="E308" t="s">
        <v>2804</v>
      </c>
      <c r="F308" t="s">
        <v>1750</v>
      </c>
      <c r="G308" t="s">
        <v>36</v>
      </c>
      <c r="H308" t="s">
        <v>95</v>
      </c>
      <c r="I308" t="s">
        <v>38</v>
      </c>
      <c r="J308" t="s">
        <v>39</v>
      </c>
      <c r="K308" t="s">
        <v>40</v>
      </c>
      <c r="L308" t="s">
        <v>74</v>
      </c>
      <c r="M308" t="s">
        <v>75</v>
      </c>
      <c r="N308" t="s">
        <v>1751</v>
      </c>
      <c r="O308" t="s">
        <v>59</v>
      </c>
      <c r="P308">
        <v>6</v>
      </c>
      <c r="Q308">
        <v>2126.44</v>
      </c>
      <c r="R308">
        <v>0.2</v>
      </c>
      <c r="S308">
        <f>IF(ISNUMBER(SEARCH("%",R308)), VALUE(SUBSTITUTE(R308,"%",""))/100,IF(ISNUMBER(R308), R308, 0))</f>
        <v>0.2</v>
      </c>
      <c r="T308" t="str">
        <f>IF(S308&lt;0,"Negative discount (invalid)",IF(S308&gt;0.5,"Discount above allowed range (invalid)",IF(AND(R308="",S308=0),"Missing discount set to 0","OK")))</f>
        <v>OK</v>
      </c>
      <c r="U308">
        <v>10206.91</v>
      </c>
      <c r="V308">
        <v>6764.53</v>
      </c>
      <c r="W308">
        <v>3442.38</v>
      </c>
      <c r="X308" t="s">
        <v>32</v>
      </c>
      <c r="Y308" t="s">
        <v>33</v>
      </c>
      <c r="Z308">
        <f>IF(T308="OK",P308*Q308*(1-S308),"invalid")</f>
        <v>10206.912</v>
      </c>
      <c r="AA308">
        <f>IF(Z308="N/A","N/A",Z308-V308)</f>
        <v>3442.3820000000005</v>
      </c>
      <c r="AB308" s="8">
        <f>IF(Z308&lt;&gt;"N/A", AA308/Z308, "N/A")</f>
        <v>0.33725988820125036</v>
      </c>
      <c r="AC308">
        <f>MONTH(B308)</f>
        <v>8</v>
      </c>
      <c r="AD308">
        <f>YEAR(B308)</f>
        <v>2024</v>
      </c>
      <c r="AE308" s="10">
        <f t="shared" si="4"/>
        <v>2.0000000004074536E-3</v>
      </c>
      <c r="AF308" t="s">
        <v>2804</v>
      </c>
      <c r="AG308" t="s">
        <v>2811</v>
      </c>
    </row>
    <row r="309" spans="1:33">
      <c r="A309" t="s">
        <v>1752</v>
      </c>
      <c r="B309" s="4">
        <v>45349</v>
      </c>
      <c r="C309" s="4">
        <v>45349</v>
      </c>
      <c r="D309">
        <f>_xlfn.DAYS(C309,B309)</f>
        <v>0</v>
      </c>
      <c r="E309" t="s">
        <v>2804</v>
      </c>
      <c r="F309" t="s">
        <v>1753</v>
      </c>
      <c r="G309" t="s">
        <v>132</v>
      </c>
      <c r="H309" t="s">
        <v>24</v>
      </c>
      <c r="I309" t="s">
        <v>38</v>
      </c>
      <c r="J309" t="s">
        <v>228</v>
      </c>
      <c r="K309" t="s">
        <v>229</v>
      </c>
      <c r="L309" t="s">
        <v>41</v>
      </c>
      <c r="M309" t="s">
        <v>66</v>
      </c>
      <c r="N309" t="s">
        <v>1754</v>
      </c>
      <c r="O309" t="s">
        <v>31</v>
      </c>
      <c r="P309">
        <v>3</v>
      </c>
      <c r="Q309">
        <v>3148.09</v>
      </c>
      <c r="R309">
        <v>0.15</v>
      </c>
      <c r="S309">
        <f>IF(ISNUMBER(SEARCH("%",R309)), VALUE(SUBSTITUTE(R309,"%",""))/100,IF(ISNUMBER(R309), R309, 0))</f>
        <v>0.15</v>
      </c>
      <c r="T309" t="str">
        <f>IF(S309&lt;0,"Negative discount (invalid)",IF(S309&gt;0.5,"Discount above allowed range (invalid)",IF(AND(R309="",S309=0),"Missing discount set to 0","OK")))</f>
        <v>OK</v>
      </c>
      <c r="U309">
        <v>8027.63</v>
      </c>
      <c r="V309">
        <v>5496.09</v>
      </c>
      <c r="W309">
        <v>2531.54</v>
      </c>
      <c r="X309" t="s">
        <v>32</v>
      </c>
      <c r="Y309" t="s">
        <v>33</v>
      </c>
      <c r="Z309">
        <f>IF(T309="OK",P309*Q309*(1-S309),"invalid")</f>
        <v>8027.6295</v>
      </c>
      <c r="AA309">
        <f>IF(Z309="N/A","N/A",Z309-V309)</f>
        <v>2531.5394999999999</v>
      </c>
      <c r="AB309" s="8">
        <f>IF(Z309&lt;&gt;"N/A", AA309/Z309, "N/A")</f>
        <v>0.31535330572991688</v>
      </c>
      <c r="AC309">
        <f>MONTH(B309)</f>
        <v>2</v>
      </c>
      <c r="AD309">
        <f>YEAR(B309)</f>
        <v>2024</v>
      </c>
      <c r="AE309" s="10">
        <f t="shared" si="4"/>
        <v>5.0000000010186341E-4</v>
      </c>
      <c r="AF309" t="s">
        <v>2804</v>
      </c>
      <c r="AG309" t="s">
        <v>2811</v>
      </c>
    </row>
    <row r="310" spans="1:33">
      <c r="A310" t="s">
        <v>1761</v>
      </c>
      <c r="B310" s="4">
        <v>45577</v>
      </c>
      <c r="C310" s="4">
        <v>45582</v>
      </c>
      <c r="D310">
        <f>_xlfn.DAYS(C310,B310)</f>
        <v>5</v>
      </c>
      <c r="E310" t="s">
        <v>2804</v>
      </c>
      <c r="F310" t="s">
        <v>1762</v>
      </c>
      <c r="G310" t="s">
        <v>53</v>
      </c>
      <c r="H310" t="s">
        <v>24</v>
      </c>
      <c r="I310" t="s">
        <v>2785</v>
      </c>
      <c r="J310" t="s">
        <v>228</v>
      </c>
      <c r="K310" t="s">
        <v>229</v>
      </c>
      <c r="L310" t="s">
        <v>41</v>
      </c>
      <c r="M310" t="s">
        <v>57</v>
      </c>
      <c r="N310" t="s">
        <v>1763</v>
      </c>
      <c r="O310" t="s">
        <v>59</v>
      </c>
      <c r="P310">
        <v>4</v>
      </c>
      <c r="Q310">
        <v>1071.22</v>
      </c>
      <c r="R310">
        <v>0.05</v>
      </c>
      <c r="S310">
        <f>IF(ISNUMBER(SEARCH("%",R310)), VALUE(SUBSTITUTE(R310,"%",""))/100,IF(ISNUMBER(R310), R310, 0))</f>
        <v>0.05</v>
      </c>
      <c r="T310" t="str">
        <f>IF(S310&lt;0,"Negative discount (invalid)",IF(S310&gt;0.5,"Discount above allowed range (invalid)",IF(AND(R310="",S310=0),"Missing discount set to 0","OK")))</f>
        <v>OK</v>
      </c>
      <c r="U310">
        <v>4070.64</v>
      </c>
      <c r="V310">
        <v>2831.62</v>
      </c>
      <c r="W310">
        <v>1239.02</v>
      </c>
      <c r="X310" t="s">
        <v>32</v>
      </c>
      <c r="Y310" t="s">
        <v>33</v>
      </c>
      <c r="Z310">
        <f>IF(T310="OK",P310*Q310*(1-S310),"invalid")</f>
        <v>4070.636</v>
      </c>
      <c r="AA310">
        <f>IF(Z310="N/A","N/A",Z310-V310)</f>
        <v>1239.0160000000001</v>
      </c>
      <c r="AB310" s="8">
        <f>IF(Z310&lt;&gt;"N/A", AA310/Z310, "N/A")</f>
        <v>0.30437897173807732</v>
      </c>
      <c r="AC310">
        <f>MONTH(B310)</f>
        <v>10</v>
      </c>
      <c r="AD310">
        <f>YEAR(B310)</f>
        <v>2024</v>
      </c>
      <c r="AE310" s="10">
        <f t="shared" si="4"/>
        <v>3.9999999999054126E-3</v>
      </c>
      <c r="AF310" t="s">
        <v>2799</v>
      </c>
      <c r="AG310" t="s">
        <v>2798</v>
      </c>
    </row>
    <row r="311" spans="1:33">
      <c r="A311" t="s">
        <v>1767</v>
      </c>
      <c r="B311" s="4">
        <v>45466</v>
      </c>
      <c r="C311" s="4">
        <v>45472</v>
      </c>
      <c r="D311">
        <f>_xlfn.DAYS(C311,B311)</f>
        <v>6</v>
      </c>
      <c r="E311" t="s">
        <v>2804</v>
      </c>
      <c r="F311" t="s">
        <v>1768</v>
      </c>
      <c r="G311" t="s">
        <v>79</v>
      </c>
      <c r="H311" t="s">
        <v>24</v>
      </c>
      <c r="I311" t="s">
        <v>25</v>
      </c>
      <c r="J311" t="s">
        <v>236</v>
      </c>
      <c r="K311" t="s">
        <v>237</v>
      </c>
      <c r="L311" t="s">
        <v>41</v>
      </c>
      <c r="M311" t="s">
        <v>42</v>
      </c>
      <c r="N311" t="s">
        <v>1769</v>
      </c>
      <c r="O311" t="s">
        <v>50</v>
      </c>
      <c r="P311">
        <v>1</v>
      </c>
      <c r="Q311">
        <v>4426.66</v>
      </c>
      <c r="R311">
        <v>0</v>
      </c>
      <c r="S311">
        <f>IF(ISNUMBER(SEARCH("%",R311)), VALUE(SUBSTITUTE(R311,"%",""))/100,IF(ISNUMBER(R311), R311, 0))</f>
        <v>0</v>
      </c>
      <c r="T311" t="str">
        <f>IF(S311&lt;0,"Negative discount (invalid)",IF(S311&gt;0.5,"Discount above allowed range (invalid)",IF(AND(R311="",S311=0),"Missing discount set to 0","OK")))</f>
        <v>OK</v>
      </c>
      <c r="U311">
        <v>4426.66</v>
      </c>
      <c r="V311">
        <v>3035.2</v>
      </c>
      <c r="W311">
        <v>1816.23</v>
      </c>
      <c r="X311" t="s">
        <v>32</v>
      </c>
      <c r="Y311" t="s">
        <v>103</v>
      </c>
      <c r="Z311">
        <f>IF(T311="OK",P311*Q311*(1-S311),"invalid")</f>
        <v>4426.66</v>
      </c>
      <c r="AA311">
        <f>IF(Z311="N/A","N/A",Z311-V311)</f>
        <v>1391.46</v>
      </c>
      <c r="AB311" s="8">
        <f>IF(Z311&lt;&gt;"N/A", AA311/Z311, "N/A")</f>
        <v>0.31433631677156143</v>
      </c>
      <c r="AC311">
        <f>MONTH(B311)</f>
        <v>6</v>
      </c>
      <c r="AD311">
        <f>YEAR(B311)</f>
        <v>2024</v>
      </c>
      <c r="AE311" s="10">
        <f t="shared" si="4"/>
        <v>0</v>
      </c>
      <c r="AF311" t="s">
        <v>2804</v>
      </c>
      <c r="AG311" t="s">
        <v>2811</v>
      </c>
    </row>
    <row r="312" spans="1:33">
      <c r="A312" t="s">
        <v>1770</v>
      </c>
      <c r="B312" s="4">
        <v>45420</v>
      </c>
      <c r="C312" s="4">
        <v>45426</v>
      </c>
      <c r="D312">
        <f>_xlfn.DAYS(C312,B312)</f>
        <v>6</v>
      </c>
      <c r="E312" t="s">
        <v>2804</v>
      </c>
      <c r="F312" t="s">
        <v>1771</v>
      </c>
      <c r="G312" t="s">
        <v>71</v>
      </c>
      <c r="H312" t="s">
        <v>95</v>
      </c>
      <c r="I312" t="s">
        <v>25</v>
      </c>
      <c r="J312" t="s">
        <v>236</v>
      </c>
      <c r="K312" t="s">
        <v>237</v>
      </c>
      <c r="L312" t="s">
        <v>74</v>
      </c>
      <c r="M312" t="s">
        <v>171</v>
      </c>
      <c r="N312" t="s">
        <v>1772</v>
      </c>
      <c r="O312" t="s">
        <v>50</v>
      </c>
      <c r="P312">
        <v>9</v>
      </c>
      <c r="Q312">
        <v>3769.46</v>
      </c>
      <c r="R312">
        <v>0.05</v>
      </c>
      <c r="S312">
        <f>IF(ISNUMBER(SEARCH("%",R312)), VALUE(SUBSTITUTE(R312,"%",""))/100,IF(ISNUMBER(R312), R312, 0))</f>
        <v>0.05</v>
      </c>
      <c r="T312" t="str">
        <f>IF(S312&lt;0,"Negative discount (invalid)",IF(S312&gt;0.5,"Discount above allowed range (invalid)",IF(AND(R312="",S312=0),"Missing discount set to 0","OK")))</f>
        <v>OK</v>
      </c>
      <c r="U312">
        <v>32228.880000000001</v>
      </c>
      <c r="V312">
        <v>24971.360000000001</v>
      </c>
      <c r="W312">
        <v>7257.52</v>
      </c>
      <c r="X312" t="s">
        <v>32</v>
      </c>
      <c r="Y312" t="s">
        <v>68</v>
      </c>
      <c r="Z312">
        <f>IF(T312="OK",P312*Q312*(1-S312),"invalid")</f>
        <v>32228.882999999998</v>
      </c>
      <c r="AA312">
        <f>IF(Z312="N/A","N/A",Z312-V312)</f>
        <v>7257.5229999999974</v>
      </c>
      <c r="AB312" s="8">
        <f>IF(Z312&lt;&gt;"N/A", AA312/Z312, "N/A")</f>
        <v>0.22518692317074712</v>
      </c>
      <c r="AC312">
        <f>MONTH(B312)</f>
        <v>5</v>
      </c>
      <c r="AD312">
        <f>YEAR(B312)</f>
        <v>2024</v>
      </c>
      <c r="AE312" s="10">
        <f t="shared" si="4"/>
        <v>2.9999999969732016E-3</v>
      </c>
      <c r="AF312" t="s">
        <v>2804</v>
      </c>
      <c r="AG312" t="s">
        <v>2811</v>
      </c>
    </row>
    <row r="313" spans="1:33">
      <c r="A313" t="s">
        <v>1779</v>
      </c>
      <c r="B313" s="4">
        <v>45307</v>
      </c>
      <c r="C313" s="4">
        <v>45313</v>
      </c>
      <c r="D313">
        <f>_xlfn.DAYS(C313,B313)</f>
        <v>6</v>
      </c>
      <c r="E313" t="s">
        <v>2804</v>
      </c>
      <c r="F313" t="s">
        <v>1780</v>
      </c>
      <c r="G313" t="s">
        <v>53</v>
      </c>
      <c r="H313" t="s">
        <v>24</v>
      </c>
      <c r="I313" t="s">
        <v>63</v>
      </c>
      <c r="J313" t="s">
        <v>190</v>
      </c>
      <c r="K313" t="s">
        <v>191</v>
      </c>
      <c r="L313" t="s">
        <v>28</v>
      </c>
      <c r="M313" t="s">
        <v>124</v>
      </c>
      <c r="N313" t="s">
        <v>1781</v>
      </c>
      <c r="O313" t="s">
        <v>59</v>
      </c>
      <c r="P313">
        <v>4</v>
      </c>
      <c r="Q313">
        <v>282.52999999999997</v>
      </c>
      <c r="R313">
        <v>0</v>
      </c>
      <c r="S313">
        <f>IF(ISNUMBER(SEARCH("%",R313)), VALUE(SUBSTITUTE(R313,"%",""))/100,IF(ISNUMBER(R313), R313, 0))</f>
        <v>0</v>
      </c>
      <c r="T313" t="str">
        <f>IF(S313&lt;0,"Negative discount (invalid)",IF(S313&gt;0.5,"Discount above allowed range (invalid)",IF(AND(R313="",S313=0),"Missing discount set to 0","OK")))</f>
        <v>OK</v>
      </c>
      <c r="U313">
        <v>1130.1199999999999</v>
      </c>
      <c r="V313">
        <v>848.62</v>
      </c>
      <c r="W313">
        <v>281.5</v>
      </c>
      <c r="X313" t="s">
        <v>32</v>
      </c>
      <c r="Y313" t="s">
        <v>68</v>
      </c>
      <c r="Z313">
        <f>IF(T313="OK",P313*Q313*(1-S313),"invalid")</f>
        <v>1130.1199999999999</v>
      </c>
      <c r="AA313">
        <f>IF(Z313="N/A","N/A",Z313-V313)</f>
        <v>281.49999999999989</v>
      </c>
      <c r="AB313" s="8">
        <f>IF(Z313&lt;&gt;"N/A", AA313/Z313, "N/A")</f>
        <v>0.249088592361873</v>
      </c>
      <c r="AC313">
        <f>MONTH(B313)</f>
        <v>1</v>
      </c>
      <c r="AD313">
        <f>YEAR(B313)</f>
        <v>2024</v>
      </c>
      <c r="AE313" s="10">
        <f t="shared" si="4"/>
        <v>0</v>
      </c>
      <c r="AF313" t="s">
        <v>2804</v>
      </c>
      <c r="AG313" t="s">
        <v>2811</v>
      </c>
    </row>
    <row r="314" spans="1:33">
      <c r="A314" t="s">
        <v>1785</v>
      </c>
      <c r="B314" s="4">
        <v>45422</v>
      </c>
      <c r="C314" s="4">
        <v>45428</v>
      </c>
      <c r="D314">
        <f>_xlfn.DAYS(C314,B314)</f>
        <v>6</v>
      </c>
      <c r="E314" t="s">
        <v>2804</v>
      </c>
      <c r="F314" t="s">
        <v>1786</v>
      </c>
      <c r="G314" t="s">
        <v>23</v>
      </c>
      <c r="H314" t="s">
        <v>24</v>
      </c>
      <c r="I314" t="s">
        <v>25</v>
      </c>
      <c r="J314" t="s">
        <v>122</v>
      </c>
      <c r="K314" t="s">
        <v>123</v>
      </c>
      <c r="L314" t="s">
        <v>28</v>
      </c>
      <c r="M314" t="s">
        <v>153</v>
      </c>
      <c r="N314" t="s">
        <v>1787</v>
      </c>
      <c r="O314" t="s">
        <v>44</v>
      </c>
      <c r="P314">
        <v>7</v>
      </c>
      <c r="Q314">
        <v>121.54</v>
      </c>
      <c r="R314">
        <v>0.2</v>
      </c>
      <c r="S314">
        <f>IF(ISNUMBER(SEARCH("%",R314)), VALUE(SUBSTITUTE(R314,"%",""))/100,IF(ISNUMBER(R314), R314, 0))</f>
        <v>0.2</v>
      </c>
      <c r="T314" t="str">
        <f>IF(S314&lt;0,"Negative discount (invalid)",IF(S314&gt;0.5,"Discount above allowed range (invalid)",IF(AND(R314="",S314=0),"Missing discount set to 0","OK")))</f>
        <v>OK</v>
      </c>
      <c r="U314">
        <v>680.62</v>
      </c>
      <c r="V314">
        <v>463.49</v>
      </c>
      <c r="W314">
        <v>217.13</v>
      </c>
      <c r="X314" t="s">
        <v>155</v>
      </c>
      <c r="Y314" t="s">
        <v>103</v>
      </c>
      <c r="Z314">
        <f>IF(T314="OK",P314*Q314*(1-S314),"invalid")</f>
        <v>680.62400000000014</v>
      </c>
      <c r="AA314">
        <f>IF(Z314="N/A","N/A",Z314-V314)</f>
        <v>217.13400000000013</v>
      </c>
      <c r="AB314" s="8">
        <f>IF(Z314&lt;&gt;"N/A", AA314/Z314, "N/A")</f>
        <v>0.31902195632243363</v>
      </c>
      <c r="AC314">
        <f>MONTH(B314)</f>
        <v>5</v>
      </c>
      <c r="AD314">
        <f>YEAR(B314)</f>
        <v>2024</v>
      </c>
      <c r="AE314" s="10">
        <f t="shared" si="4"/>
        <v>4.0000000001327862E-3</v>
      </c>
      <c r="AF314" t="s">
        <v>2804</v>
      </c>
      <c r="AG314" t="s">
        <v>2811</v>
      </c>
    </row>
    <row r="315" spans="1:33">
      <c r="A315" t="s">
        <v>1788</v>
      </c>
      <c r="B315" s="4">
        <v>45418</v>
      </c>
      <c r="C315" s="4">
        <v>45424</v>
      </c>
      <c r="D315">
        <f>_xlfn.DAYS(C315,B315)</f>
        <v>6</v>
      </c>
      <c r="E315" t="s">
        <v>2804</v>
      </c>
      <c r="F315" t="s">
        <v>1789</v>
      </c>
      <c r="G315" t="s">
        <v>53</v>
      </c>
      <c r="H315" t="s">
        <v>90</v>
      </c>
      <c r="I315" t="s">
        <v>63</v>
      </c>
      <c r="J315" t="s">
        <v>190</v>
      </c>
      <c r="K315" t="s">
        <v>191</v>
      </c>
      <c r="L315" t="s">
        <v>41</v>
      </c>
      <c r="M315" t="s">
        <v>42</v>
      </c>
      <c r="N315" t="s">
        <v>1790</v>
      </c>
      <c r="O315" t="s">
        <v>59</v>
      </c>
      <c r="P315">
        <v>9</v>
      </c>
      <c r="Q315">
        <v>790.97</v>
      </c>
      <c r="R315">
        <v>0.2</v>
      </c>
      <c r="S315">
        <f>IF(ISNUMBER(SEARCH("%",R315)), VALUE(SUBSTITUTE(R315,"%",""))/100,IF(ISNUMBER(R315), R315, 0))</f>
        <v>0.2</v>
      </c>
      <c r="T315" t="str">
        <f>IF(S315&lt;0,"Negative discount (invalid)",IF(S315&gt;0.5,"Discount above allowed range (invalid)",IF(AND(R315="",S315=0),"Missing discount set to 0","OK")))</f>
        <v>OK</v>
      </c>
      <c r="U315">
        <v>5694.98</v>
      </c>
      <c r="V315">
        <v>4618.33</v>
      </c>
      <c r="W315">
        <v>1076.6500000000001</v>
      </c>
      <c r="X315" t="s">
        <v>111</v>
      </c>
      <c r="Y315" t="s">
        <v>68</v>
      </c>
      <c r="Z315">
        <f>IF(T315="OK",P315*Q315*(1-S315),"invalid")</f>
        <v>5694.9840000000004</v>
      </c>
      <c r="AA315">
        <f>IF(Z315="N/A","N/A",Z315-V315)</f>
        <v>1076.6540000000005</v>
      </c>
      <c r="AB315" s="8">
        <f>IF(Z315&lt;&gt;"N/A", AA315/Z315, "N/A")</f>
        <v>0.1890530333360024</v>
      </c>
      <c r="AC315">
        <f>MONTH(B315)</f>
        <v>5</v>
      </c>
      <c r="AD315">
        <f>YEAR(B315)</f>
        <v>2024</v>
      </c>
      <c r="AE315" s="10">
        <f t="shared" si="4"/>
        <v>4.0000000008149073E-3</v>
      </c>
      <c r="AF315" t="s">
        <v>2804</v>
      </c>
      <c r="AG315" t="s">
        <v>2811</v>
      </c>
    </row>
    <row r="316" spans="1:33">
      <c r="A316" t="s">
        <v>1791</v>
      </c>
      <c r="B316" s="4">
        <v>45606</v>
      </c>
      <c r="C316" s="4">
        <v>45610</v>
      </c>
      <c r="D316">
        <f>_xlfn.DAYS(C316,B316)</f>
        <v>4</v>
      </c>
      <c r="E316" t="s">
        <v>2804</v>
      </c>
      <c r="F316" t="s">
        <v>1792</v>
      </c>
      <c r="G316" t="s">
        <v>132</v>
      </c>
      <c r="H316" t="s">
        <v>90</v>
      </c>
      <c r="I316" t="s">
        <v>54</v>
      </c>
      <c r="J316" t="s">
        <v>84</v>
      </c>
      <c r="K316" t="s">
        <v>85</v>
      </c>
      <c r="L316" t="s">
        <v>41</v>
      </c>
      <c r="M316" t="s">
        <v>42</v>
      </c>
      <c r="N316" t="s">
        <v>1793</v>
      </c>
      <c r="O316" t="s">
        <v>50</v>
      </c>
      <c r="P316">
        <v>2</v>
      </c>
      <c r="Q316">
        <v>921.34</v>
      </c>
      <c r="R316">
        <v>0.2</v>
      </c>
      <c r="S316">
        <f>IF(ISNUMBER(SEARCH("%",R316)), VALUE(SUBSTITUTE(R316,"%",""))/100,IF(ISNUMBER(R316), R316, 0))</f>
        <v>0.2</v>
      </c>
      <c r="T316" t="str">
        <f>IF(S316&lt;0,"Negative discount (invalid)",IF(S316&gt;0.5,"Discount above allowed range (invalid)",IF(AND(R316="",S316=0),"Missing discount set to 0","OK")))</f>
        <v>OK</v>
      </c>
      <c r="U316">
        <v>1474.14</v>
      </c>
      <c r="V316">
        <v>968.46</v>
      </c>
      <c r="W316">
        <v>505.68</v>
      </c>
      <c r="X316" t="s">
        <v>32</v>
      </c>
      <c r="Y316" t="s">
        <v>33</v>
      </c>
      <c r="Z316">
        <f>IF(T316="OK",P316*Q316*(1-S316),"invalid")</f>
        <v>1474.1440000000002</v>
      </c>
      <c r="AA316">
        <f>IF(Z316="N/A","N/A",Z316-V316)</f>
        <v>505.6840000000002</v>
      </c>
      <c r="AB316" s="8">
        <f>IF(Z316&lt;&gt;"N/A", AA316/Z316, "N/A")</f>
        <v>0.34303568715132315</v>
      </c>
      <c r="AC316">
        <f>MONTH(B316)</f>
        <v>11</v>
      </c>
      <c r="AD316">
        <f>YEAR(B316)</f>
        <v>2024</v>
      </c>
      <c r="AE316" s="10">
        <f t="shared" si="4"/>
        <v>4.0000000001327862E-3</v>
      </c>
      <c r="AF316" t="s">
        <v>2804</v>
      </c>
      <c r="AG316" t="s">
        <v>2811</v>
      </c>
    </row>
    <row r="317" spans="1:33">
      <c r="A317" t="s">
        <v>1797</v>
      </c>
      <c r="B317" s="4">
        <v>45515</v>
      </c>
      <c r="C317" s="4">
        <v>45523</v>
      </c>
      <c r="D317">
        <f>_xlfn.DAYS(C317,B317)</f>
        <v>8</v>
      </c>
      <c r="E317" t="s">
        <v>2804</v>
      </c>
      <c r="F317" t="s">
        <v>1798</v>
      </c>
      <c r="G317" t="s">
        <v>132</v>
      </c>
      <c r="H317" t="s">
        <v>37</v>
      </c>
      <c r="I317" t="s">
        <v>63</v>
      </c>
      <c r="J317" t="s">
        <v>64</v>
      </c>
      <c r="K317" t="s">
        <v>65</v>
      </c>
      <c r="L317" t="s">
        <v>28</v>
      </c>
      <c r="M317" t="s">
        <v>29</v>
      </c>
      <c r="N317" t="s">
        <v>1799</v>
      </c>
      <c r="O317" t="s">
        <v>44</v>
      </c>
      <c r="P317">
        <v>2</v>
      </c>
      <c r="Q317">
        <v>2617.89</v>
      </c>
      <c r="R317">
        <v>0.1</v>
      </c>
      <c r="S317">
        <f>IF(ISNUMBER(SEARCH("%",R317)), VALUE(SUBSTITUTE(R317,"%",""))/100,IF(ISNUMBER(R317), R317, 0))</f>
        <v>0.1</v>
      </c>
      <c r="T317" t="str">
        <f>IF(S317&lt;0,"Negative discount (invalid)",IF(S317&gt;0.5,"Discount above allowed range (invalid)",IF(AND(R317="",S317=0),"Missing discount set to 0","OK")))</f>
        <v>OK</v>
      </c>
      <c r="U317">
        <v>4712.2</v>
      </c>
      <c r="V317">
        <v>3851.91</v>
      </c>
      <c r="W317">
        <v>860.29</v>
      </c>
      <c r="X317" t="s">
        <v>155</v>
      </c>
      <c r="Y317" t="s">
        <v>103</v>
      </c>
      <c r="Z317">
        <f>IF(T317="OK",P317*Q317*(1-S317),"invalid")</f>
        <v>4712.2020000000002</v>
      </c>
      <c r="AA317">
        <f>IF(Z317="N/A","N/A",Z317-V317)</f>
        <v>860.29200000000037</v>
      </c>
      <c r="AB317" s="8">
        <f>IF(Z317&lt;&gt;"N/A", AA317/Z317, "N/A")</f>
        <v>0.18256687637754077</v>
      </c>
      <c r="AC317">
        <f>MONTH(B317)</f>
        <v>8</v>
      </c>
      <c r="AD317">
        <f>YEAR(B317)</f>
        <v>2024</v>
      </c>
      <c r="AE317" s="10">
        <f t="shared" si="4"/>
        <v>2.0000000004074536E-3</v>
      </c>
      <c r="AF317" t="s">
        <v>2804</v>
      </c>
      <c r="AG317" t="s">
        <v>2811</v>
      </c>
    </row>
    <row r="318" spans="1:33">
      <c r="A318" t="s">
        <v>1800</v>
      </c>
      <c r="B318" s="4">
        <v>45328</v>
      </c>
      <c r="C318" s="4">
        <v>45332</v>
      </c>
      <c r="D318">
        <f>_xlfn.DAYS(C318,B318)</f>
        <v>4</v>
      </c>
      <c r="E318" t="s">
        <v>2804</v>
      </c>
      <c r="F318" t="s">
        <v>1801</v>
      </c>
      <c r="G318" t="s">
        <v>53</v>
      </c>
      <c r="H318" t="s">
        <v>95</v>
      </c>
      <c r="I318" t="s">
        <v>25</v>
      </c>
      <c r="J318" t="s">
        <v>136</v>
      </c>
      <c r="K318" t="s">
        <v>137</v>
      </c>
      <c r="L318" t="s">
        <v>41</v>
      </c>
      <c r="M318" t="s">
        <v>57</v>
      </c>
      <c r="N318" t="s">
        <v>598</v>
      </c>
      <c r="O318" t="s">
        <v>44</v>
      </c>
      <c r="P318">
        <v>1</v>
      </c>
      <c r="Q318">
        <v>1374.06</v>
      </c>
      <c r="R318">
        <v>0.05</v>
      </c>
      <c r="S318">
        <f>IF(ISNUMBER(SEARCH("%",R318)), VALUE(SUBSTITUTE(R318,"%",""))/100,IF(ISNUMBER(R318), R318, 0))</f>
        <v>0.05</v>
      </c>
      <c r="T318" t="str">
        <f>IF(S318&lt;0,"Negative discount (invalid)",IF(S318&gt;0.5,"Discount above allowed range (invalid)",IF(AND(R318="",S318=0),"Missing discount set to 0","OK")))</f>
        <v>OK</v>
      </c>
      <c r="U318">
        <v>1305.3599999999999</v>
      </c>
      <c r="V318">
        <v>731.89</v>
      </c>
      <c r="W318">
        <v>573.47</v>
      </c>
      <c r="X318" t="s">
        <v>32</v>
      </c>
      <c r="Y318" t="s">
        <v>33</v>
      </c>
      <c r="Z318">
        <f>IF(T318="OK",P318*Q318*(1-S318),"invalid")</f>
        <v>1305.357</v>
      </c>
      <c r="AA318">
        <f>IF(Z318="N/A","N/A",Z318-V318)</f>
        <v>573.46699999999998</v>
      </c>
      <c r="AB318" s="8">
        <f>IF(Z318&lt;&gt;"N/A", AA318/Z318, "N/A")</f>
        <v>0.4393181328939133</v>
      </c>
      <c r="AC318">
        <f>MONTH(B318)</f>
        <v>2</v>
      </c>
      <c r="AD318">
        <f>YEAR(B318)</f>
        <v>2024</v>
      </c>
      <c r="AE318" s="10">
        <f t="shared" si="4"/>
        <v>2.9999999999290594E-3</v>
      </c>
      <c r="AF318" t="s">
        <v>2804</v>
      </c>
      <c r="AG318" t="s">
        <v>2811</v>
      </c>
    </row>
    <row r="319" spans="1:33">
      <c r="A319" t="s">
        <v>1802</v>
      </c>
      <c r="B319" s="4">
        <v>45312</v>
      </c>
      <c r="C319" s="4">
        <v>45315</v>
      </c>
      <c r="D319">
        <f>_xlfn.DAYS(C319,B319)</f>
        <v>3</v>
      </c>
      <c r="E319" t="s">
        <v>2804</v>
      </c>
      <c r="F319" t="s">
        <v>1803</v>
      </c>
      <c r="G319" t="s">
        <v>264</v>
      </c>
      <c r="H319" t="s">
        <v>90</v>
      </c>
      <c r="I319" t="s">
        <v>25</v>
      </c>
      <c r="J319" t="s">
        <v>122</v>
      </c>
      <c r="K319" t="s">
        <v>123</v>
      </c>
      <c r="L319" t="s">
        <v>74</v>
      </c>
      <c r="M319" t="s">
        <v>274</v>
      </c>
      <c r="N319" t="s">
        <v>1804</v>
      </c>
      <c r="O319" t="s">
        <v>44</v>
      </c>
      <c r="P319">
        <v>1</v>
      </c>
      <c r="Q319">
        <v>3806.3</v>
      </c>
      <c r="R319">
        <v>0.25</v>
      </c>
      <c r="S319">
        <f>IF(ISNUMBER(SEARCH("%",R319)), VALUE(SUBSTITUTE(R319,"%",""))/100,IF(ISNUMBER(R319), R319, 0))</f>
        <v>0.25</v>
      </c>
      <c r="T319" t="str">
        <f>IF(S319&lt;0,"Negative discount (invalid)",IF(S319&gt;0.5,"Discount above allowed range (invalid)",IF(AND(R319="",S319=0),"Missing discount set to 0","OK")))</f>
        <v>OK</v>
      </c>
      <c r="U319">
        <v>2854.73</v>
      </c>
      <c r="V319">
        <v>1968.12</v>
      </c>
      <c r="W319">
        <v>886.61</v>
      </c>
      <c r="X319" t="s">
        <v>32</v>
      </c>
      <c r="Y319" t="s">
        <v>33</v>
      </c>
      <c r="Z319">
        <f>IF(T319="OK",P319*Q319*(1-S319),"invalid")</f>
        <v>2854.7250000000004</v>
      </c>
      <c r="AA319">
        <f>IF(Z319="N/A","N/A",Z319-V319)</f>
        <v>886.60500000000047</v>
      </c>
      <c r="AB319" s="8">
        <f>IF(Z319&lt;&gt;"N/A", AA319/Z319, "N/A")</f>
        <v>0.31057457373302172</v>
      </c>
      <c r="AC319">
        <f>MONTH(B319)</f>
        <v>1</v>
      </c>
      <c r="AD319">
        <f>YEAR(B319)</f>
        <v>2024</v>
      </c>
      <c r="AE319" s="10">
        <f t="shared" si="4"/>
        <v>4.999999999654392E-3</v>
      </c>
      <c r="AF319" t="s">
        <v>2804</v>
      </c>
      <c r="AG319" t="s">
        <v>2811</v>
      </c>
    </row>
    <row r="320" spans="1:33">
      <c r="A320" t="s">
        <v>1814</v>
      </c>
      <c r="B320" s="4">
        <v>45293</v>
      </c>
      <c r="C320" s="4">
        <v>45300</v>
      </c>
      <c r="D320">
        <f>_xlfn.DAYS(C320,B320)</f>
        <v>7</v>
      </c>
      <c r="E320" t="s">
        <v>2804</v>
      </c>
      <c r="F320" t="s">
        <v>1815</v>
      </c>
      <c r="G320" t="s">
        <v>162</v>
      </c>
      <c r="H320" t="s">
        <v>90</v>
      </c>
      <c r="I320" t="s">
        <v>25</v>
      </c>
      <c r="J320" t="s">
        <v>350</v>
      </c>
      <c r="K320" t="s">
        <v>351</v>
      </c>
      <c r="L320" t="s">
        <v>74</v>
      </c>
      <c r="M320" t="s">
        <v>171</v>
      </c>
      <c r="N320" t="s">
        <v>1816</v>
      </c>
      <c r="O320" t="s">
        <v>59</v>
      </c>
      <c r="P320">
        <v>3</v>
      </c>
      <c r="Q320">
        <v>739.56</v>
      </c>
      <c r="R320">
        <v>0.2</v>
      </c>
      <c r="S320">
        <f>IF(ISNUMBER(SEARCH("%",R320)), VALUE(SUBSTITUTE(R320,"%",""))/100,IF(ISNUMBER(R320), R320, 0))</f>
        <v>0.2</v>
      </c>
      <c r="T320" t="str">
        <f>IF(S320&lt;0,"Negative discount (invalid)",IF(S320&gt;0.5,"Discount above allowed range (invalid)",IF(AND(R320="",S320=0),"Missing discount set to 0","OK")))</f>
        <v>OK</v>
      </c>
      <c r="U320">
        <v>1774.94</v>
      </c>
      <c r="V320">
        <v>1007.4</v>
      </c>
      <c r="W320">
        <v>767.54</v>
      </c>
      <c r="X320" t="s">
        <v>32</v>
      </c>
      <c r="Y320" t="s">
        <v>33</v>
      </c>
      <c r="Z320">
        <f>IF(T320="OK",P320*Q320*(1-S320),"invalid")</f>
        <v>1774.944</v>
      </c>
      <c r="AA320">
        <f>IF(Z320="N/A","N/A",Z320-V320)</f>
        <v>767.54399999999998</v>
      </c>
      <c r="AB320" s="8">
        <f>IF(Z320&lt;&gt;"N/A", AA320/Z320, "N/A")</f>
        <v>0.43243279787982042</v>
      </c>
      <c r="AC320">
        <f>MONTH(B320)</f>
        <v>1</v>
      </c>
      <c r="AD320">
        <f>YEAR(B320)</f>
        <v>2024</v>
      </c>
      <c r="AE320" s="10">
        <f t="shared" si="4"/>
        <v>3.9999999999054126E-3</v>
      </c>
      <c r="AF320" t="s">
        <v>2804</v>
      </c>
      <c r="AG320" t="s">
        <v>2811</v>
      </c>
    </row>
    <row r="321" spans="1:33">
      <c r="A321" t="s">
        <v>1820</v>
      </c>
      <c r="B321" s="4">
        <v>45342</v>
      </c>
      <c r="C321" s="4">
        <v>45347</v>
      </c>
      <c r="D321">
        <f>_xlfn.DAYS(C321,B321)</f>
        <v>5</v>
      </c>
      <c r="E321" t="s">
        <v>2804</v>
      </c>
      <c r="F321" t="s">
        <v>803</v>
      </c>
      <c r="G321" t="s">
        <v>162</v>
      </c>
      <c r="H321" t="s">
        <v>95</v>
      </c>
      <c r="I321" t="s">
        <v>25</v>
      </c>
      <c r="J321" t="s">
        <v>122</v>
      </c>
      <c r="K321" t="s">
        <v>123</v>
      </c>
      <c r="L321" t="s">
        <v>74</v>
      </c>
      <c r="M321" t="s">
        <v>274</v>
      </c>
      <c r="N321" t="s">
        <v>1821</v>
      </c>
      <c r="O321" t="s">
        <v>59</v>
      </c>
      <c r="P321">
        <v>4</v>
      </c>
      <c r="Q321">
        <v>1355.8</v>
      </c>
      <c r="R321">
        <v>0</v>
      </c>
      <c r="S321">
        <f>IF(ISNUMBER(SEARCH("%",R321)), VALUE(SUBSTITUTE(R321,"%",""))/100,IF(ISNUMBER(R321), R321, 0))</f>
        <v>0</v>
      </c>
      <c r="T321" t="str">
        <f>IF(S321&lt;0,"Negative discount (invalid)",IF(S321&gt;0.5,"Discount above allowed range (invalid)",IF(AND(R321="",S321=0),"Missing discount set to 0","OK")))</f>
        <v>OK</v>
      </c>
      <c r="U321">
        <v>5423.2</v>
      </c>
      <c r="V321">
        <v>4072.44</v>
      </c>
      <c r="W321">
        <v>1350.76</v>
      </c>
      <c r="X321" t="s">
        <v>32</v>
      </c>
      <c r="Y321" t="s">
        <v>33</v>
      </c>
      <c r="Z321">
        <f>IF(T321="OK",P321*Q321*(1-S321),"invalid")</f>
        <v>5423.2</v>
      </c>
      <c r="AA321">
        <f>IF(Z321="N/A","N/A",Z321-V321)</f>
        <v>1350.7599999999998</v>
      </c>
      <c r="AB321" s="8">
        <f>IF(Z321&lt;&gt;"N/A", AA321/Z321, "N/A")</f>
        <v>0.24907065938929043</v>
      </c>
      <c r="AC321">
        <f>MONTH(B321)</f>
        <v>2</v>
      </c>
      <c r="AD321">
        <f>YEAR(B321)</f>
        <v>2024</v>
      </c>
      <c r="AE321" s="10">
        <f t="shared" si="4"/>
        <v>0</v>
      </c>
      <c r="AF321" t="s">
        <v>2804</v>
      </c>
      <c r="AG321" t="s">
        <v>2811</v>
      </c>
    </row>
    <row r="322" spans="1:33">
      <c r="A322" t="s">
        <v>1825</v>
      </c>
      <c r="B322" s="4">
        <v>45339</v>
      </c>
      <c r="C322" s="4">
        <v>45345</v>
      </c>
      <c r="D322">
        <f>_xlfn.DAYS(C322,B322)</f>
        <v>6</v>
      </c>
      <c r="E322" t="s">
        <v>2804</v>
      </c>
      <c r="F322" t="s">
        <v>1826</v>
      </c>
      <c r="G322" t="s">
        <v>141</v>
      </c>
      <c r="H322" t="s">
        <v>95</v>
      </c>
      <c r="I322" t="s">
        <v>2785</v>
      </c>
      <c r="J322" t="s">
        <v>145</v>
      </c>
      <c r="K322" t="s">
        <v>146</v>
      </c>
      <c r="L322" t="s">
        <v>28</v>
      </c>
      <c r="M322" t="s">
        <v>153</v>
      </c>
      <c r="N322" t="s">
        <v>1827</v>
      </c>
      <c r="O322" t="s">
        <v>59</v>
      </c>
      <c r="P322">
        <v>9</v>
      </c>
      <c r="Q322">
        <v>2614.46</v>
      </c>
      <c r="R322">
        <v>0</v>
      </c>
      <c r="S322">
        <f>IF(ISNUMBER(SEARCH("%",R322)), VALUE(SUBSTITUTE(R322,"%",""))/100,IF(ISNUMBER(R322), R322, 0))</f>
        <v>0</v>
      </c>
      <c r="T322" t="str">
        <f>IF(S322&lt;0,"Negative discount (invalid)",IF(S322&gt;0.5,"Discount above allowed range (invalid)",IF(AND(R322="",S322=0),"Missing discount set to 0","OK")))</f>
        <v>OK</v>
      </c>
      <c r="U322">
        <v>23530.14</v>
      </c>
      <c r="V322">
        <v>19537.79</v>
      </c>
      <c r="W322">
        <v>3992.35</v>
      </c>
      <c r="X322" t="s">
        <v>102</v>
      </c>
      <c r="Y322" t="s">
        <v>103</v>
      </c>
      <c r="Z322">
        <f>IF(T322="OK",P322*Q322*(1-S322),"invalid")</f>
        <v>23530.14</v>
      </c>
      <c r="AA322">
        <f>IF(Z322="N/A","N/A",Z322-V322)</f>
        <v>3992.3499999999985</v>
      </c>
      <c r="AB322" s="8">
        <f>IF(Z322&lt;&gt;"N/A", AA322/Z322, "N/A")</f>
        <v>0.16966962372514566</v>
      </c>
      <c r="AC322">
        <f>MONTH(B322)</f>
        <v>2</v>
      </c>
      <c r="AD322">
        <f>YEAR(B322)</f>
        <v>2024</v>
      </c>
      <c r="AE322" s="10">
        <f t="shared" si="4"/>
        <v>0</v>
      </c>
      <c r="AF322" t="s">
        <v>2799</v>
      </c>
      <c r="AG322" t="s">
        <v>2798</v>
      </c>
    </row>
    <row r="323" spans="1:33">
      <c r="A323" t="s">
        <v>1831</v>
      </c>
      <c r="B323" s="4">
        <v>45343</v>
      </c>
      <c r="C323" s="4">
        <v>45345</v>
      </c>
      <c r="D323">
        <f>_xlfn.DAYS(C323,B323)</f>
        <v>2</v>
      </c>
      <c r="E323" t="s">
        <v>2804</v>
      </c>
      <c r="F323" t="s">
        <v>295</v>
      </c>
      <c r="G323" t="s">
        <v>79</v>
      </c>
      <c r="H323" t="s">
        <v>37</v>
      </c>
      <c r="I323" t="s">
        <v>63</v>
      </c>
      <c r="J323" t="s">
        <v>180</v>
      </c>
      <c r="K323" t="s">
        <v>181</v>
      </c>
      <c r="L323" t="s">
        <v>74</v>
      </c>
      <c r="M323" t="s">
        <v>80</v>
      </c>
      <c r="N323" t="s">
        <v>1832</v>
      </c>
      <c r="O323" t="s">
        <v>50</v>
      </c>
      <c r="P323">
        <v>6</v>
      </c>
      <c r="Q323">
        <v>2633.65</v>
      </c>
      <c r="R323">
        <v>0.05</v>
      </c>
      <c r="S323">
        <f>IF(ISNUMBER(SEARCH("%",R323)), VALUE(SUBSTITUTE(R323,"%",""))/100,IF(ISNUMBER(R323), R323, 0))</f>
        <v>0.05</v>
      </c>
      <c r="T323" t="str">
        <f>IF(S323&lt;0,"Negative discount (invalid)",IF(S323&gt;0.5,"Discount above allowed range (invalid)",IF(AND(R323="",S323=0),"Missing discount set to 0","OK")))</f>
        <v>OK</v>
      </c>
      <c r="U323">
        <v>15011.81</v>
      </c>
      <c r="V323">
        <v>9660.36</v>
      </c>
      <c r="W323">
        <v>5351.45</v>
      </c>
      <c r="X323" t="s">
        <v>32</v>
      </c>
      <c r="Y323" t="s">
        <v>33</v>
      </c>
      <c r="Z323">
        <f>IF(T323="OK",P323*Q323*(1-S323),"invalid")</f>
        <v>15011.805</v>
      </c>
      <c r="AA323">
        <f>IF(Z323="N/A","N/A",Z323-V323)</f>
        <v>5351.4449999999997</v>
      </c>
      <c r="AB323" s="8">
        <f>IF(Z323&lt;&gt;"N/A", AA323/Z323, "N/A")</f>
        <v>0.35648244831317749</v>
      </c>
      <c r="AC323">
        <f>MONTH(B323)</f>
        <v>2</v>
      </c>
      <c r="AD323">
        <f>YEAR(B323)</f>
        <v>2024</v>
      </c>
      <c r="AE323" s="10">
        <f t="shared" ref="AE323:AE386" si="5">IF(Z323&lt;&gt;"N/A",ABS(Z323-U323),"N/A")</f>
        <v>4.9999999991996447E-3</v>
      </c>
      <c r="AF323" t="s">
        <v>2804</v>
      </c>
      <c r="AG323" t="s">
        <v>2811</v>
      </c>
    </row>
    <row r="324" spans="1:33">
      <c r="A324" t="s">
        <v>1833</v>
      </c>
      <c r="B324" s="4">
        <v>45462</v>
      </c>
      <c r="C324" s="4">
        <v>45467</v>
      </c>
      <c r="D324">
        <f>_xlfn.DAYS(C324,B324)</f>
        <v>5</v>
      </c>
      <c r="E324" t="s">
        <v>2804</v>
      </c>
      <c r="F324" t="s">
        <v>1834</v>
      </c>
      <c r="G324" t="s">
        <v>128</v>
      </c>
      <c r="H324" t="s">
        <v>37</v>
      </c>
      <c r="I324" t="s">
        <v>54</v>
      </c>
      <c r="J324" t="s">
        <v>247</v>
      </c>
      <c r="K324" t="s">
        <v>248</v>
      </c>
      <c r="L324" t="s">
        <v>28</v>
      </c>
      <c r="M324" t="s">
        <v>124</v>
      </c>
      <c r="N324" t="s">
        <v>1835</v>
      </c>
      <c r="O324" t="s">
        <v>44</v>
      </c>
      <c r="P324">
        <v>1</v>
      </c>
      <c r="Q324">
        <v>3202.41</v>
      </c>
      <c r="R324">
        <v>0</v>
      </c>
      <c r="S324">
        <f>IF(ISNUMBER(SEARCH("%",R324)), VALUE(SUBSTITUTE(R324,"%",""))/100,IF(ISNUMBER(R324), R324, 0))</f>
        <v>0</v>
      </c>
      <c r="T324" t="str">
        <f>IF(S324&lt;0,"Negative discount (invalid)",IF(S324&gt;0.5,"Discount above allowed range (invalid)",IF(AND(R324="",S324=0),"Missing discount set to 0","OK")))</f>
        <v>OK</v>
      </c>
      <c r="U324">
        <v>3202.41</v>
      </c>
      <c r="V324">
        <v>2608.44</v>
      </c>
      <c r="W324">
        <v>593.97</v>
      </c>
      <c r="X324" t="s">
        <v>32</v>
      </c>
      <c r="Y324" t="s">
        <v>33</v>
      </c>
      <c r="Z324">
        <f>IF(T324="OK",P324*Q324*(1-S324),"invalid")</f>
        <v>3202.41</v>
      </c>
      <c r="AA324">
        <f>IF(Z324="N/A","N/A",Z324-V324)</f>
        <v>593.9699999999998</v>
      </c>
      <c r="AB324" s="8">
        <f>IF(Z324&lt;&gt;"N/A", AA324/Z324, "N/A")</f>
        <v>0.18547593843386695</v>
      </c>
      <c r="AC324">
        <f>MONTH(B324)</f>
        <v>6</v>
      </c>
      <c r="AD324">
        <f>YEAR(B324)</f>
        <v>2024</v>
      </c>
      <c r="AE324" s="10">
        <f t="shared" si="5"/>
        <v>0</v>
      </c>
      <c r="AF324" t="s">
        <v>2804</v>
      </c>
      <c r="AG324" t="s">
        <v>2811</v>
      </c>
    </row>
    <row r="325" spans="1:33">
      <c r="A325" t="s">
        <v>1842</v>
      </c>
      <c r="B325" s="4">
        <v>45580</v>
      </c>
      <c r="C325" s="4">
        <v>45585</v>
      </c>
      <c r="D325">
        <f>_xlfn.DAYS(C325,B325)</f>
        <v>5</v>
      </c>
      <c r="E325" t="s">
        <v>2804</v>
      </c>
      <c r="F325" t="s">
        <v>1843</v>
      </c>
      <c r="G325" t="s">
        <v>62</v>
      </c>
      <c r="H325" t="s">
        <v>24</v>
      </c>
      <c r="I325" t="s">
        <v>38</v>
      </c>
      <c r="J325" t="s">
        <v>39</v>
      </c>
      <c r="K325" t="s">
        <v>40</v>
      </c>
      <c r="L325" t="s">
        <v>28</v>
      </c>
      <c r="M325" t="s">
        <v>48</v>
      </c>
      <c r="N325" t="s">
        <v>1844</v>
      </c>
      <c r="O325" t="s">
        <v>50</v>
      </c>
      <c r="P325">
        <v>5</v>
      </c>
      <c r="Q325">
        <v>671.24</v>
      </c>
      <c r="R325">
        <v>0</v>
      </c>
      <c r="S325">
        <f>IF(ISNUMBER(SEARCH("%",R325)), VALUE(SUBSTITUTE(R325,"%",""))/100,IF(ISNUMBER(R325), R325, 0))</f>
        <v>0</v>
      </c>
      <c r="T325" t="str">
        <f>IF(S325&lt;0,"Negative discount (invalid)",IF(S325&gt;0.5,"Discount above allowed range (invalid)",IF(AND(R325="",S325=0),"Missing discount set to 0","OK")))</f>
        <v>OK</v>
      </c>
      <c r="U325">
        <v>3356.2</v>
      </c>
      <c r="V325">
        <v>2205.7199999999998</v>
      </c>
      <c r="W325">
        <v>1150.48</v>
      </c>
      <c r="X325" t="s">
        <v>111</v>
      </c>
      <c r="Y325" t="s">
        <v>103</v>
      </c>
      <c r="Z325">
        <f>IF(T325="OK",P325*Q325*(1-S325),"invalid")</f>
        <v>3356.2</v>
      </c>
      <c r="AA325">
        <f>IF(Z325="N/A","N/A",Z325-V325)</f>
        <v>1150.48</v>
      </c>
      <c r="AB325" s="8">
        <f>IF(Z325&lt;&gt;"N/A", AA325/Z325, "N/A")</f>
        <v>0.34279244383528995</v>
      </c>
      <c r="AC325">
        <f>MONTH(B325)</f>
        <v>10</v>
      </c>
      <c r="AD325">
        <f>YEAR(B325)</f>
        <v>2024</v>
      </c>
      <c r="AE325" s="10">
        <f t="shared" si="5"/>
        <v>0</v>
      </c>
      <c r="AF325" t="s">
        <v>2804</v>
      </c>
      <c r="AG325" t="s">
        <v>2811</v>
      </c>
    </row>
    <row r="326" spans="1:33">
      <c r="A326" t="s">
        <v>1845</v>
      </c>
      <c r="B326" s="4">
        <v>45350</v>
      </c>
      <c r="C326" s="4">
        <v>45350</v>
      </c>
      <c r="D326">
        <f>_xlfn.DAYS(C326,B326)</f>
        <v>0</v>
      </c>
      <c r="E326" t="s">
        <v>2804</v>
      </c>
      <c r="F326" t="s">
        <v>1846</v>
      </c>
      <c r="G326" t="s">
        <v>141</v>
      </c>
      <c r="H326" t="s">
        <v>37</v>
      </c>
      <c r="I326" t="s">
        <v>38</v>
      </c>
      <c r="J326" t="s">
        <v>99</v>
      </c>
      <c r="K326" t="s">
        <v>100</v>
      </c>
      <c r="L326" t="s">
        <v>28</v>
      </c>
      <c r="M326" t="s">
        <v>124</v>
      </c>
      <c r="N326" t="s">
        <v>1847</v>
      </c>
      <c r="O326" t="s">
        <v>50</v>
      </c>
      <c r="P326">
        <v>1</v>
      </c>
      <c r="Q326">
        <v>2626.84</v>
      </c>
      <c r="R326">
        <v>0.2</v>
      </c>
      <c r="S326">
        <f>IF(ISNUMBER(SEARCH("%",R326)), VALUE(SUBSTITUTE(R326,"%",""))/100,IF(ISNUMBER(R326), R326, 0))</f>
        <v>0.2</v>
      </c>
      <c r="T326" t="str">
        <f>IF(S326&lt;0,"Negative discount (invalid)",IF(S326&gt;0.5,"Discount above allowed range (invalid)",IF(AND(R326="",S326=0),"Missing discount set to 0","OK")))</f>
        <v>OK</v>
      </c>
      <c r="U326">
        <v>2101.4699999999998</v>
      </c>
      <c r="V326">
        <v>1217.83</v>
      </c>
      <c r="W326">
        <v>883.64</v>
      </c>
      <c r="X326" t="s">
        <v>155</v>
      </c>
      <c r="Y326" t="s">
        <v>103</v>
      </c>
      <c r="Z326">
        <f>IF(T326="OK",P326*Q326*(1-S326),"invalid")</f>
        <v>2101.4720000000002</v>
      </c>
      <c r="AA326">
        <f>IF(Z326="N/A","N/A",Z326-V326)</f>
        <v>883.64200000000028</v>
      </c>
      <c r="AB326" s="8">
        <f>IF(Z326&lt;&gt;"N/A", AA326/Z326, "N/A")</f>
        <v>0.42048716328364127</v>
      </c>
      <c r="AC326">
        <f>MONTH(B326)</f>
        <v>2</v>
      </c>
      <c r="AD326">
        <f>YEAR(B326)</f>
        <v>2024</v>
      </c>
      <c r="AE326" s="10">
        <f t="shared" si="5"/>
        <v>2.0000000004074536E-3</v>
      </c>
      <c r="AF326" t="s">
        <v>2804</v>
      </c>
      <c r="AG326" t="s">
        <v>2811</v>
      </c>
    </row>
    <row r="327" spans="1:33">
      <c r="A327" t="s">
        <v>1848</v>
      </c>
      <c r="B327" s="4">
        <v>45508</v>
      </c>
      <c r="C327" s="4">
        <v>45514</v>
      </c>
      <c r="D327">
        <f>_xlfn.DAYS(C327,B327)</f>
        <v>6</v>
      </c>
      <c r="E327" t="s">
        <v>2804</v>
      </c>
      <c r="F327" t="s">
        <v>1849</v>
      </c>
      <c r="G327" t="s">
        <v>71</v>
      </c>
      <c r="H327" t="s">
        <v>24</v>
      </c>
      <c r="I327" t="s">
        <v>38</v>
      </c>
      <c r="J327" t="s">
        <v>145</v>
      </c>
      <c r="K327" t="s">
        <v>146</v>
      </c>
      <c r="L327" t="s">
        <v>28</v>
      </c>
      <c r="M327" t="s">
        <v>48</v>
      </c>
      <c r="N327" t="s">
        <v>1850</v>
      </c>
      <c r="O327" t="s">
        <v>44</v>
      </c>
      <c r="P327">
        <v>1</v>
      </c>
      <c r="Q327">
        <v>984.93</v>
      </c>
      <c r="R327">
        <v>0.15</v>
      </c>
      <c r="S327">
        <f>IF(ISNUMBER(SEARCH("%",R327)), VALUE(SUBSTITUTE(R327,"%",""))/100,IF(ISNUMBER(R327), R327, 0))</f>
        <v>0.15</v>
      </c>
      <c r="T327" t="str">
        <f>IF(S327&lt;0,"Negative discount (invalid)",IF(S327&gt;0.5,"Discount above allowed range (invalid)",IF(AND(R327="",S327=0),"Missing discount set to 0","OK")))</f>
        <v>OK</v>
      </c>
      <c r="U327">
        <v>837.19</v>
      </c>
      <c r="V327">
        <v>583.79</v>
      </c>
      <c r="W327">
        <v>253.4</v>
      </c>
      <c r="X327" t="s">
        <v>111</v>
      </c>
      <c r="Y327" t="s">
        <v>103</v>
      </c>
      <c r="Z327">
        <f>IF(T327="OK",P327*Q327*(1-S327),"invalid")</f>
        <v>837.19049999999993</v>
      </c>
      <c r="AA327">
        <f>IF(Z327="N/A","N/A",Z327-V327)</f>
        <v>253.40049999999997</v>
      </c>
      <c r="AB327" s="8">
        <f>IF(Z327&lt;&gt;"N/A", AA327/Z327, "N/A")</f>
        <v>0.30267961712417901</v>
      </c>
      <c r="AC327">
        <f>MONTH(B327)</f>
        <v>8</v>
      </c>
      <c r="AD327">
        <f>YEAR(B327)</f>
        <v>2024</v>
      </c>
      <c r="AE327" s="10">
        <f t="shared" si="5"/>
        <v>4.9999999987448973E-4</v>
      </c>
      <c r="AF327" t="s">
        <v>2804</v>
      </c>
      <c r="AG327" t="s">
        <v>2811</v>
      </c>
    </row>
    <row r="328" spans="1:33">
      <c r="A328" t="s">
        <v>1863</v>
      </c>
      <c r="B328" s="4">
        <v>45632</v>
      </c>
      <c r="C328" s="4">
        <v>45638</v>
      </c>
      <c r="D328">
        <f>_xlfn.DAYS(C328,B328)</f>
        <v>6</v>
      </c>
      <c r="E328" t="s">
        <v>2804</v>
      </c>
      <c r="F328" t="s">
        <v>1864</v>
      </c>
      <c r="G328" t="s">
        <v>141</v>
      </c>
      <c r="H328" t="s">
        <v>90</v>
      </c>
      <c r="I328" t="s">
        <v>25</v>
      </c>
      <c r="J328" t="s">
        <v>136</v>
      </c>
      <c r="K328" t="s">
        <v>137</v>
      </c>
      <c r="L328" t="s">
        <v>74</v>
      </c>
      <c r="M328" t="s">
        <v>171</v>
      </c>
      <c r="N328" t="s">
        <v>1865</v>
      </c>
      <c r="O328" t="s">
        <v>50</v>
      </c>
      <c r="P328">
        <v>3</v>
      </c>
      <c r="Q328">
        <v>524.75</v>
      </c>
      <c r="R328">
        <v>0</v>
      </c>
      <c r="S328">
        <f>IF(ISNUMBER(SEARCH("%",R328)), VALUE(SUBSTITUTE(R328,"%",""))/100,IF(ISNUMBER(R328), R328, 0))</f>
        <v>0</v>
      </c>
      <c r="T328" t="str">
        <f>IF(S328&lt;0,"Negative discount (invalid)",IF(S328&gt;0.5,"Discount above allowed range (invalid)",IF(AND(R328="",S328=0),"Missing discount set to 0","OK")))</f>
        <v>OK</v>
      </c>
      <c r="U328">
        <v>1574.25</v>
      </c>
      <c r="V328">
        <v>1326.12</v>
      </c>
      <c r="W328">
        <v>248.13</v>
      </c>
      <c r="X328" t="s">
        <v>32</v>
      </c>
      <c r="Y328" t="s">
        <v>33</v>
      </c>
      <c r="Z328">
        <f>IF(T328="OK",P328*Q328*(1-S328),"invalid")</f>
        <v>1574.25</v>
      </c>
      <c r="AA328">
        <f>IF(Z328="N/A","N/A",Z328-V328)</f>
        <v>248.13000000000011</v>
      </c>
      <c r="AB328" s="8">
        <f>IF(Z328&lt;&gt;"N/A", AA328/Z328, "N/A")</f>
        <v>0.15761791329204389</v>
      </c>
      <c r="AC328">
        <f>MONTH(B328)</f>
        <v>12</v>
      </c>
      <c r="AD328">
        <f>YEAR(B328)</f>
        <v>2024</v>
      </c>
      <c r="AE328" s="10">
        <f t="shared" si="5"/>
        <v>0</v>
      </c>
      <c r="AF328" t="s">
        <v>2804</v>
      </c>
      <c r="AG328" t="s">
        <v>2811</v>
      </c>
    </row>
    <row r="329" spans="1:33">
      <c r="A329" t="s">
        <v>1866</v>
      </c>
      <c r="B329" s="4">
        <v>45441</v>
      </c>
      <c r="C329" s="4">
        <v>45441</v>
      </c>
      <c r="D329">
        <f>_xlfn.DAYS(C329,B329)</f>
        <v>0</v>
      </c>
      <c r="E329" t="s">
        <v>2804</v>
      </c>
      <c r="F329" t="s">
        <v>1867</v>
      </c>
      <c r="G329" t="s">
        <v>128</v>
      </c>
      <c r="H329" t="s">
        <v>95</v>
      </c>
      <c r="I329" t="s">
        <v>25</v>
      </c>
      <c r="J329" t="s">
        <v>350</v>
      </c>
      <c r="K329" t="s">
        <v>351</v>
      </c>
      <c r="L329" t="s">
        <v>41</v>
      </c>
      <c r="M329" t="s">
        <v>66</v>
      </c>
      <c r="N329" t="s">
        <v>1868</v>
      </c>
      <c r="O329" t="s">
        <v>44</v>
      </c>
      <c r="P329">
        <v>6</v>
      </c>
      <c r="Q329">
        <v>3430.35</v>
      </c>
      <c r="R329">
        <v>0</v>
      </c>
      <c r="S329">
        <f>IF(ISNUMBER(SEARCH("%",R329)), VALUE(SUBSTITUTE(R329,"%",""))/100,IF(ISNUMBER(R329), R329, 0))</f>
        <v>0</v>
      </c>
      <c r="T329" t="str">
        <f>IF(S329&lt;0,"Negative discount (invalid)",IF(S329&gt;0.5,"Discount above allowed range (invalid)",IF(AND(R329="",S329=0),"Missing discount set to 0","OK")))</f>
        <v>OK</v>
      </c>
      <c r="U329">
        <v>20582.099999999999</v>
      </c>
      <c r="V329">
        <v>15897.65</v>
      </c>
      <c r="W329">
        <v>4684.45</v>
      </c>
      <c r="X329" t="s">
        <v>111</v>
      </c>
      <c r="Y329" t="s">
        <v>68</v>
      </c>
      <c r="Z329">
        <f>IF(T329="OK",P329*Q329*(1-S329),"invalid")</f>
        <v>20582.099999999999</v>
      </c>
      <c r="AA329">
        <f>IF(Z329="N/A","N/A",Z329-V329)</f>
        <v>4684.4499999999989</v>
      </c>
      <c r="AB329" s="8">
        <f>IF(Z329&lt;&gt;"N/A", AA329/Z329, "N/A")</f>
        <v>0.22759825285077806</v>
      </c>
      <c r="AC329">
        <f>MONTH(B329)</f>
        <v>5</v>
      </c>
      <c r="AD329">
        <f>YEAR(B329)</f>
        <v>2024</v>
      </c>
      <c r="AE329" s="10">
        <f t="shared" si="5"/>
        <v>0</v>
      </c>
      <c r="AF329" t="s">
        <v>2804</v>
      </c>
      <c r="AG329" t="s">
        <v>2811</v>
      </c>
    </row>
    <row r="330" spans="1:33">
      <c r="A330" t="s">
        <v>1869</v>
      </c>
      <c r="B330" s="4">
        <v>45344</v>
      </c>
      <c r="C330" s="4">
        <v>45346</v>
      </c>
      <c r="D330">
        <f>_xlfn.DAYS(C330,B330)</f>
        <v>2</v>
      </c>
      <c r="E330" t="s">
        <v>2804</v>
      </c>
      <c r="F330" t="s">
        <v>1870</v>
      </c>
      <c r="G330" t="s">
        <v>132</v>
      </c>
      <c r="H330" t="s">
        <v>24</v>
      </c>
      <c r="I330" t="s">
        <v>54</v>
      </c>
      <c r="J330" t="s">
        <v>175</v>
      </c>
      <c r="K330" t="s">
        <v>176</v>
      </c>
      <c r="L330" t="s">
        <v>74</v>
      </c>
      <c r="M330" t="s">
        <v>80</v>
      </c>
      <c r="N330" t="s">
        <v>1871</v>
      </c>
      <c r="O330" t="s">
        <v>50</v>
      </c>
      <c r="P330">
        <v>3</v>
      </c>
      <c r="Q330">
        <v>3545.08</v>
      </c>
      <c r="R330">
        <v>0</v>
      </c>
      <c r="S330">
        <f>IF(ISNUMBER(SEARCH("%",R330)), VALUE(SUBSTITUTE(R330,"%",""))/100,IF(ISNUMBER(R330), R330, 0))</f>
        <v>0</v>
      </c>
      <c r="T330" t="str">
        <f>IF(S330&lt;0,"Negative discount (invalid)",IF(S330&gt;0.5,"Discount above allowed range (invalid)",IF(AND(R330="",S330=0),"Missing discount set to 0","OK")))</f>
        <v>OK</v>
      </c>
      <c r="U330">
        <v>10635.24</v>
      </c>
      <c r="V330">
        <v>6031.88</v>
      </c>
      <c r="W330">
        <v>4603.3599999999997</v>
      </c>
      <c r="X330" t="s">
        <v>155</v>
      </c>
      <c r="Y330" t="s">
        <v>103</v>
      </c>
      <c r="Z330">
        <f>IF(T330="OK",P330*Q330*(1-S330),"invalid")</f>
        <v>10635.24</v>
      </c>
      <c r="AA330">
        <f>IF(Z330="N/A","N/A",Z330-V330)</f>
        <v>4603.3599999999997</v>
      </c>
      <c r="AB330" s="8">
        <f>IF(Z330&lt;&gt;"N/A", AA330/Z330, "N/A")</f>
        <v>0.43284025560307055</v>
      </c>
      <c r="AC330">
        <f>MONTH(B330)</f>
        <v>2</v>
      </c>
      <c r="AD330">
        <f>YEAR(B330)</f>
        <v>2024</v>
      </c>
      <c r="AE330" s="10">
        <f t="shared" si="5"/>
        <v>0</v>
      </c>
      <c r="AF330" t="s">
        <v>2804</v>
      </c>
      <c r="AG330" t="s">
        <v>2811</v>
      </c>
    </row>
    <row r="331" spans="1:33">
      <c r="A331" t="s">
        <v>1872</v>
      </c>
      <c r="B331" s="4">
        <v>45355</v>
      </c>
      <c r="C331" s="4">
        <v>45360</v>
      </c>
      <c r="D331">
        <f>_xlfn.DAYS(C331,B331)</f>
        <v>5</v>
      </c>
      <c r="E331" t="s">
        <v>2804</v>
      </c>
      <c r="F331" t="s">
        <v>1873</v>
      </c>
      <c r="G331" t="s">
        <v>36</v>
      </c>
      <c r="H331" t="s">
        <v>24</v>
      </c>
      <c r="I331" t="s">
        <v>38</v>
      </c>
      <c r="J331" t="s">
        <v>99</v>
      </c>
      <c r="K331" t="s">
        <v>100</v>
      </c>
      <c r="L331" t="s">
        <v>74</v>
      </c>
      <c r="M331" t="s">
        <v>75</v>
      </c>
      <c r="N331" t="s">
        <v>1874</v>
      </c>
      <c r="O331" t="s">
        <v>44</v>
      </c>
      <c r="P331">
        <v>8</v>
      </c>
      <c r="Q331">
        <v>4401.41</v>
      </c>
      <c r="R331">
        <v>0.15</v>
      </c>
      <c r="S331">
        <f>IF(ISNUMBER(SEARCH("%",R331)), VALUE(SUBSTITUTE(R331,"%",""))/100,IF(ISNUMBER(R331), R331, 0))</f>
        <v>0.15</v>
      </c>
      <c r="T331" t="str">
        <f>IF(S331&lt;0,"Negative discount (invalid)",IF(S331&gt;0.5,"Discount above allowed range (invalid)",IF(AND(R331="",S331=0),"Missing discount set to 0","OK")))</f>
        <v>OK</v>
      </c>
      <c r="U331">
        <v>29929.59</v>
      </c>
      <c r="V331">
        <v>22436.03</v>
      </c>
      <c r="W331">
        <v>7493.56</v>
      </c>
      <c r="X331" t="s">
        <v>32</v>
      </c>
      <c r="Y331" t="s">
        <v>33</v>
      </c>
      <c r="Z331">
        <f>IF(T331="OK",P331*Q331*(1-S331),"invalid")</f>
        <v>29929.588</v>
      </c>
      <c r="AA331">
        <f>IF(Z331="N/A","N/A",Z331-V331)</f>
        <v>7493.5580000000009</v>
      </c>
      <c r="AB331" s="8">
        <f>IF(Z331&lt;&gt;"N/A", AA331/Z331, "N/A")</f>
        <v>0.25037290857461858</v>
      </c>
      <c r="AC331">
        <f>MONTH(B331)</f>
        <v>3</v>
      </c>
      <c r="AD331">
        <f>YEAR(B331)</f>
        <v>2024</v>
      </c>
      <c r="AE331" s="10">
        <f t="shared" si="5"/>
        <v>2.0000000004074536E-3</v>
      </c>
      <c r="AF331" t="s">
        <v>2804</v>
      </c>
      <c r="AG331" t="s">
        <v>2811</v>
      </c>
    </row>
    <row r="332" spans="1:33">
      <c r="A332" t="s">
        <v>1877</v>
      </c>
      <c r="B332" s="4">
        <v>45554</v>
      </c>
      <c r="C332" s="4">
        <v>45556</v>
      </c>
      <c r="D332">
        <f>_xlfn.DAYS(C332,B332)</f>
        <v>2</v>
      </c>
      <c r="E332" t="s">
        <v>2804</v>
      </c>
      <c r="F332" t="s">
        <v>1878</v>
      </c>
      <c r="G332" t="s">
        <v>23</v>
      </c>
      <c r="H332" t="s">
        <v>37</v>
      </c>
      <c r="I332" t="s">
        <v>38</v>
      </c>
      <c r="J332" t="s">
        <v>99</v>
      </c>
      <c r="K332" t="s">
        <v>100</v>
      </c>
      <c r="L332" t="s">
        <v>41</v>
      </c>
      <c r="M332" t="s">
        <v>66</v>
      </c>
      <c r="N332" t="s">
        <v>1879</v>
      </c>
      <c r="O332" t="s">
        <v>50</v>
      </c>
      <c r="P332">
        <v>3</v>
      </c>
      <c r="Q332">
        <v>3981.76</v>
      </c>
      <c r="R332">
        <v>0</v>
      </c>
      <c r="S332">
        <f>IF(ISNUMBER(SEARCH("%",R332)), VALUE(SUBSTITUTE(R332,"%",""))/100,IF(ISNUMBER(R332), R332, 0))</f>
        <v>0</v>
      </c>
      <c r="T332" t="str">
        <f>IF(S332&lt;0,"Negative discount (invalid)",IF(S332&gt;0.5,"Discount above allowed range (invalid)",IF(AND(R332="",S332=0),"Missing discount set to 0","OK")))</f>
        <v>OK</v>
      </c>
      <c r="U332">
        <v>11945.28</v>
      </c>
      <c r="V332">
        <v>9700.31</v>
      </c>
      <c r="W332">
        <v>2244.9699999999998</v>
      </c>
      <c r="X332" t="s">
        <v>32</v>
      </c>
      <c r="Y332" t="s">
        <v>33</v>
      </c>
      <c r="Z332">
        <f>IF(T332="OK",P332*Q332*(1-S332),"invalid")</f>
        <v>11945.28</v>
      </c>
      <c r="AA332">
        <f>IF(Z332="N/A","N/A",Z332-V332)</f>
        <v>2244.9700000000012</v>
      </c>
      <c r="AB332" s="8">
        <f>IF(Z332&lt;&gt;"N/A", AA332/Z332, "N/A")</f>
        <v>0.18793782983739193</v>
      </c>
      <c r="AC332">
        <f>MONTH(B332)</f>
        <v>9</v>
      </c>
      <c r="AD332">
        <f>YEAR(B332)</f>
        <v>2024</v>
      </c>
      <c r="AE332" s="10">
        <f t="shared" si="5"/>
        <v>0</v>
      </c>
      <c r="AF332" t="s">
        <v>2804</v>
      </c>
      <c r="AG332" t="s">
        <v>2811</v>
      </c>
    </row>
    <row r="333" spans="1:33">
      <c r="A333" t="s">
        <v>1883</v>
      </c>
      <c r="B333" s="4">
        <v>45392</v>
      </c>
      <c r="C333" s="4">
        <v>45398</v>
      </c>
      <c r="D333">
        <f>_xlfn.DAYS(C333,B333)</f>
        <v>6</v>
      </c>
      <c r="E333" t="s">
        <v>2804</v>
      </c>
      <c r="F333" t="s">
        <v>1884</v>
      </c>
      <c r="G333" t="s">
        <v>89</v>
      </c>
      <c r="H333" t="s">
        <v>24</v>
      </c>
      <c r="I333" t="s">
        <v>54</v>
      </c>
      <c r="J333" t="s">
        <v>185</v>
      </c>
      <c r="K333" t="s">
        <v>186</v>
      </c>
      <c r="L333" t="s">
        <v>41</v>
      </c>
      <c r="M333" t="s">
        <v>66</v>
      </c>
      <c r="N333" t="s">
        <v>1885</v>
      </c>
      <c r="O333" t="s">
        <v>31</v>
      </c>
      <c r="P333">
        <v>9</v>
      </c>
      <c r="Q333">
        <v>2723.26</v>
      </c>
      <c r="R333">
        <v>0.25</v>
      </c>
      <c r="S333">
        <f>IF(ISNUMBER(SEARCH("%",R333)), VALUE(SUBSTITUTE(R333,"%",""))/100,IF(ISNUMBER(R333), R333, 0))</f>
        <v>0.25</v>
      </c>
      <c r="T333" t="str">
        <f>IF(S333&lt;0,"Negative discount (invalid)",IF(S333&gt;0.5,"Discount above allowed range (invalid)",IF(AND(R333="",S333=0),"Missing discount set to 0","OK")))</f>
        <v>OK</v>
      </c>
      <c r="U333">
        <v>18382.009999999998</v>
      </c>
      <c r="V333">
        <v>13108.2</v>
      </c>
      <c r="W333">
        <v>5273.81</v>
      </c>
      <c r="X333" t="s">
        <v>32</v>
      </c>
      <c r="Y333" t="s">
        <v>33</v>
      </c>
      <c r="Z333">
        <f>IF(T333="OK",P333*Q333*(1-S333),"invalid")</f>
        <v>18382.005000000005</v>
      </c>
      <c r="AA333">
        <f>IF(Z333="N/A","N/A",Z333-V333)</f>
        <v>5273.8050000000039</v>
      </c>
      <c r="AB333" s="8">
        <f>IF(Z333&lt;&gt;"N/A", AA333/Z333, "N/A")</f>
        <v>0.28690042245119629</v>
      </c>
      <c r="AC333">
        <f>MONTH(B333)</f>
        <v>4</v>
      </c>
      <c r="AD333">
        <f>YEAR(B333)</f>
        <v>2024</v>
      </c>
      <c r="AE333" s="10">
        <f t="shared" si="5"/>
        <v>4.9999999937426765E-3</v>
      </c>
      <c r="AF333" t="s">
        <v>2804</v>
      </c>
      <c r="AG333" t="s">
        <v>2811</v>
      </c>
    </row>
    <row r="334" spans="1:33">
      <c r="A334" t="s">
        <v>1889</v>
      </c>
      <c r="B334" s="4">
        <v>45521</v>
      </c>
      <c r="C334" s="4">
        <v>45528</v>
      </c>
      <c r="D334">
        <f>_xlfn.DAYS(C334,B334)</f>
        <v>7</v>
      </c>
      <c r="E334" t="s">
        <v>2804</v>
      </c>
      <c r="F334" t="s">
        <v>1890</v>
      </c>
      <c r="G334" t="s">
        <v>62</v>
      </c>
      <c r="H334" t="s">
        <v>90</v>
      </c>
      <c r="I334" t="s">
        <v>38</v>
      </c>
      <c r="J334" t="s">
        <v>99</v>
      </c>
      <c r="K334" t="s">
        <v>100</v>
      </c>
      <c r="L334" t="s">
        <v>74</v>
      </c>
      <c r="M334" t="s">
        <v>80</v>
      </c>
      <c r="N334" t="s">
        <v>1891</v>
      </c>
      <c r="O334" t="s">
        <v>44</v>
      </c>
      <c r="P334">
        <v>3</v>
      </c>
      <c r="Q334">
        <v>1490.69</v>
      </c>
      <c r="R334">
        <v>0.25</v>
      </c>
      <c r="S334">
        <f>IF(ISNUMBER(SEARCH("%",R334)), VALUE(SUBSTITUTE(R334,"%",""))/100,IF(ISNUMBER(R334), R334, 0))</f>
        <v>0.25</v>
      </c>
      <c r="T334" t="str">
        <f>IF(S334&lt;0,"Negative discount (invalid)",IF(S334&gt;0.5,"Discount above allowed range (invalid)",IF(AND(R334="",S334=0),"Missing discount set to 0","OK")))</f>
        <v>OK</v>
      </c>
      <c r="U334">
        <v>3354.05</v>
      </c>
      <c r="V334">
        <v>2672.67</v>
      </c>
      <c r="W334">
        <v>681.38</v>
      </c>
      <c r="X334" t="s">
        <v>32</v>
      </c>
      <c r="Y334" t="s">
        <v>33</v>
      </c>
      <c r="Z334">
        <f>IF(T334="OK",P334*Q334*(1-S334),"invalid")</f>
        <v>3354.0524999999998</v>
      </c>
      <c r="AA334">
        <f>IF(Z334="N/A","N/A",Z334-V334)</f>
        <v>681.38249999999971</v>
      </c>
      <c r="AB334" s="8">
        <f>IF(Z334&lt;&gt;"N/A", AA334/Z334, "N/A")</f>
        <v>0.20315200790685289</v>
      </c>
      <c r="AC334">
        <f>MONTH(B334)</f>
        <v>8</v>
      </c>
      <c r="AD334">
        <f>YEAR(B334)</f>
        <v>2024</v>
      </c>
      <c r="AE334" s="10">
        <f t="shared" si="5"/>
        <v>2.4999999995998223E-3</v>
      </c>
      <c r="AF334" t="s">
        <v>2804</v>
      </c>
      <c r="AG334" t="s">
        <v>2811</v>
      </c>
    </row>
    <row r="335" spans="1:33">
      <c r="A335" t="s">
        <v>1892</v>
      </c>
      <c r="B335" s="4">
        <v>45523</v>
      </c>
      <c r="C335" s="4">
        <v>45525</v>
      </c>
      <c r="D335">
        <f>_xlfn.DAYS(C335,B335)</f>
        <v>2</v>
      </c>
      <c r="E335" t="s">
        <v>2804</v>
      </c>
      <c r="F335" t="s">
        <v>1893</v>
      </c>
      <c r="G335" t="s">
        <v>53</v>
      </c>
      <c r="H335" t="s">
        <v>24</v>
      </c>
      <c r="I335" t="s">
        <v>25</v>
      </c>
      <c r="J335" t="s">
        <v>122</v>
      </c>
      <c r="K335" t="s">
        <v>123</v>
      </c>
      <c r="L335" t="s">
        <v>74</v>
      </c>
      <c r="M335" t="s">
        <v>171</v>
      </c>
      <c r="N335" t="s">
        <v>1894</v>
      </c>
      <c r="O335" t="s">
        <v>50</v>
      </c>
      <c r="P335">
        <v>3</v>
      </c>
      <c r="Q335">
        <v>1103.54</v>
      </c>
      <c r="R335">
        <v>0.25</v>
      </c>
      <c r="S335">
        <f>IF(ISNUMBER(SEARCH("%",R335)), VALUE(SUBSTITUTE(R335,"%",""))/100,IF(ISNUMBER(R335), R335, 0))</f>
        <v>0.25</v>
      </c>
      <c r="T335" t="str">
        <f>IF(S335&lt;0,"Negative discount (invalid)",IF(S335&gt;0.5,"Discount above allowed range (invalid)",IF(AND(R335="",S335=0),"Missing discount set to 0","OK")))</f>
        <v>OK</v>
      </c>
      <c r="U335">
        <v>2482.9699999999998</v>
      </c>
      <c r="V335">
        <v>1621.72</v>
      </c>
      <c r="W335">
        <v>861.25</v>
      </c>
      <c r="X335" t="s">
        <v>32</v>
      </c>
      <c r="Y335" t="s">
        <v>33</v>
      </c>
      <c r="Z335">
        <f>IF(T335="OK",P335*Q335*(1-S335),"invalid")</f>
        <v>2482.9650000000001</v>
      </c>
      <c r="AA335">
        <f>IF(Z335="N/A","N/A",Z335-V335)</f>
        <v>861.24500000000012</v>
      </c>
      <c r="AB335" s="8">
        <f>IF(Z335&lt;&gt;"N/A", AA335/Z335, "N/A")</f>
        <v>0.34686151435884116</v>
      </c>
      <c r="AC335">
        <f>MONTH(B335)</f>
        <v>8</v>
      </c>
      <c r="AD335">
        <f>YEAR(B335)</f>
        <v>2024</v>
      </c>
      <c r="AE335" s="10">
        <f t="shared" si="5"/>
        <v>4.999999999654392E-3</v>
      </c>
      <c r="AF335" t="s">
        <v>2804</v>
      </c>
      <c r="AG335" t="s">
        <v>2811</v>
      </c>
    </row>
    <row r="336" spans="1:33">
      <c r="A336" t="s">
        <v>1898</v>
      </c>
      <c r="B336" s="4">
        <v>45317</v>
      </c>
      <c r="C336" s="4">
        <v>45322</v>
      </c>
      <c r="D336">
        <f>_xlfn.DAYS(C336,B336)</f>
        <v>5</v>
      </c>
      <c r="E336" t="s">
        <v>2804</v>
      </c>
      <c r="F336" t="s">
        <v>1899</v>
      </c>
      <c r="G336" t="s">
        <v>62</v>
      </c>
      <c r="H336" t="s">
        <v>95</v>
      </c>
      <c r="I336" t="s">
        <v>38</v>
      </c>
      <c r="J336" t="s">
        <v>99</v>
      </c>
      <c r="K336" t="s">
        <v>100</v>
      </c>
      <c r="L336" t="s">
        <v>28</v>
      </c>
      <c r="M336" t="s">
        <v>29</v>
      </c>
      <c r="N336" t="s">
        <v>1900</v>
      </c>
      <c r="O336" t="s">
        <v>31</v>
      </c>
      <c r="P336">
        <v>5</v>
      </c>
      <c r="Q336">
        <v>1615.03</v>
      </c>
      <c r="R336">
        <v>0.2</v>
      </c>
      <c r="S336">
        <f>IF(ISNUMBER(SEARCH("%",R336)), VALUE(SUBSTITUTE(R336,"%",""))/100,IF(ISNUMBER(R336), R336, 0))</f>
        <v>0.2</v>
      </c>
      <c r="T336" t="str">
        <f>IF(S336&lt;0,"Negative discount (invalid)",IF(S336&gt;0.5,"Discount above allowed range (invalid)",IF(AND(R336="",S336=0),"Missing discount set to 0","OK")))</f>
        <v>OK</v>
      </c>
      <c r="U336">
        <v>6460.12</v>
      </c>
      <c r="V336">
        <v>3604.03</v>
      </c>
      <c r="W336">
        <v>2856.09</v>
      </c>
      <c r="X336" t="s">
        <v>32</v>
      </c>
      <c r="Y336" t="s">
        <v>33</v>
      </c>
      <c r="Z336">
        <f>IF(T336="OK",P336*Q336*(1-S336),"invalid")</f>
        <v>6460.12</v>
      </c>
      <c r="AA336">
        <f>IF(Z336="N/A","N/A",Z336-V336)</f>
        <v>2856.0899999999997</v>
      </c>
      <c r="AB336" s="8">
        <f>IF(Z336&lt;&gt;"N/A", AA336/Z336, "N/A")</f>
        <v>0.44211098245853014</v>
      </c>
      <c r="AC336">
        <f>MONTH(B336)</f>
        <v>1</v>
      </c>
      <c r="AD336">
        <f>YEAR(B336)</f>
        <v>2024</v>
      </c>
      <c r="AE336" s="10">
        <f t="shared" si="5"/>
        <v>0</v>
      </c>
      <c r="AF336" t="s">
        <v>2804</v>
      </c>
      <c r="AG336" t="s">
        <v>2811</v>
      </c>
    </row>
    <row r="337" spans="1:33">
      <c r="A337" t="s">
        <v>1901</v>
      </c>
      <c r="B337" s="4">
        <v>45588</v>
      </c>
      <c r="C337" s="4">
        <v>45595</v>
      </c>
      <c r="D337">
        <f>_xlfn.DAYS(C337,B337)</f>
        <v>7</v>
      </c>
      <c r="E337" t="s">
        <v>2804</v>
      </c>
      <c r="F337" t="s">
        <v>1902</v>
      </c>
      <c r="G337" t="s">
        <v>128</v>
      </c>
      <c r="H337" t="s">
        <v>24</v>
      </c>
      <c r="I337" t="s">
        <v>38</v>
      </c>
      <c r="J337" t="s">
        <v>228</v>
      </c>
      <c r="K337" t="s">
        <v>229</v>
      </c>
      <c r="L337" t="s">
        <v>74</v>
      </c>
      <c r="M337" t="s">
        <v>80</v>
      </c>
      <c r="N337" t="s">
        <v>1903</v>
      </c>
      <c r="O337" t="s">
        <v>31</v>
      </c>
      <c r="P337">
        <v>9</v>
      </c>
      <c r="Q337">
        <v>3423.82</v>
      </c>
      <c r="R337">
        <v>0.15</v>
      </c>
      <c r="S337">
        <f>IF(ISNUMBER(SEARCH("%",R337)), VALUE(SUBSTITUTE(R337,"%",""))/100,IF(ISNUMBER(R337), R337, 0))</f>
        <v>0.15</v>
      </c>
      <c r="T337" t="str">
        <f>IF(S337&lt;0,"Negative discount (invalid)",IF(S337&gt;0.5,"Discount above allowed range (invalid)",IF(AND(R337="",S337=0),"Missing discount set to 0","OK")))</f>
        <v>OK</v>
      </c>
      <c r="U337">
        <v>26192.22</v>
      </c>
      <c r="V337">
        <v>20795.55</v>
      </c>
      <c r="W337">
        <v>5396.67</v>
      </c>
      <c r="X337" t="s">
        <v>32</v>
      </c>
      <c r="Y337" t="s">
        <v>33</v>
      </c>
      <c r="Z337">
        <f>IF(T337="OK",P337*Q337*(1-S337),"invalid")</f>
        <v>26192.223000000002</v>
      </c>
      <c r="AA337">
        <f>IF(Z337="N/A","N/A",Z337-V337)</f>
        <v>5396.6730000000025</v>
      </c>
      <c r="AB337" s="8">
        <f>IF(Z337&lt;&gt;"N/A", AA337/Z337, "N/A")</f>
        <v>0.20604104508426041</v>
      </c>
      <c r="AC337">
        <f>MONTH(B337)</f>
        <v>10</v>
      </c>
      <c r="AD337">
        <f>YEAR(B337)</f>
        <v>2024</v>
      </c>
      <c r="AE337" s="10">
        <f t="shared" si="5"/>
        <v>3.0000000006111804E-3</v>
      </c>
      <c r="AF337" t="s">
        <v>2804</v>
      </c>
      <c r="AG337" t="s">
        <v>2811</v>
      </c>
    </row>
    <row r="338" spans="1:33">
      <c r="A338" t="s">
        <v>1918</v>
      </c>
      <c r="B338" s="4">
        <v>45464</v>
      </c>
      <c r="C338" s="4">
        <v>45466</v>
      </c>
      <c r="D338">
        <f>_xlfn.DAYS(C338,B338)</f>
        <v>2</v>
      </c>
      <c r="E338" t="s">
        <v>2804</v>
      </c>
      <c r="F338" t="s">
        <v>1696</v>
      </c>
      <c r="G338" t="s">
        <v>23</v>
      </c>
      <c r="H338" t="s">
        <v>95</v>
      </c>
      <c r="I338" t="s">
        <v>63</v>
      </c>
      <c r="J338" t="s">
        <v>190</v>
      </c>
      <c r="K338" t="s">
        <v>191</v>
      </c>
      <c r="L338" t="s">
        <v>41</v>
      </c>
      <c r="M338" t="s">
        <v>57</v>
      </c>
      <c r="N338" t="s">
        <v>1919</v>
      </c>
      <c r="O338" t="s">
        <v>31</v>
      </c>
      <c r="P338">
        <v>9</v>
      </c>
      <c r="Q338">
        <v>2153.75</v>
      </c>
      <c r="R338">
        <v>0</v>
      </c>
      <c r="S338">
        <f>IF(ISNUMBER(SEARCH("%",R338)), VALUE(SUBSTITUTE(R338,"%",""))/100,IF(ISNUMBER(R338), R338, 0))</f>
        <v>0</v>
      </c>
      <c r="T338" t="str">
        <f>IF(S338&lt;0,"Negative discount (invalid)",IF(S338&gt;0.5,"Discount above allowed range (invalid)",IF(AND(R338="",S338=0),"Missing discount set to 0","OK")))</f>
        <v>OK</v>
      </c>
      <c r="U338">
        <v>19383.75</v>
      </c>
      <c r="V338">
        <v>11667.43</v>
      </c>
      <c r="W338">
        <v>7716.32</v>
      </c>
      <c r="X338" t="s">
        <v>32</v>
      </c>
      <c r="Y338" t="s">
        <v>33</v>
      </c>
      <c r="Z338">
        <f>IF(T338="OK",P338*Q338*(1-S338),"invalid")</f>
        <v>19383.75</v>
      </c>
      <c r="AA338">
        <f>IF(Z338="N/A","N/A",Z338-V338)</f>
        <v>7716.32</v>
      </c>
      <c r="AB338" s="8">
        <f>IF(Z338&lt;&gt;"N/A", AA338/Z338, "N/A")</f>
        <v>0.39808189849745274</v>
      </c>
      <c r="AC338">
        <f>MONTH(B338)</f>
        <v>6</v>
      </c>
      <c r="AD338">
        <f>YEAR(B338)</f>
        <v>2024</v>
      </c>
      <c r="AE338" s="10">
        <f t="shared" si="5"/>
        <v>0</v>
      </c>
      <c r="AF338" t="s">
        <v>2804</v>
      </c>
      <c r="AG338" t="s">
        <v>2811</v>
      </c>
    </row>
    <row r="339" spans="1:33">
      <c r="A339" t="s">
        <v>1923</v>
      </c>
      <c r="B339" s="4">
        <v>45432</v>
      </c>
      <c r="C339" s="4">
        <v>45432</v>
      </c>
      <c r="D339">
        <f>_xlfn.DAYS(C339,B339)</f>
        <v>0</v>
      </c>
      <c r="E339" t="s">
        <v>2804</v>
      </c>
      <c r="F339" t="s">
        <v>1367</v>
      </c>
      <c r="G339" t="s">
        <v>23</v>
      </c>
      <c r="H339" t="s">
        <v>95</v>
      </c>
      <c r="I339" t="s">
        <v>63</v>
      </c>
      <c r="J339" t="s">
        <v>72</v>
      </c>
      <c r="K339" t="s">
        <v>73</v>
      </c>
      <c r="L339" t="s">
        <v>41</v>
      </c>
      <c r="M339" t="s">
        <v>66</v>
      </c>
      <c r="N339" t="s">
        <v>1924</v>
      </c>
      <c r="O339" t="s">
        <v>59</v>
      </c>
      <c r="P339">
        <v>1</v>
      </c>
      <c r="Q339">
        <v>3032.95</v>
      </c>
      <c r="R339">
        <v>0.1</v>
      </c>
      <c r="S339">
        <f>IF(ISNUMBER(SEARCH("%",R339)), VALUE(SUBSTITUTE(R339,"%",""))/100,IF(ISNUMBER(R339), R339, 0))</f>
        <v>0.1</v>
      </c>
      <c r="T339" t="str">
        <f>IF(S339&lt;0,"Negative discount (invalid)",IF(S339&gt;0.5,"Discount above allowed range (invalid)",IF(AND(R339="",S339=0),"Missing discount set to 0","OK")))</f>
        <v>OK</v>
      </c>
      <c r="U339">
        <v>2729.65</v>
      </c>
      <c r="V339">
        <v>1715.36</v>
      </c>
      <c r="W339">
        <v>1014.29</v>
      </c>
      <c r="X339" t="s">
        <v>32</v>
      </c>
      <c r="Y339" t="s">
        <v>33</v>
      </c>
      <c r="Z339">
        <f>IF(T339="OK",P339*Q339*(1-S339),"invalid")</f>
        <v>2729.6549999999997</v>
      </c>
      <c r="AA339">
        <f>IF(Z339="N/A","N/A",Z339-V339)</f>
        <v>1014.2949999999998</v>
      </c>
      <c r="AB339" s="8">
        <f>IF(Z339&lt;&gt;"N/A", AA339/Z339, "N/A")</f>
        <v>0.37158358840219735</v>
      </c>
      <c r="AC339">
        <f>MONTH(B339)</f>
        <v>5</v>
      </c>
      <c r="AD339">
        <f>YEAR(B339)</f>
        <v>2024</v>
      </c>
      <c r="AE339" s="10">
        <f t="shared" si="5"/>
        <v>4.999999999654392E-3</v>
      </c>
      <c r="AF339" t="s">
        <v>2804</v>
      </c>
      <c r="AG339" t="s">
        <v>2811</v>
      </c>
    </row>
    <row r="340" spans="1:33">
      <c r="A340" t="s">
        <v>1931</v>
      </c>
      <c r="B340" s="4">
        <v>45570</v>
      </c>
      <c r="C340" s="4">
        <v>45575</v>
      </c>
      <c r="D340">
        <f>_xlfn.DAYS(C340,B340)</f>
        <v>5</v>
      </c>
      <c r="E340" t="s">
        <v>2804</v>
      </c>
      <c r="F340" t="s">
        <v>1932</v>
      </c>
      <c r="G340" t="s">
        <v>162</v>
      </c>
      <c r="H340" t="s">
        <v>95</v>
      </c>
      <c r="I340" t="s">
        <v>63</v>
      </c>
      <c r="J340" t="s">
        <v>180</v>
      </c>
      <c r="K340" t="s">
        <v>181</v>
      </c>
      <c r="L340" t="s">
        <v>74</v>
      </c>
      <c r="M340" t="s">
        <v>274</v>
      </c>
      <c r="N340" t="s">
        <v>1933</v>
      </c>
      <c r="O340" t="s">
        <v>44</v>
      </c>
      <c r="P340">
        <v>9</v>
      </c>
      <c r="Q340">
        <v>3361.3</v>
      </c>
      <c r="R340">
        <v>0.25</v>
      </c>
      <c r="S340">
        <f>IF(ISNUMBER(SEARCH("%",R340)), VALUE(SUBSTITUTE(R340,"%",""))/100,IF(ISNUMBER(R340), R340, 0))</f>
        <v>0.25</v>
      </c>
      <c r="T340" t="str">
        <f>IF(S340&lt;0,"Negative discount (invalid)",IF(S340&gt;0.5,"Discount above allowed range (invalid)",IF(AND(R340="",S340=0),"Missing discount set to 0","OK")))</f>
        <v>OK</v>
      </c>
      <c r="U340">
        <v>22688.78</v>
      </c>
      <c r="V340">
        <v>14672.41</v>
      </c>
      <c r="W340">
        <v>8016.37</v>
      </c>
      <c r="X340" t="s">
        <v>32</v>
      </c>
      <c r="Y340" t="s">
        <v>33</v>
      </c>
      <c r="Z340">
        <f>IF(T340="OK",P340*Q340*(1-S340),"invalid")</f>
        <v>22688.775000000001</v>
      </c>
      <c r="AA340">
        <f>IF(Z340="N/A","N/A",Z340-V340)</f>
        <v>8016.3650000000016</v>
      </c>
      <c r="AB340" s="8">
        <f>IF(Z340&lt;&gt;"N/A", AA340/Z340, "N/A")</f>
        <v>0.35331854628555315</v>
      </c>
      <c r="AC340">
        <f>MONTH(B340)</f>
        <v>10</v>
      </c>
      <c r="AD340">
        <f>YEAR(B340)</f>
        <v>2024</v>
      </c>
      <c r="AE340" s="10">
        <f t="shared" si="5"/>
        <v>4.9999999973806553E-3</v>
      </c>
      <c r="AF340" t="s">
        <v>2804</v>
      </c>
      <c r="AG340" t="s">
        <v>2811</v>
      </c>
    </row>
    <row r="341" spans="1:33">
      <c r="A341" t="s">
        <v>1934</v>
      </c>
      <c r="B341" s="4">
        <v>45333</v>
      </c>
      <c r="C341" s="4">
        <v>45341</v>
      </c>
      <c r="D341">
        <f>_xlfn.DAYS(C341,B341)</f>
        <v>8</v>
      </c>
      <c r="E341" t="s">
        <v>2804</v>
      </c>
      <c r="F341" t="s">
        <v>1935</v>
      </c>
      <c r="G341" t="s">
        <v>62</v>
      </c>
      <c r="H341" t="s">
        <v>95</v>
      </c>
      <c r="I341" t="s">
        <v>54</v>
      </c>
      <c r="J341" t="s">
        <v>55</v>
      </c>
      <c r="K341" t="s">
        <v>56</v>
      </c>
      <c r="L341" t="s">
        <v>41</v>
      </c>
      <c r="M341" t="s">
        <v>66</v>
      </c>
      <c r="N341" t="s">
        <v>1936</v>
      </c>
      <c r="O341" t="s">
        <v>59</v>
      </c>
      <c r="P341">
        <v>8</v>
      </c>
      <c r="Q341">
        <v>3398.32</v>
      </c>
      <c r="R341">
        <v>0.25</v>
      </c>
      <c r="S341">
        <f>IF(ISNUMBER(SEARCH("%",R341)), VALUE(SUBSTITUTE(R341,"%",""))/100,IF(ISNUMBER(R341), R341, 0))</f>
        <v>0.25</v>
      </c>
      <c r="T341" t="str">
        <f>IF(S341&lt;0,"Negative discount (invalid)",IF(S341&gt;0.5,"Discount above allowed range (invalid)",IF(AND(R341="",S341=0),"Missing discount set to 0","OK")))</f>
        <v>OK</v>
      </c>
      <c r="U341">
        <v>20389.919999999998</v>
      </c>
      <c r="V341">
        <v>16661.080000000002</v>
      </c>
      <c r="W341">
        <v>3728.84</v>
      </c>
      <c r="X341" t="s">
        <v>102</v>
      </c>
      <c r="Y341" t="s">
        <v>68</v>
      </c>
      <c r="Z341">
        <f>IF(T341="OK",P341*Q341*(1-S341),"invalid")</f>
        <v>20389.920000000002</v>
      </c>
      <c r="AA341">
        <f>IF(Z341="N/A","N/A",Z341-V341)</f>
        <v>3728.84</v>
      </c>
      <c r="AB341" s="8">
        <f>IF(Z341&lt;&gt;"N/A", AA341/Z341, "N/A")</f>
        <v>0.18287663708342161</v>
      </c>
      <c r="AC341">
        <f>MONTH(B341)</f>
        <v>2</v>
      </c>
      <c r="AD341">
        <f>YEAR(B341)</f>
        <v>2024</v>
      </c>
      <c r="AE341" s="10">
        <f t="shared" si="5"/>
        <v>3.637978807091713E-12</v>
      </c>
      <c r="AF341" t="s">
        <v>2804</v>
      </c>
      <c r="AG341" t="s">
        <v>2811</v>
      </c>
    </row>
    <row r="342" spans="1:33">
      <c r="A342" t="s">
        <v>1937</v>
      </c>
      <c r="B342" s="4">
        <v>45569</v>
      </c>
      <c r="C342" s="4">
        <v>45572</v>
      </c>
      <c r="D342">
        <f>_xlfn.DAYS(C342,B342)</f>
        <v>3</v>
      </c>
      <c r="E342" t="s">
        <v>2804</v>
      </c>
      <c r="F342" t="s">
        <v>1938</v>
      </c>
      <c r="G342" t="s">
        <v>118</v>
      </c>
      <c r="H342" t="s">
        <v>90</v>
      </c>
      <c r="I342" t="s">
        <v>54</v>
      </c>
      <c r="J342" t="s">
        <v>185</v>
      </c>
      <c r="K342" t="s">
        <v>186</v>
      </c>
      <c r="L342" t="s">
        <v>28</v>
      </c>
      <c r="M342" t="s">
        <v>48</v>
      </c>
      <c r="N342" t="s">
        <v>1939</v>
      </c>
      <c r="O342" t="s">
        <v>31</v>
      </c>
      <c r="P342">
        <v>2</v>
      </c>
      <c r="Q342">
        <v>3144.38</v>
      </c>
      <c r="R342">
        <v>0.1</v>
      </c>
      <c r="S342">
        <f>IF(ISNUMBER(SEARCH("%",R342)), VALUE(SUBSTITUTE(R342,"%",""))/100,IF(ISNUMBER(R342), R342, 0))</f>
        <v>0.1</v>
      </c>
      <c r="T342" t="str">
        <f>IF(S342&lt;0,"Negative discount (invalid)",IF(S342&gt;0.5,"Discount above allowed range (invalid)",IF(AND(R342="",S342=0),"Missing discount set to 0","OK")))</f>
        <v>OK</v>
      </c>
      <c r="U342">
        <v>5904.57</v>
      </c>
      <c r="V342">
        <v>4337.79</v>
      </c>
      <c r="W342">
        <v>1322.09</v>
      </c>
      <c r="X342" t="s">
        <v>32</v>
      </c>
      <c r="Y342" t="s">
        <v>33</v>
      </c>
      <c r="Z342">
        <f>IF(T342="OK",P342*Q342*(1-S342),"invalid")</f>
        <v>5659.884</v>
      </c>
      <c r="AA342">
        <f>IF(Z342="N/A","N/A",Z342-V342)</f>
        <v>1322.0940000000001</v>
      </c>
      <c r="AB342" s="8">
        <f>IF(Z342&lt;&gt;"N/A", AA342/Z342, "N/A")</f>
        <v>0.23359029973052453</v>
      </c>
      <c r="AC342">
        <f>MONTH(B342)</f>
        <v>10</v>
      </c>
      <c r="AD342">
        <f>YEAR(B342)</f>
        <v>2024</v>
      </c>
      <c r="AE342" s="10">
        <f t="shared" si="5"/>
        <v>244.68599999999969</v>
      </c>
      <c r="AF342" t="s">
        <v>2807</v>
      </c>
      <c r="AG342" t="s">
        <v>2789</v>
      </c>
    </row>
    <row r="343" spans="1:33">
      <c r="A343" t="s">
        <v>1940</v>
      </c>
      <c r="B343" s="4">
        <v>45520</v>
      </c>
      <c r="C343" s="4">
        <v>45523</v>
      </c>
      <c r="D343">
        <f>_xlfn.DAYS(C343,B343)</f>
        <v>3</v>
      </c>
      <c r="E343" t="s">
        <v>2804</v>
      </c>
      <c r="F343" t="s">
        <v>1941</v>
      </c>
      <c r="G343" t="s">
        <v>264</v>
      </c>
      <c r="H343" t="s">
        <v>24</v>
      </c>
      <c r="I343" t="s">
        <v>54</v>
      </c>
      <c r="J343" t="s">
        <v>55</v>
      </c>
      <c r="K343" t="s">
        <v>56</v>
      </c>
      <c r="L343" t="s">
        <v>28</v>
      </c>
      <c r="M343" t="s">
        <v>29</v>
      </c>
      <c r="N343" t="s">
        <v>1942</v>
      </c>
      <c r="O343" t="s">
        <v>59</v>
      </c>
      <c r="P343">
        <v>6</v>
      </c>
      <c r="Q343">
        <v>3925.55</v>
      </c>
      <c r="R343">
        <v>0.2</v>
      </c>
      <c r="S343">
        <f>IF(ISNUMBER(SEARCH("%",R343)), VALUE(SUBSTITUTE(R343,"%",""))/100,IF(ISNUMBER(R343), R343, 0))</f>
        <v>0.2</v>
      </c>
      <c r="T343" t="str">
        <f>IF(S343&lt;0,"Negative discount (invalid)",IF(S343&gt;0.5,"Discount above allowed range (invalid)",IF(AND(R343="",S343=0),"Missing discount set to 0","OK")))</f>
        <v>OK</v>
      </c>
      <c r="U343">
        <v>18842.64</v>
      </c>
      <c r="V343">
        <v>11840.58</v>
      </c>
      <c r="W343">
        <v>7002.06</v>
      </c>
      <c r="X343" t="s">
        <v>32</v>
      </c>
      <c r="Y343" t="s">
        <v>33</v>
      </c>
      <c r="Z343">
        <f>IF(T343="OK",P343*Q343*(1-S343),"invalid")</f>
        <v>18842.640000000003</v>
      </c>
      <c r="AA343">
        <f>IF(Z343="N/A","N/A",Z343-V343)</f>
        <v>7002.0600000000031</v>
      </c>
      <c r="AB343" s="8">
        <f>IF(Z343&lt;&gt;"N/A", AA343/Z343, "N/A")</f>
        <v>0.37160716332743193</v>
      </c>
      <c r="AC343">
        <f>MONTH(B343)</f>
        <v>8</v>
      </c>
      <c r="AD343">
        <f>YEAR(B343)</f>
        <v>2024</v>
      </c>
      <c r="AE343" s="10">
        <f t="shared" si="5"/>
        <v>3.637978807091713E-12</v>
      </c>
      <c r="AF343" t="s">
        <v>2804</v>
      </c>
      <c r="AG343" t="s">
        <v>2811</v>
      </c>
    </row>
    <row r="344" spans="1:33">
      <c r="A344" t="s">
        <v>1943</v>
      </c>
      <c r="B344" s="4">
        <v>45564</v>
      </c>
      <c r="C344" s="4">
        <v>45565</v>
      </c>
      <c r="D344">
        <f>_xlfn.DAYS(C344,B344)</f>
        <v>1</v>
      </c>
      <c r="E344" t="s">
        <v>2804</v>
      </c>
      <c r="F344" t="s">
        <v>1944</v>
      </c>
      <c r="G344" t="s">
        <v>36</v>
      </c>
      <c r="H344" t="s">
        <v>95</v>
      </c>
      <c r="I344" t="s">
        <v>54</v>
      </c>
      <c r="J344" t="s">
        <v>55</v>
      </c>
      <c r="K344" t="s">
        <v>56</v>
      </c>
      <c r="L344" t="s">
        <v>74</v>
      </c>
      <c r="M344" t="s">
        <v>171</v>
      </c>
      <c r="N344" t="s">
        <v>1945</v>
      </c>
      <c r="O344" t="s">
        <v>59</v>
      </c>
      <c r="P344">
        <v>9</v>
      </c>
      <c r="Q344">
        <v>2741.91</v>
      </c>
      <c r="R344">
        <v>0</v>
      </c>
      <c r="S344">
        <f>IF(ISNUMBER(SEARCH("%",R344)), VALUE(SUBSTITUTE(R344,"%",""))/100,IF(ISNUMBER(R344), R344, 0))</f>
        <v>0</v>
      </c>
      <c r="T344" t="str">
        <f>IF(S344&lt;0,"Negative discount (invalid)",IF(S344&gt;0.5,"Discount above allowed range (invalid)",IF(AND(R344="",S344=0),"Missing discount set to 0","OK")))</f>
        <v>OK</v>
      </c>
      <c r="U344">
        <v>24677.19</v>
      </c>
      <c r="V344">
        <v>20350.849999999999</v>
      </c>
      <c r="W344">
        <v>4326.34</v>
      </c>
      <c r="X344" t="s">
        <v>32</v>
      </c>
      <c r="Y344" t="s">
        <v>33</v>
      </c>
      <c r="Z344">
        <f>IF(T344="OK",P344*Q344*(1-S344),"invalid")</f>
        <v>24677.19</v>
      </c>
      <c r="AA344">
        <f>IF(Z344="N/A","N/A",Z344-V344)</f>
        <v>4326.34</v>
      </c>
      <c r="AB344" s="8">
        <f>IF(Z344&lt;&gt;"N/A", AA344/Z344, "N/A")</f>
        <v>0.17531736798233513</v>
      </c>
      <c r="AC344">
        <f>MONTH(B344)</f>
        <v>9</v>
      </c>
      <c r="AD344">
        <f>YEAR(B344)</f>
        <v>2024</v>
      </c>
      <c r="AE344" s="10">
        <f t="shared" si="5"/>
        <v>0</v>
      </c>
      <c r="AF344" t="s">
        <v>2804</v>
      </c>
      <c r="AG344" t="s">
        <v>2811</v>
      </c>
    </row>
    <row r="345" spans="1:33">
      <c r="A345" t="s">
        <v>1946</v>
      </c>
      <c r="B345" s="4">
        <v>45496</v>
      </c>
      <c r="C345" s="4">
        <v>45503</v>
      </c>
      <c r="D345">
        <f>_xlfn.DAYS(C345,B345)</f>
        <v>7</v>
      </c>
      <c r="E345" t="s">
        <v>2804</v>
      </c>
      <c r="F345" t="s">
        <v>1947</v>
      </c>
      <c r="G345" t="s">
        <v>264</v>
      </c>
      <c r="H345" t="s">
        <v>90</v>
      </c>
      <c r="I345" t="s">
        <v>25</v>
      </c>
      <c r="J345" t="s">
        <v>26</v>
      </c>
      <c r="K345" t="s">
        <v>27</v>
      </c>
      <c r="L345" t="s">
        <v>41</v>
      </c>
      <c r="M345" t="s">
        <v>42</v>
      </c>
      <c r="N345" t="s">
        <v>1948</v>
      </c>
      <c r="O345" t="s">
        <v>44</v>
      </c>
      <c r="P345">
        <v>9</v>
      </c>
      <c r="Q345">
        <v>1870.11</v>
      </c>
      <c r="R345">
        <v>0.25</v>
      </c>
      <c r="S345">
        <f>IF(ISNUMBER(SEARCH("%",R345)), VALUE(SUBSTITUTE(R345,"%",""))/100,IF(ISNUMBER(R345), R345, 0))</f>
        <v>0.25</v>
      </c>
      <c r="T345" t="str">
        <f>IF(S345&lt;0,"Negative discount (invalid)",IF(S345&gt;0.5,"Discount above allowed range (invalid)",IF(AND(R345="",S345=0),"Missing discount set to 0","OK")))</f>
        <v>OK</v>
      </c>
      <c r="U345">
        <v>12623.24</v>
      </c>
      <c r="V345">
        <v>10540.8</v>
      </c>
      <c r="W345">
        <v>2082.44</v>
      </c>
      <c r="X345" t="s">
        <v>155</v>
      </c>
      <c r="Y345" t="s">
        <v>68</v>
      </c>
      <c r="Z345">
        <f>IF(T345="OK",P345*Q345*(1-S345),"invalid")</f>
        <v>12623.242499999998</v>
      </c>
      <c r="AA345">
        <f>IF(Z345="N/A","N/A",Z345-V345)</f>
        <v>2082.4424999999992</v>
      </c>
      <c r="AB345" s="8">
        <f>IF(Z345&lt;&gt;"N/A", AA345/Z345, "N/A")</f>
        <v>0.16496890557239943</v>
      </c>
      <c r="AC345">
        <f>MONTH(B345)</f>
        <v>7</v>
      </c>
      <c r="AD345">
        <f>YEAR(B345)</f>
        <v>2024</v>
      </c>
      <c r="AE345" s="10">
        <f t="shared" si="5"/>
        <v>2.4999999986903276E-3</v>
      </c>
      <c r="AF345" t="s">
        <v>2804</v>
      </c>
      <c r="AG345" t="s">
        <v>2811</v>
      </c>
    </row>
    <row r="346" spans="1:33">
      <c r="A346" t="s">
        <v>1949</v>
      </c>
      <c r="B346" s="4">
        <v>45618</v>
      </c>
      <c r="C346" s="4">
        <v>45623</v>
      </c>
      <c r="D346">
        <f>_xlfn.DAYS(C346,B346)</f>
        <v>5</v>
      </c>
      <c r="E346" t="s">
        <v>2804</v>
      </c>
      <c r="F346" t="s">
        <v>1950</v>
      </c>
      <c r="G346" t="s">
        <v>114</v>
      </c>
      <c r="H346" t="s">
        <v>90</v>
      </c>
      <c r="I346" t="s">
        <v>54</v>
      </c>
      <c r="J346" t="s">
        <v>247</v>
      </c>
      <c r="K346" t="s">
        <v>248</v>
      </c>
      <c r="L346" t="s">
        <v>28</v>
      </c>
      <c r="M346" t="s">
        <v>153</v>
      </c>
      <c r="N346" t="s">
        <v>1951</v>
      </c>
      <c r="O346" t="s">
        <v>50</v>
      </c>
      <c r="P346">
        <v>1</v>
      </c>
      <c r="Q346">
        <v>4251.26</v>
      </c>
      <c r="R346">
        <v>0.2</v>
      </c>
      <c r="S346">
        <f>IF(ISNUMBER(SEARCH("%",R346)), VALUE(SUBSTITUTE(R346,"%",""))/100,IF(ISNUMBER(R346), R346, 0))</f>
        <v>0.2</v>
      </c>
      <c r="T346" t="str">
        <f>IF(S346&lt;0,"Negative discount (invalid)",IF(S346&gt;0.5,"Discount above allowed range (invalid)",IF(AND(R346="",S346=0),"Missing discount set to 0","OK")))</f>
        <v>OK</v>
      </c>
      <c r="U346">
        <v>3401.01</v>
      </c>
      <c r="V346">
        <v>2917.54</v>
      </c>
      <c r="W346">
        <v>483.47</v>
      </c>
      <c r="X346" t="s">
        <v>102</v>
      </c>
      <c r="Y346" t="s">
        <v>103</v>
      </c>
      <c r="Z346">
        <f>IF(T346="OK",P346*Q346*(1-S346),"invalid")</f>
        <v>3401.0080000000003</v>
      </c>
      <c r="AA346">
        <f>IF(Z346="N/A","N/A",Z346-V346)</f>
        <v>483.4680000000003</v>
      </c>
      <c r="AB346" s="8">
        <f>IF(Z346&lt;&gt;"N/A", AA346/Z346, "N/A")</f>
        <v>0.14215432601158254</v>
      </c>
      <c r="AC346">
        <f>MONTH(B346)</f>
        <v>11</v>
      </c>
      <c r="AD346">
        <f>YEAR(B346)</f>
        <v>2024</v>
      </c>
      <c r="AE346" s="10">
        <f t="shared" si="5"/>
        <v>1.9999999999527063E-3</v>
      </c>
      <c r="AF346" t="s">
        <v>2804</v>
      </c>
      <c r="AG346" t="s">
        <v>2811</v>
      </c>
    </row>
    <row r="347" spans="1:33">
      <c r="A347" t="s">
        <v>1952</v>
      </c>
      <c r="B347" s="4">
        <v>45522</v>
      </c>
      <c r="C347" s="4">
        <v>45525</v>
      </c>
      <c r="D347">
        <f>_xlfn.DAYS(C347,B347)</f>
        <v>3</v>
      </c>
      <c r="E347" t="s">
        <v>2804</v>
      </c>
      <c r="F347" t="s">
        <v>1953</v>
      </c>
      <c r="G347" t="s">
        <v>71</v>
      </c>
      <c r="H347" t="s">
        <v>24</v>
      </c>
      <c r="I347" t="s">
        <v>25</v>
      </c>
      <c r="J347" t="s">
        <v>136</v>
      </c>
      <c r="K347" t="s">
        <v>137</v>
      </c>
      <c r="L347" t="s">
        <v>74</v>
      </c>
      <c r="M347" t="s">
        <v>274</v>
      </c>
      <c r="N347" t="s">
        <v>1954</v>
      </c>
      <c r="O347" t="s">
        <v>59</v>
      </c>
      <c r="P347">
        <v>9</v>
      </c>
      <c r="Q347">
        <v>734.34</v>
      </c>
      <c r="R347">
        <v>0</v>
      </c>
      <c r="S347">
        <f>IF(ISNUMBER(SEARCH("%",R347)), VALUE(SUBSTITUTE(R347,"%",""))/100,IF(ISNUMBER(R347), R347, 0))</f>
        <v>0</v>
      </c>
      <c r="T347" t="str">
        <f>IF(S347&lt;0,"Negative discount (invalid)",IF(S347&gt;0.5,"Discount above allowed range (invalid)",IF(AND(R347="",S347=0),"Missing discount set to 0","OK")))</f>
        <v>OK</v>
      </c>
      <c r="U347">
        <v>6609.06</v>
      </c>
      <c r="V347">
        <v>4946.78</v>
      </c>
      <c r="W347">
        <v>1662.28</v>
      </c>
      <c r="X347" t="s">
        <v>32</v>
      </c>
      <c r="Y347" t="s">
        <v>33</v>
      </c>
      <c r="Z347">
        <f>IF(T347="OK",P347*Q347*(1-S347),"invalid")</f>
        <v>6609.06</v>
      </c>
      <c r="AA347">
        <f>IF(Z347="N/A","N/A",Z347-V347)</f>
        <v>1662.2800000000007</v>
      </c>
      <c r="AB347" s="8">
        <f>IF(Z347&lt;&gt;"N/A", AA347/Z347, "N/A")</f>
        <v>0.25151534408826681</v>
      </c>
      <c r="AC347">
        <f>MONTH(B347)</f>
        <v>8</v>
      </c>
      <c r="AD347">
        <f>YEAR(B347)</f>
        <v>2024</v>
      </c>
      <c r="AE347" s="10">
        <f t="shared" si="5"/>
        <v>0</v>
      </c>
      <c r="AF347" t="s">
        <v>2804</v>
      </c>
      <c r="AG347" t="s">
        <v>2811</v>
      </c>
    </row>
    <row r="348" spans="1:33">
      <c r="A348" t="s">
        <v>1955</v>
      </c>
      <c r="B348" s="4">
        <v>45624</v>
      </c>
      <c r="C348" s="4">
        <v>45632</v>
      </c>
      <c r="D348">
        <f>_xlfn.DAYS(C348,B348)</f>
        <v>8</v>
      </c>
      <c r="E348" t="s">
        <v>2804</v>
      </c>
      <c r="F348" t="s">
        <v>1956</v>
      </c>
      <c r="G348" t="s">
        <v>89</v>
      </c>
      <c r="H348" t="s">
        <v>24</v>
      </c>
      <c r="I348" t="s">
        <v>63</v>
      </c>
      <c r="J348" t="s">
        <v>64</v>
      </c>
      <c r="K348" t="s">
        <v>65</v>
      </c>
      <c r="L348" t="s">
        <v>41</v>
      </c>
      <c r="M348" t="s">
        <v>66</v>
      </c>
      <c r="N348" t="s">
        <v>1957</v>
      </c>
      <c r="O348" t="s">
        <v>44</v>
      </c>
      <c r="P348">
        <v>5</v>
      </c>
      <c r="Q348">
        <v>1092.8399999999999</v>
      </c>
      <c r="R348">
        <v>0</v>
      </c>
      <c r="S348">
        <f>IF(ISNUMBER(SEARCH("%",R348)), VALUE(SUBSTITUTE(R348,"%",""))/100,IF(ISNUMBER(R348), R348, 0))</f>
        <v>0</v>
      </c>
      <c r="T348" t="str">
        <f>IF(S348&lt;0,"Negative discount (invalid)",IF(S348&gt;0.5,"Discount above allowed range (invalid)",IF(AND(R348="",S348=0),"Missing discount set to 0","OK")))</f>
        <v>OK</v>
      </c>
      <c r="U348">
        <v>5464.2</v>
      </c>
      <c r="V348">
        <v>3318.09</v>
      </c>
      <c r="W348">
        <v>2146.11</v>
      </c>
      <c r="X348" t="s">
        <v>32</v>
      </c>
      <c r="Y348" t="s">
        <v>33</v>
      </c>
      <c r="Z348">
        <f>IF(T348="OK",P348*Q348*(1-S348),"invalid")</f>
        <v>5464.2</v>
      </c>
      <c r="AA348">
        <f>IF(Z348="N/A","N/A",Z348-V348)</f>
        <v>2146.1099999999997</v>
      </c>
      <c r="AB348" s="8">
        <f>IF(Z348&lt;&gt;"N/A", AA348/Z348, "N/A")</f>
        <v>0.39275831777753373</v>
      </c>
      <c r="AC348">
        <f>MONTH(B348)</f>
        <v>11</v>
      </c>
      <c r="AD348">
        <f>YEAR(B348)</f>
        <v>2024</v>
      </c>
      <c r="AE348" s="10">
        <f t="shared" si="5"/>
        <v>0</v>
      </c>
      <c r="AF348" t="s">
        <v>2804</v>
      </c>
      <c r="AG348" t="s">
        <v>2811</v>
      </c>
    </row>
    <row r="349" spans="1:33">
      <c r="A349" t="s">
        <v>1961</v>
      </c>
      <c r="B349" s="4">
        <v>45512</v>
      </c>
      <c r="C349" s="4">
        <v>45518</v>
      </c>
      <c r="D349">
        <f>_xlfn.DAYS(C349,B349)</f>
        <v>6</v>
      </c>
      <c r="E349" t="s">
        <v>2804</v>
      </c>
      <c r="F349" t="s">
        <v>1962</v>
      </c>
      <c r="G349" t="s">
        <v>71</v>
      </c>
      <c r="H349" t="s">
        <v>95</v>
      </c>
      <c r="I349" t="s">
        <v>25</v>
      </c>
      <c r="J349" t="s">
        <v>122</v>
      </c>
      <c r="K349" t="s">
        <v>123</v>
      </c>
      <c r="L349" t="s">
        <v>28</v>
      </c>
      <c r="M349" t="s">
        <v>124</v>
      </c>
      <c r="N349" t="s">
        <v>1963</v>
      </c>
      <c r="O349" t="s">
        <v>31</v>
      </c>
      <c r="P349">
        <v>8</v>
      </c>
      <c r="Q349">
        <v>1359.19</v>
      </c>
      <c r="R349">
        <v>0.05</v>
      </c>
      <c r="S349">
        <f>IF(ISNUMBER(SEARCH("%",R349)), VALUE(SUBSTITUTE(R349,"%",""))/100,IF(ISNUMBER(R349), R349, 0))</f>
        <v>0.05</v>
      </c>
      <c r="T349" t="str">
        <f>IF(S349&lt;0,"Negative discount (invalid)",IF(S349&gt;0.5,"Discount above allowed range (invalid)",IF(AND(R349="",S349=0),"Missing discount set to 0","OK")))</f>
        <v>OK</v>
      </c>
      <c r="U349">
        <v>10329.84</v>
      </c>
      <c r="V349">
        <v>7512.22</v>
      </c>
      <c r="W349">
        <v>2817.62</v>
      </c>
      <c r="X349" t="s">
        <v>32</v>
      </c>
      <c r="Y349" t="s">
        <v>33</v>
      </c>
      <c r="Z349">
        <f>IF(T349="OK",P349*Q349*(1-S349),"invalid")</f>
        <v>10329.843999999999</v>
      </c>
      <c r="AA349">
        <f>IF(Z349="N/A","N/A",Z349-V349)</f>
        <v>2817.6239999999989</v>
      </c>
      <c r="AB349" s="8">
        <f>IF(Z349&lt;&gt;"N/A", AA349/Z349, "N/A")</f>
        <v>0.27276539703794161</v>
      </c>
      <c r="AC349">
        <f>MONTH(B349)</f>
        <v>8</v>
      </c>
      <c r="AD349">
        <f>YEAR(B349)</f>
        <v>2024</v>
      </c>
      <c r="AE349" s="10">
        <f t="shared" si="5"/>
        <v>3.9999999989959178E-3</v>
      </c>
      <c r="AF349" t="s">
        <v>2804</v>
      </c>
      <c r="AG349" t="s">
        <v>2811</v>
      </c>
    </row>
    <row r="350" spans="1:33">
      <c r="A350" t="s">
        <v>1964</v>
      </c>
      <c r="B350" s="4">
        <v>45321</v>
      </c>
      <c r="C350" s="4">
        <v>45323</v>
      </c>
      <c r="D350">
        <f>_xlfn.DAYS(C350,B350)</f>
        <v>2</v>
      </c>
      <c r="E350" t="s">
        <v>2804</v>
      </c>
      <c r="F350" t="s">
        <v>1965</v>
      </c>
      <c r="G350" t="s">
        <v>79</v>
      </c>
      <c r="H350" t="s">
        <v>95</v>
      </c>
      <c r="I350" t="s">
        <v>38</v>
      </c>
      <c r="J350" t="s">
        <v>166</v>
      </c>
      <c r="K350" t="s">
        <v>167</v>
      </c>
      <c r="L350" t="s">
        <v>41</v>
      </c>
      <c r="M350" t="s">
        <v>66</v>
      </c>
      <c r="N350" t="s">
        <v>1966</v>
      </c>
      <c r="O350" t="s">
        <v>50</v>
      </c>
      <c r="P350">
        <v>2</v>
      </c>
      <c r="Q350">
        <v>4451.03</v>
      </c>
      <c r="R350">
        <v>0.05</v>
      </c>
      <c r="S350">
        <f>IF(ISNUMBER(SEARCH("%",R350)), VALUE(SUBSTITUTE(R350,"%",""))/100,IF(ISNUMBER(R350), R350, 0))</f>
        <v>0.05</v>
      </c>
      <c r="T350" t="str">
        <f>IF(S350&lt;0,"Negative discount (invalid)",IF(S350&gt;0.5,"Discount above allowed range (invalid)",IF(AND(R350="",S350=0),"Missing discount set to 0","OK")))</f>
        <v>OK</v>
      </c>
      <c r="U350">
        <v>8456.9599999999991</v>
      </c>
      <c r="V350">
        <v>5462.85</v>
      </c>
      <c r="W350">
        <v>2994.11</v>
      </c>
      <c r="X350" t="s">
        <v>32</v>
      </c>
      <c r="Y350" t="s">
        <v>33</v>
      </c>
      <c r="Z350">
        <f>IF(T350="OK",P350*Q350*(1-S350),"invalid")</f>
        <v>8456.9569999999985</v>
      </c>
      <c r="AA350">
        <f>IF(Z350="N/A","N/A",Z350-V350)</f>
        <v>2994.1069999999982</v>
      </c>
      <c r="AB350" s="8">
        <f>IF(Z350&lt;&gt;"N/A", AA350/Z350, "N/A")</f>
        <v>0.35404070282017502</v>
      </c>
      <c r="AC350">
        <f>MONTH(B350)</f>
        <v>1</v>
      </c>
      <c r="AD350">
        <f>YEAR(B350)</f>
        <v>2024</v>
      </c>
      <c r="AE350" s="10">
        <f t="shared" si="5"/>
        <v>3.0000000006111804E-3</v>
      </c>
      <c r="AF350" t="s">
        <v>2804</v>
      </c>
      <c r="AG350" t="s">
        <v>2811</v>
      </c>
    </row>
    <row r="351" spans="1:33">
      <c r="A351" t="s">
        <v>1967</v>
      </c>
      <c r="B351" s="4">
        <v>45641</v>
      </c>
      <c r="C351" s="4">
        <v>45647</v>
      </c>
      <c r="D351">
        <f>_xlfn.DAYS(C351,B351)</f>
        <v>6</v>
      </c>
      <c r="E351" t="s">
        <v>2804</v>
      </c>
      <c r="F351" t="s">
        <v>1968</v>
      </c>
      <c r="G351" t="s">
        <v>162</v>
      </c>
      <c r="H351" t="s">
        <v>90</v>
      </c>
      <c r="I351" t="s">
        <v>63</v>
      </c>
      <c r="J351" t="s">
        <v>26</v>
      </c>
      <c r="K351" t="s">
        <v>109</v>
      </c>
      <c r="L351" t="s">
        <v>41</v>
      </c>
      <c r="M351" t="s">
        <v>66</v>
      </c>
      <c r="N351" t="s">
        <v>1969</v>
      </c>
      <c r="O351" t="s">
        <v>44</v>
      </c>
      <c r="P351">
        <v>3</v>
      </c>
      <c r="Q351">
        <v>527.66999999999996</v>
      </c>
      <c r="R351">
        <v>0.2</v>
      </c>
      <c r="S351">
        <f>IF(ISNUMBER(SEARCH("%",R351)), VALUE(SUBSTITUTE(R351,"%",""))/100,IF(ISNUMBER(R351), R351, 0))</f>
        <v>0.2</v>
      </c>
      <c r="T351" t="str">
        <f>IF(S351&lt;0,"Negative discount (invalid)",IF(S351&gt;0.5,"Discount above allowed range (invalid)",IF(AND(R351="",S351=0),"Missing discount set to 0","OK")))</f>
        <v>OK</v>
      </c>
      <c r="U351">
        <v>1266.4100000000001</v>
      </c>
      <c r="V351">
        <v>983.92</v>
      </c>
      <c r="W351">
        <v>282.49</v>
      </c>
      <c r="X351" t="s">
        <v>32</v>
      </c>
      <c r="Y351" t="s">
        <v>33</v>
      </c>
      <c r="Z351">
        <f>IF(T351="OK",P351*Q351*(1-S351),"invalid")</f>
        <v>1266.4079999999999</v>
      </c>
      <c r="AA351">
        <f>IF(Z351="N/A","N/A",Z351-V351)</f>
        <v>282.48799999999994</v>
      </c>
      <c r="AB351" s="8">
        <f>IF(Z351&lt;&gt;"N/A", AA351/Z351, "N/A")</f>
        <v>0.22306239379410109</v>
      </c>
      <c r="AC351">
        <f>MONTH(B351)</f>
        <v>12</v>
      </c>
      <c r="AD351">
        <f>YEAR(B351)</f>
        <v>2024</v>
      </c>
      <c r="AE351" s="10">
        <f t="shared" si="5"/>
        <v>2.00000000018008E-3</v>
      </c>
      <c r="AF351" t="s">
        <v>2804</v>
      </c>
      <c r="AG351" t="s">
        <v>2811</v>
      </c>
    </row>
    <row r="352" spans="1:33">
      <c r="A352" t="s">
        <v>1982</v>
      </c>
      <c r="B352" s="4">
        <v>45391</v>
      </c>
      <c r="C352" s="4">
        <v>45392</v>
      </c>
      <c r="D352">
        <f>_xlfn.DAYS(C352,B352)</f>
        <v>1</v>
      </c>
      <c r="E352" t="s">
        <v>2804</v>
      </c>
      <c r="F352" t="s">
        <v>1983</v>
      </c>
      <c r="G352" t="s">
        <v>114</v>
      </c>
      <c r="H352" t="s">
        <v>90</v>
      </c>
      <c r="I352" t="s">
        <v>38</v>
      </c>
      <c r="J352" t="s">
        <v>166</v>
      </c>
      <c r="K352" t="s">
        <v>167</v>
      </c>
      <c r="L352" t="s">
        <v>28</v>
      </c>
      <c r="M352" t="s">
        <v>29</v>
      </c>
      <c r="N352" t="s">
        <v>1984</v>
      </c>
      <c r="O352" t="s">
        <v>59</v>
      </c>
      <c r="P352">
        <v>4</v>
      </c>
      <c r="Q352">
        <v>3047.05</v>
      </c>
      <c r="R352">
        <v>0.1</v>
      </c>
      <c r="S352">
        <f>IF(ISNUMBER(SEARCH("%",R352)), VALUE(SUBSTITUTE(R352,"%",""))/100,IF(ISNUMBER(R352), R352, 0))</f>
        <v>0.1</v>
      </c>
      <c r="T352" t="str">
        <f>IF(S352&lt;0,"Negative discount (invalid)",IF(S352&gt;0.5,"Discount above allowed range (invalid)",IF(AND(R352="",S352=0),"Missing discount set to 0","OK")))</f>
        <v>OK</v>
      </c>
      <c r="U352">
        <v>10969.38</v>
      </c>
      <c r="V352">
        <v>9254.4599999999991</v>
      </c>
      <c r="W352">
        <v>1714.92</v>
      </c>
      <c r="X352" t="s">
        <v>32</v>
      </c>
      <c r="Y352" t="s">
        <v>33</v>
      </c>
      <c r="Z352">
        <f>IF(T352="OK",P352*Q352*(1-S352),"invalid")</f>
        <v>10969.380000000001</v>
      </c>
      <c r="AA352">
        <f>IF(Z352="N/A","N/A",Z352-V352)</f>
        <v>1714.9200000000019</v>
      </c>
      <c r="AB352" s="8">
        <f>IF(Z352&lt;&gt;"N/A", AA352/Z352, "N/A")</f>
        <v>0.15633700354988173</v>
      </c>
      <c r="AC352">
        <f>MONTH(B352)</f>
        <v>4</v>
      </c>
      <c r="AD352">
        <f>YEAR(B352)</f>
        <v>2024</v>
      </c>
      <c r="AE352" s="10">
        <f t="shared" si="5"/>
        <v>1.8189894035458565E-12</v>
      </c>
      <c r="AF352" t="s">
        <v>2804</v>
      </c>
      <c r="AG352" t="s">
        <v>2811</v>
      </c>
    </row>
    <row r="353" spans="1:33">
      <c r="A353" t="s">
        <v>1985</v>
      </c>
      <c r="B353" s="4">
        <v>45392</v>
      </c>
      <c r="C353" s="4">
        <v>45397</v>
      </c>
      <c r="D353">
        <f>_xlfn.DAYS(C353,B353)</f>
        <v>5</v>
      </c>
      <c r="E353" t="s">
        <v>2804</v>
      </c>
      <c r="F353" t="s">
        <v>1986</v>
      </c>
      <c r="G353" t="s">
        <v>128</v>
      </c>
      <c r="H353" t="s">
        <v>95</v>
      </c>
      <c r="I353" t="s">
        <v>63</v>
      </c>
      <c r="J353" t="s">
        <v>26</v>
      </c>
      <c r="K353" t="s">
        <v>109</v>
      </c>
      <c r="L353" t="s">
        <v>41</v>
      </c>
      <c r="M353" t="s">
        <v>66</v>
      </c>
      <c r="N353" t="s">
        <v>1987</v>
      </c>
      <c r="O353" t="s">
        <v>59</v>
      </c>
      <c r="P353">
        <v>8</v>
      </c>
      <c r="Q353">
        <v>4362.4799999999996</v>
      </c>
      <c r="R353">
        <v>0.1</v>
      </c>
      <c r="S353">
        <f>IF(ISNUMBER(SEARCH("%",R353)), VALUE(SUBSTITUTE(R353,"%",""))/100,IF(ISNUMBER(R353), R353, 0))</f>
        <v>0.1</v>
      </c>
      <c r="T353" t="str">
        <f>IF(S353&lt;0,"Negative discount (invalid)",IF(S353&gt;0.5,"Discount above allowed range (invalid)",IF(AND(R353="",S353=0),"Missing discount set to 0","OK")))</f>
        <v>OK</v>
      </c>
      <c r="U353">
        <v>31409.86</v>
      </c>
      <c r="V353">
        <v>22523.54</v>
      </c>
      <c r="W353">
        <v>8886.32</v>
      </c>
      <c r="X353" t="s">
        <v>32</v>
      </c>
      <c r="Y353" t="s">
        <v>33</v>
      </c>
      <c r="Z353">
        <f>IF(T353="OK",P353*Q353*(1-S353),"invalid")</f>
        <v>31409.855999999996</v>
      </c>
      <c r="AA353">
        <f>IF(Z353="N/A","N/A",Z353-V353)</f>
        <v>8886.3159999999953</v>
      </c>
      <c r="AB353" s="8">
        <f>IF(Z353&lt;&gt;"N/A", AA353/Z353, "N/A")</f>
        <v>0.2829148914277097</v>
      </c>
      <c r="AC353">
        <f>MONTH(B353)</f>
        <v>4</v>
      </c>
      <c r="AD353">
        <f>YEAR(B353)</f>
        <v>2024</v>
      </c>
      <c r="AE353" s="10">
        <f t="shared" si="5"/>
        <v>4.0000000044528861E-3</v>
      </c>
      <c r="AF353" t="s">
        <v>2804</v>
      </c>
      <c r="AG353" t="s">
        <v>2811</v>
      </c>
    </row>
    <row r="354" spans="1:33">
      <c r="A354" t="s">
        <v>1997</v>
      </c>
      <c r="B354" s="4">
        <v>45432</v>
      </c>
      <c r="C354" s="4">
        <v>45437</v>
      </c>
      <c r="D354">
        <f>_xlfn.DAYS(C354,B354)</f>
        <v>5</v>
      </c>
      <c r="E354" t="s">
        <v>2804</v>
      </c>
      <c r="F354" t="s">
        <v>1998</v>
      </c>
      <c r="G354" t="s">
        <v>36</v>
      </c>
      <c r="H354" t="s">
        <v>90</v>
      </c>
      <c r="I354" t="s">
        <v>54</v>
      </c>
      <c r="J354" t="s">
        <v>84</v>
      </c>
      <c r="K354" t="s">
        <v>85</v>
      </c>
      <c r="L354" t="s">
        <v>41</v>
      </c>
      <c r="M354" t="s">
        <v>66</v>
      </c>
      <c r="N354" t="s">
        <v>1999</v>
      </c>
      <c r="O354" t="s">
        <v>44</v>
      </c>
      <c r="P354">
        <v>7</v>
      </c>
      <c r="Q354">
        <v>3122.85</v>
      </c>
      <c r="R354">
        <v>0.25</v>
      </c>
      <c r="S354">
        <f>IF(ISNUMBER(SEARCH("%",R354)), VALUE(SUBSTITUTE(R354,"%",""))/100,IF(ISNUMBER(R354), R354, 0))</f>
        <v>0.25</v>
      </c>
      <c r="T354" t="str">
        <f>IF(S354&lt;0,"Negative discount (invalid)",IF(S354&gt;0.5,"Discount above allowed range (invalid)",IF(AND(R354="",S354=0),"Missing discount set to 0","OK")))</f>
        <v>OK</v>
      </c>
      <c r="U354">
        <v>16394.96</v>
      </c>
      <c r="V354">
        <v>10404.17</v>
      </c>
      <c r="W354">
        <v>5990.79</v>
      </c>
      <c r="X354" t="s">
        <v>32</v>
      </c>
      <c r="Y354" t="s">
        <v>33</v>
      </c>
      <c r="Z354">
        <f>IF(T354="OK",P354*Q354*(1-S354),"invalid")</f>
        <v>16394.962500000001</v>
      </c>
      <c r="AA354">
        <f>IF(Z354="N/A","N/A",Z354-V354)</f>
        <v>5990.7925000000014</v>
      </c>
      <c r="AB354" s="8">
        <f>IF(Z354&lt;&gt;"N/A", AA354/Z354, "N/A")</f>
        <v>0.36540446493854445</v>
      </c>
      <c r="AC354">
        <f>MONTH(B354)</f>
        <v>5</v>
      </c>
      <c r="AD354">
        <f>YEAR(B354)</f>
        <v>2024</v>
      </c>
      <c r="AE354" s="10">
        <f t="shared" si="5"/>
        <v>2.5000000023283064E-3</v>
      </c>
      <c r="AF354" t="s">
        <v>2804</v>
      </c>
      <c r="AG354" t="s">
        <v>2811</v>
      </c>
    </row>
    <row r="355" spans="1:33">
      <c r="A355" t="s">
        <v>2000</v>
      </c>
      <c r="B355" s="4">
        <v>45567</v>
      </c>
      <c r="C355" s="4">
        <v>45574</v>
      </c>
      <c r="D355">
        <f>_xlfn.DAYS(C355,B355)</f>
        <v>7</v>
      </c>
      <c r="E355" t="s">
        <v>2804</v>
      </c>
      <c r="F355" t="s">
        <v>2001</v>
      </c>
      <c r="G355" t="s">
        <v>62</v>
      </c>
      <c r="H355" t="s">
        <v>24</v>
      </c>
      <c r="I355" t="s">
        <v>54</v>
      </c>
      <c r="J355" t="s">
        <v>247</v>
      </c>
      <c r="K355" t="s">
        <v>248</v>
      </c>
      <c r="L355" t="s">
        <v>28</v>
      </c>
      <c r="M355" t="s">
        <v>29</v>
      </c>
      <c r="N355" t="s">
        <v>2002</v>
      </c>
      <c r="O355" t="s">
        <v>59</v>
      </c>
      <c r="P355">
        <v>8</v>
      </c>
      <c r="Q355">
        <v>1910.31</v>
      </c>
      <c r="R355">
        <v>0.15</v>
      </c>
      <c r="S355">
        <f>IF(ISNUMBER(SEARCH("%",R355)), VALUE(SUBSTITUTE(R355,"%",""))/100,IF(ISNUMBER(R355), R355, 0))</f>
        <v>0.15</v>
      </c>
      <c r="T355" t="str">
        <f>IF(S355&lt;0,"Negative discount (invalid)",IF(S355&gt;0.5,"Discount above allowed range (invalid)",IF(AND(R355="",S355=0),"Missing discount set to 0","OK")))</f>
        <v>OK</v>
      </c>
      <c r="U355">
        <v>12990.11</v>
      </c>
      <c r="V355">
        <v>10200.799999999999</v>
      </c>
      <c r="W355">
        <v>2789.31</v>
      </c>
      <c r="X355" t="s">
        <v>32</v>
      </c>
      <c r="Y355" t="s">
        <v>33</v>
      </c>
      <c r="Z355">
        <f>IF(T355="OK",P355*Q355*(1-S355),"invalid")</f>
        <v>12990.108</v>
      </c>
      <c r="AA355">
        <f>IF(Z355="N/A","N/A",Z355-V355)</f>
        <v>2789.3080000000009</v>
      </c>
      <c r="AB355" s="8">
        <f>IF(Z355&lt;&gt;"N/A", AA355/Z355, "N/A")</f>
        <v>0.2147255434673831</v>
      </c>
      <c r="AC355">
        <f>MONTH(B355)</f>
        <v>10</v>
      </c>
      <c r="AD355">
        <f>YEAR(B355)</f>
        <v>2024</v>
      </c>
      <c r="AE355" s="10">
        <f t="shared" si="5"/>
        <v>2.0000000004074536E-3</v>
      </c>
      <c r="AF355" t="s">
        <v>2804</v>
      </c>
      <c r="AG355" t="s">
        <v>2811</v>
      </c>
    </row>
    <row r="356" spans="1:33">
      <c r="A356" t="s">
        <v>2003</v>
      </c>
      <c r="B356" s="4">
        <v>45438</v>
      </c>
      <c r="C356" s="4">
        <v>45438</v>
      </c>
      <c r="D356">
        <f>_xlfn.DAYS(C356,B356)</f>
        <v>0</v>
      </c>
      <c r="E356" t="s">
        <v>2804</v>
      </c>
      <c r="F356" t="s">
        <v>2004</v>
      </c>
      <c r="G356" t="s">
        <v>118</v>
      </c>
      <c r="H356" t="s">
        <v>37</v>
      </c>
      <c r="I356" t="s">
        <v>63</v>
      </c>
      <c r="J356" t="s">
        <v>190</v>
      </c>
      <c r="K356" t="s">
        <v>191</v>
      </c>
      <c r="L356" t="s">
        <v>74</v>
      </c>
      <c r="M356" t="s">
        <v>80</v>
      </c>
      <c r="N356" t="s">
        <v>2005</v>
      </c>
      <c r="O356" t="s">
        <v>50</v>
      </c>
      <c r="P356">
        <v>2</v>
      </c>
      <c r="Q356">
        <v>3192.47</v>
      </c>
      <c r="R356">
        <v>0.2</v>
      </c>
      <c r="S356">
        <f>IF(ISNUMBER(SEARCH("%",R356)), VALUE(SUBSTITUTE(R356,"%",""))/100,IF(ISNUMBER(R356), R356, 0))</f>
        <v>0.2</v>
      </c>
      <c r="T356" t="str">
        <f>IF(S356&lt;0,"Negative discount (invalid)",IF(S356&gt;0.5,"Discount above allowed range (invalid)",IF(AND(R356="",S356=0),"Missing discount set to 0","OK")))</f>
        <v>OK</v>
      </c>
      <c r="U356">
        <v>5107.95</v>
      </c>
      <c r="V356">
        <v>3133.08</v>
      </c>
      <c r="W356">
        <v>1974.87</v>
      </c>
      <c r="X356" t="s">
        <v>32</v>
      </c>
      <c r="Y356" t="s">
        <v>33</v>
      </c>
      <c r="Z356">
        <f>IF(T356="OK",P356*Q356*(1-S356),"invalid")</f>
        <v>5107.9520000000002</v>
      </c>
      <c r="AA356">
        <f>IF(Z356="N/A","N/A",Z356-V356)</f>
        <v>1974.8720000000003</v>
      </c>
      <c r="AB356" s="8">
        <f>IF(Z356&lt;&gt;"N/A", AA356/Z356, "N/A")</f>
        <v>0.38662696908663202</v>
      </c>
      <c r="AC356">
        <f>MONTH(B356)</f>
        <v>5</v>
      </c>
      <c r="AD356">
        <f>YEAR(B356)</f>
        <v>2024</v>
      </c>
      <c r="AE356" s="10">
        <f t="shared" si="5"/>
        <v>2.0000000004074536E-3</v>
      </c>
      <c r="AF356" t="s">
        <v>2804</v>
      </c>
      <c r="AG356" t="s">
        <v>2811</v>
      </c>
    </row>
    <row r="357" spans="1:33">
      <c r="A357" t="s">
        <v>2006</v>
      </c>
      <c r="B357" s="4">
        <v>45317</v>
      </c>
      <c r="C357" s="4">
        <v>45322</v>
      </c>
      <c r="D357">
        <f>_xlfn.DAYS(C357,B357)</f>
        <v>5</v>
      </c>
      <c r="E357" t="s">
        <v>2804</v>
      </c>
      <c r="F357" t="s">
        <v>2007</v>
      </c>
      <c r="G357" t="s">
        <v>23</v>
      </c>
      <c r="H357" t="s">
        <v>90</v>
      </c>
      <c r="I357" t="s">
        <v>54</v>
      </c>
      <c r="J357" t="s">
        <v>185</v>
      </c>
      <c r="K357" t="s">
        <v>186</v>
      </c>
      <c r="L357" t="s">
        <v>28</v>
      </c>
      <c r="M357" t="s">
        <v>124</v>
      </c>
      <c r="N357" t="s">
        <v>2008</v>
      </c>
      <c r="O357" t="s">
        <v>31</v>
      </c>
      <c r="P357">
        <v>3</v>
      </c>
      <c r="Q357">
        <v>3224.32</v>
      </c>
      <c r="R357">
        <v>0.2</v>
      </c>
      <c r="S357">
        <f>IF(ISNUMBER(SEARCH("%",R357)), VALUE(SUBSTITUTE(R357,"%",""))/100,IF(ISNUMBER(R357), R357, 0))</f>
        <v>0.2</v>
      </c>
      <c r="T357" t="str">
        <f>IF(S357&lt;0,"Negative discount (invalid)",IF(S357&gt;0.5,"Discount above allowed range (invalid)",IF(AND(R357="",S357=0),"Missing discount set to 0","OK")))</f>
        <v>OK</v>
      </c>
      <c r="U357">
        <v>7738.37</v>
      </c>
      <c r="V357">
        <v>4626.8500000000004</v>
      </c>
      <c r="W357">
        <v>3111.52</v>
      </c>
      <c r="X357" t="s">
        <v>155</v>
      </c>
      <c r="Y357" t="s">
        <v>103</v>
      </c>
      <c r="Z357">
        <f>IF(T357="OK",P357*Q357*(1-S357),"invalid")</f>
        <v>7738.3680000000013</v>
      </c>
      <c r="AA357">
        <f>IF(Z357="N/A","N/A",Z357-V357)</f>
        <v>3111.5180000000009</v>
      </c>
      <c r="AB357" s="8">
        <f>IF(Z357&lt;&gt;"N/A", AA357/Z357, "N/A")</f>
        <v>0.40208969126306743</v>
      </c>
      <c r="AC357">
        <f>MONTH(B357)</f>
        <v>1</v>
      </c>
      <c r="AD357">
        <f>YEAR(B357)</f>
        <v>2024</v>
      </c>
      <c r="AE357" s="10">
        <f t="shared" si="5"/>
        <v>1.9999999985884642E-3</v>
      </c>
      <c r="AF357" t="s">
        <v>2804</v>
      </c>
      <c r="AG357" t="s">
        <v>2811</v>
      </c>
    </row>
    <row r="358" spans="1:33">
      <c r="A358" t="s">
        <v>2009</v>
      </c>
      <c r="B358" s="4">
        <v>45653</v>
      </c>
      <c r="C358" s="4">
        <v>45657</v>
      </c>
      <c r="D358">
        <f>_xlfn.DAYS(C358,B358)</f>
        <v>4</v>
      </c>
      <c r="E358" t="s">
        <v>2804</v>
      </c>
      <c r="F358" t="s">
        <v>2010</v>
      </c>
      <c r="G358" t="s">
        <v>47</v>
      </c>
      <c r="H358" t="s">
        <v>37</v>
      </c>
      <c r="I358" t="s">
        <v>38</v>
      </c>
      <c r="J358" t="s">
        <v>39</v>
      </c>
      <c r="K358" t="s">
        <v>40</v>
      </c>
      <c r="L358" t="s">
        <v>41</v>
      </c>
      <c r="M358" t="s">
        <v>66</v>
      </c>
      <c r="N358" t="s">
        <v>2011</v>
      </c>
      <c r="O358" t="s">
        <v>31</v>
      </c>
      <c r="P358">
        <v>1</v>
      </c>
      <c r="Q358">
        <v>1594.7</v>
      </c>
      <c r="R358">
        <v>0.05</v>
      </c>
      <c r="S358">
        <f>IF(ISNUMBER(SEARCH("%",R358)), VALUE(SUBSTITUTE(R358,"%",""))/100,IF(ISNUMBER(R358), R358, 0))</f>
        <v>0.05</v>
      </c>
      <c r="T358" t="str">
        <f>IF(S358&lt;0,"Negative discount (invalid)",IF(S358&gt;0.5,"Discount above allowed range (invalid)",IF(AND(R358="",S358=0),"Missing discount set to 0","OK")))</f>
        <v>OK</v>
      </c>
      <c r="U358">
        <v>1514.96</v>
      </c>
      <c r="V358">
        <v>1046.17</v>
      </c>
      <c r="W358">
        <v>468.79</v>
      </c>
      <c r="X358" t="s">
        <v>32</v>
      </c>
      <c r="Y358" t="s">
        <v>33</v>
      </c>
      <c r="Z358">
        <f>IF(T358="OK",P358*Q358*(1-S358),"invalid")</f>
        <v>1514.9649999999999</v>
      </c>
      <c r="AA358">
        <f>IF(Z358="N/A","N/A",Z358-V358)</f>
        <v>468.79499999999985</v>
      </c>
      <c r="AB358" s="8">
        <f>IF(Z358&lt;&gt;"N/A", AA358/Z358, "N/A")</f>
        <v>0.3094427924077453</v>
      </c>
      <c r="AC358">
        <f>MONTH(B358)</f>
        <v>12</v>
      </c>
      <c r="AD358">
        <f>YEAR(B358)</f>
        <v>2024</v>
      </c>
      <c r="AE358" s="10">
        <f t="shared" si="5"/>
        <v>4.9999999998817657E-3</v>
      </c>
      <c r="AF358" t="s">
        <v>2804</v>
      </c>
      <c r="AG358" t="s">
        <v>2811</v>
      </c>
    </row>
    <row r="359" spans="1:33">
      <c r="A359" t="s">
        <v>2018</v>
      </c>
      <c r="B359" s="4">
        <v>45533</v>
      </c>
      <c r="C359" s="4">
        <v>45535</v>
      </c>
      <c r="D359">
        <f>_xlfn.DAYS(C359,B359)</f>
        <v>2</v>
      </c>
      <c r="E359" t="s">
        <v>2804</v>
      </c>
      <c r="F359" t="s">
        <v>2019</v>
      </c>
      <c r="G359" t="s">
        <v>47</v>
      </c>
      <c r="H359" t="s">
        <v>95</v>
      </c>
      <c r="I359" t="s">
        <v>38</v>
      </c>
      <c r="J359" t="s">
        <v>166</v>
      </c>
      <c r="K359" t="s">
        <v>167</v>
      </c>
      <c r="L359" t="s">
        <v>28</v>
      </c>
      <c r="M359" t="s">
        <v>153</v>
      </c>
      <c r="N359" t="s">
        <v>2020</v>
      </c>
      <c r="O359" t="s">
        <v>31</v>
      </c>
      <c r="P359">
        <v>9</v>
      </c>
      <c r="Q359">
        <v>1275.21</v>
      </c>
      <c r="R359">
        <v>0.25</v>
      </c>
      <c r="S359">
        <f>IF(ISNUMBER(SEARCH("%",R359)), VALUE(SUBSTITUTE(R359,"%",""))/100,IF(ISNUMBER(R359), R359, 0))</f>
        <v>0.25</v>
      </c>
      <c r="T359" t="str">
        <f>IF(S359&lt;0,"Negative discount (invalid)",IF(S359&gt;0.5,"Discount above allowed range (invalid)",IF(AND(R359="",S359=0),"Missing discount set to 0","OK")))</f>
        <v>OK</v>
      </c>
      <c r="U359">
        <v>8607.67</v>
      </c>
      <c r="V359">
        <v>5337.64</v>
      </c>
      <c r="W359">
        <v>3270.03</v>
      </c>
      <c r="X359" t="s">
        <v>155</v>
      </c>
      <c r="Y359" t="s">
        <v>103</v>
      </c>
      <c r="Z359">
        <f>IF(T359="OK",P359*Q359*(1-S359),"invalid")</f>
        <v>8607.6674999999996</v>
      </c>
      <c r="AA359">
        <f>IF(Z359="N/A","N/A",Z359-V359)</f>
        <v>3270.0274999999992</v>
      </c>
      <c r="AB359" s="8">
        <f>IF(Z359&lt;&gt;"N/A", AA359/Z359, "N/A")</f>
        <v>0.37989705108846261</v>
      </c>
      <c r="AC359">
        <f>MONTH(B359)</f>
        <v>8</v>
      </c>
      <c r="AD359">
        <f>YEAR(B359)</f>
        <v>2024</v>
      </c>
      <c r="AE359" s="10">
        <f t="shared" si="5"/>
        <v>2.500000000509317E-3</v>
      </c>
      <c r="AF359" t="s">
        <v>2804</v>
      </c>
      <c r="AG359" t="s">
        <v>2811</v>
      </c>
    </row>
    <row r="360" spans="1:33">
      <c r="A360" t="s">
        <v>2021</v>
      </c>
      <c r="B360" s="4">
        <v>45327</v>
      </c>
      <c r="C360" s="4">
        <v>45335</v>
      </c>
      <c r="D360">
        <f>_xlfn.DAYS(C360,B360)</f>
        <v>8</v>
      </c>
      <c r="E360" t="s">
        <v>2804</v>
      </c>
      <c r="F360" t="s">
        <v>721</v>
      </c>
      <c r="G360" t="s">
        <v>128</v>
      </c>
      <c r="H360" t="s">
        <v>95</v>
      </c>
      <c r="I360" t="s">
        <v>25</v>
      </c>
      <c r="J360" t="s">
        <v>136</v>
      </c>
      <c r="K360" t="s">
        <v>137</v>
      </c>
      <c r="L360" t="s">
        <v>28</v>
      </c>
      <c r="M360" t="s">
        <v>91</v>
      </c>
      <c r="N360" t="s">
        <v>2022</v>
      </c>
      <c r="O360" t="s">
        <v>59</v>
      </c>
      <c r="P360">
        <v>8</v>
      </c>
      <c r="Q360">
        <v>3871.18</v>
      </c>
      <c r="R360">
        <v>0.15</v>
      </c>
      <c r="S360">
        <f>IF(ISNUMBER(SEARCH("%",R360)), VALUE(SUBSTITUTE(R360,"%",""))/100,IF(ISNUMBER(R360), R360, 0))</f>
        <v>0.15</v>
      </c>
      <c r="T360" t="str">
        <f>IF(S360&lt;0,"Negative discount (invalid)",IF(S360&gt;0.5,"Discount above allowed range (invalid)",IF(AND(R360="",S360=0),"Missing discount set to 0","OK")))</f>
        <v>OK</v>
      </c>
      <c r="U360">
        <v>26324.02</v>
      </c>
      <c r="V360">
        <v>16277.96</v>
      </c>
      <c r="W360">
        <v>10046.06</v>
      </c>
      <c r="X360" t="s">
        <v>155</v>
      </c>
      <c r="Y360" t="s">
        <v>103</v>
      </c>
      <c r="Z360">
        <f>IF(T360="OK",P360*Q360*(1-S360),"invalid")</f>
        <v>26324.023999999998</v>
      </c>
      <c r="AA360">
        <f>IF(Z360="N/A","N/A",Z360-V360)</f>
        <v>10046.063999999998</v>
      </c>
      <c r="AB360" s="8">
        <f>IF(Z360&lt;&gt;"N/A", AA360/Z360, "N/A")</f>
        <v>0.3816310150758106</v>
      </c>
      <c r="AC360">
        <f>MONTH(B360)</f>
        <v>2</v>
      </c>
      <c r="AD360">
        <f>YEAR(B360)</f>
        <v>2024</v>
      </c>
      <c r="AE360" s="10">
        <f t="shared" si="5"/>
        <v>3.9999999971769284E-3</v>
      </c>
      <c r="AF360" t="s">
        <v>2804</v>
      </c>
      <c r="AG360" t="s">
        <v>2811</v>
      </c>
    </row>
    <row r="361" spans="1:33">
      <c r="A361" t="s">
        <v>2026</v>
      </c>
      <c r="B361" s="4">
        <v>45295</v>
      </c>
      <c r="C361" s="4">
        <v>45300</v>
      </c>
      <c r="D361">
        <f>_xlfn.DAYS(C361,B361)</f>
        <v>5</v>
      </c>
      <c r="E361" t="s">
        <v>2804</v>
      </c>
      <c r="F361" t="s">
        <v>2027</v>
      </c>
      <c r="G361" t="s">
        <v>264</v>
      </c>
      <c r="H361" t="s">
        <v>24</v>
      </c>
      <c r="I361" t="s">
        <v>38</v>
      </c>
      <c r="J361" t="s">
        <v>145</v>
      </c>
      <c r="K361" t="s">
        <v>146</v>
      </c>
      <c r="L361" t="s">
        <v>41</v>
      </c>
      <c r="M361" t="s">
        <v>66</v>
      </c>
      <c r="N361" t="s">
        <v>2028</v>
      </c>
      <c r="O361" t="s">
        <v>31</v>
      </c>
      <c r="P361">
        <v>6</v>
      </c>
      <c r="Q361">
        <v>2423.61</v>
      </c>
      <c r="R361">
        <v>0.1</v>
      </c>
      <c r="S361">
        <f>IF(ISNUMBER(SEARCH("%",R361)), VALUE(SUBSTITUTE(R361,"%",""))/100,IF(ISNUMBER(R361), R361, 0))</f>
        <v>0.1</v>
      </c>
      <c r="T361" t="str">
        <f>IF(S361&lt;0,"Negative discount (invalid)",IF(S361&gt;0.5,"Discount above allowed range (invalid)",IF(AND(R361="",S361=0),"Missing discount set to 0","OK")))</f>
        <v>OK</v>
      </c>
      <c r="U361">
        <v>13087.49</v>
      </c>
      <c r="V361">
        <v>7608.89</v>
      </c>
      <c r="W361">
        <v>5133.22</v>
      </c>
      <c r="X361" t="s">
        <v>32</v>
      </c>
      <c r="Y361" t="s">
        <v>33</v>
      </c>
      <c r="Z361">
        <f>IF(T361="OK",P361*Q361*(1-S361),"invalid")</f>
        <v>13087.494000000001</v>
      </c>
      <c r="AA361">
        <f>IF(Z361="N/A","N/A",Z361-V361)</f>
        <v>5478.6040000000003</v>
      </c>
      <c r="AB361" s="8">
        <f>IF(Z361&lt;&gt;"N/A", AA361/Z361, "N/A")</f>
        <v>0.41861367806548755</v>
      </c>
      <c r="AC361">
        <f>MONTH(B361)</f>
        <v>1</v>
      </c>
      <c r="AD361">
        <f>YEAR(B361)</f>
        <v>2024</v>
      </c>
      <c r="AE361" s="10">
        <f t="shared" si="5"/>
        <v>4.0000000008149073E-3</v>
      </c>
      <c r="AF361" t="s">
        <v>2804</v>
      </c>
      <c r="AG361" t="s">
        <v>2811</v>
      </c>
    </row>
    <row r="362" spans="1:33">
      <c r="A362" t="s">
        <v>2029</v>
      </c>
      <c r="B362" s="4">
        <v>45553</v>
      </c>
      <c r="C362" s="4">
        <v>45559</v>
      </c>
      <c r="D362">
        <f>_xlfn.DAYS(C362,B362)</f>
        <v>6</v>
      </c>
      <c r="E362" t="s">
        <v>2804</v>
      </c>
      <c r="F362" t="s">
        <v>2030</v>
      </c>
      <c r="G362" t="s">
        <v>71</v>
      </c>
      <c r="H362" t="s">
        <v>37</v>
      </c>
      <c r="I362" t="s">
        <v>38</v>
      </c>
      <c r="J362" t="s">
        <v>228</v>
      </c>
      <c r="K362" t="s">
        <v>229</v>
      </c>
      <c r="L362" t="s">
        <v>74</v>
      </c>
      <c r="M362" t="s">
        <v>274</v>
      </c>
      <c r="N362" t="s">
        <v>2031</v>
      </c>
      <c r="O362" t="s">
        <v>50</v>
      </c>
      <c r="P362">
        <v>3</v>
      </c>
      <c r="Q362">
        <v>729.14</v>
      </c>
      <c r="R362">
        <v>0.25</v>
      </c>
      <c r="S362">
        <f>IF(ISNUMBER(SEARCH("%",R362)), VALUE(SUBSTITUTE(R362,"%",""))/100,IF(ISNUMBER(R362), R362, 0))</f>
        <v>0.25</v>
      </c>
      <c r="T362" t="str">
        <f>IF(S362&lt;0,"Negative discount (invalid)",IF(S362&gt;0.5,"Discount above allowed range (invalid)",IF(AND(R362="",S362=0),"Missing discount set to 0","OK")))</f>
        <v>OK</v>
      </c>
      <c r="U362">
        <v>1640.57</v>
      </c>
      <c r="V362">
        <v>1136.98</v>
      </c>
      <c r="W362">
        <v>503.59</v>
      </c>
      <c r="X362" t="s">
        <v>32</v>
      </c>
      <c r="Y362" t="s">
        <v>33</v>
      </c>
      <c r="Z362">
        <f>IF(T362="OK",P362*Q362*(1-S362),"invalid")</f>
        <v>1640.5650000000001</v>
      </c>
      <c r="AA362">
        <f>IF(Z362="N/A","N/A",Z362-V362)</f>
        <v>503.58500000000004</v>
      </c>
      <c r="AB362" s="8">
        <f>IF(Z362&lt;&gt;"N/A", AA362/Z362, "N/A")</f>
        <v>0.30695827352162214</v>
      </c>
      <c r="AC362">
        <f>MONTH(B362)</f>
        <v>9</v>
      </c>
      <c r="AD362">
        <f>YEAR(B362)</f>
        <v>2024</v>
      </c>
      <c r="AE362" s="10">
        <f t="shared" si="5"/>
        <v>4.9999999998817657E-3</v>
      </c>
      <c r="AF362" t="s">
        <v>2804</v>
      </c>
      <c r="AG362" t="s">
        <v>2811</v>
      </c>
    </row>
    <row r="363" spans="1:33">
      <c r="A363" t="s">
        <v>2035</v>
      </c>
      <c r="B363" s="4">
        <v>45403</v>
      </c>
      <c r="C363" s="4">
        <v>45406</v>
      </c>
      <c r="D363">
        <f>_xlfn.DAYS(C363,B363)</f>
        <v>3</v>
      </c>
      <c r="E363" t="s">
        <v>2804</v>
      </c>
      <c r="F363" t="s">
        <v>2036</v>
      </c>
      <c r="G363" t="s">
        <v>79</v>
      </c>
      <c r="H363" t="s">
        <v>37</v>
      </c>
      <c r="I363" t="s">
        <v>54</v>
      </c>
      <c r="J363" t="s">
        <v>84</v>
      </c>
      <c r="K363" t="s">
        <v>85</v>
      </c>
      <c r="L363" t="s">
        <v>28</v>
      </c>
      <c r="M363" t="s">
        <v>48</v>
      </c>
      <c r="N363" t="s">
        <v>2037</v>
      </c>
      <c r="O363" t="s">
        <v>44</v>
      </c>
      <c r="P363">
        <v>9</v>
      </c>
      <c r="Q363">
        <v>703.59</v>
      </c>
      <c r="R363">
        <v>0.2</v>
      </c>
      <c r="S363">
        <f>IF(ISNUMBER(SEARCH("%",R363)), VALUE(SUBSTITUTE(R363,"%",""))/100,IF(ISNUMBER(R363), R363, 0))</f>
        <v>0.2</v>
      </c>
      <c r="T363" t="str">
        <f>IF(S363&lt;0,"Negative discount (invalid)",IF(S363&gt;0.5,"Discount above allowed range (invalid)",IF(AND(R363="",S363=0),"Missing discount set to 0","OK")))</f>
        <v>OK</v>
      </c>
      <c r="U363">
        <v>5065.8500000000004</v>
      </c>
      <c r="V363">
        <v>3517.23</v>
      </c>
      <c r="W363">
        <v>1548.62</v>
      </c>
      <c r="X363" t="s">
        <v>155</v>
      </c>
      <c r="Y363" t="s">
        <v>103</v>
      </c>
      <c r="Z363">
        <f>IF(T363="OK",P363*Q363*(1-S363),"invalid")</f>
        <v>5065.8480000000009</v>
      </c>
      <c r="AA363">
        <f>IF(Z363="N/A","N/A",Z363-V363)</f>
        <v>1548.6180000000008</v>
      </c>
      <c r="AB363" s="8">
        <f>IF(Z363&lt;&gt;"N/A", AA363/Z363, "N/A")</f>
        <v>0.30569768378364304</v>
      </c>
      <c r="AC363">
        <f>MONTH(B363)</f>
        <v>4</v>
      </c>
      <c r="AD363">
        <f>YEAR(B363)</f>
        <v>2024</v>
      </c>
      <c r="AE363" s="10">
        <f t="shared" si="5"/>
        <v>1.9999999994979589E-3</v>
      </c>
      <c r="AF363" t="s">
        <v>2804</v>
      </c>
      <c r="AG363" t="s">
        <v>2811</v>
      </c>
    </row>
    <row r="364" spans="1:33">
      <c r="A364" t="s">
        <v>2041</v>
      </c>
      <c r="B364" s="4">
        <v>45395</v>
      </c>
      <c r="C364" s="4">
        <v>45403</v>
      </c>
      <c r="D364">
        <f>_xlfn.DAYS(C364,B364)</f>
        <v>8</v>
      </c>
      <c r="E364" t="s">
        <v>2804</v>
      </c>
      <c r="F364" t="s">
        <v>378</v>
      </c>
      <c r="G364" t="s">
        <v>128</v>
      </c>
      <c r="H364" t="s">
        <v>95</v>
      </c>
      <c r="I364" t="s">
        <v>38</v>
      </c>
      <c r="J364" t="s">
        <v>145</v>
      </c>
      <c r="K364" t="s">
        <v>146</v>
      </c>
      <c r="L364" t="s">
        <v>74</v>
      </c>
      <c r="M364" t="s">
        <v>75</v>
      </c>
      <c r="N364" t="s">
        <v>2042</v>
      </c>
      <c r="O364" t="s">
        <v>44</v>
      </c>
      <c r="P364">
        <v>7</v>
      </c>
      <c r="Q364">
        <v>2648.76</v>
      </c>
      <c r="R364">
        <v>0.15</v>
      </c>
      <c r="S364">
        <f>IF(ISNUMBER(SEARCH("%",R364)), VALUE(SUBSTITUTE(R364,"%",""))/100,IF(ISNUMBER(R364), R364, 0))</f>
        <v>0.15</v>
      </c>
      <c r="T364" t="str">
        <f>IF(S364&lt;0,"Negative discount (invalid)",IF(S364&gt;0.5,"Discount above allowed range (invalid)",IF(AND(R364="",S364=0),"Missing discount set to 0","OK")))</f>
        <v>OK</v>
      </c>
      <c r="U364">
        <v>15760.12</v>
      </c>
      <c r="V364">
        <v>9931.5300000000007</v>
      </c>
      <c r="W364">
        <v>5828.59</v>
      </c>
      <c r="X364" t="s">
        <v>155</v>
      </c>
      <c r="Y364" t="s">
        <v>103</v>
      </c>
      <c r="Z364">
        <f>IF(T364="OK",P364*Q364*(1-S364),"invalid")</f>
        <v>15760.121999999999</v>
      </c>
      <c r="AA364">
        <f>IF(Z364="N/A","N/A",Z364-V364)</f>
        <v>5828.5919999999987</v>
      </c>
      <c r="AB364" s="8">
        <f>IF(Z364&lt;&gt;"N/A", AA364/Z364, "N/A")</f>
        <v>0.36983165485647884</v>
      </c>
      <c r="AC364">
        <f>MONTH(B364)</f>
        <v>4</v>
      </c>
      <c r="AD364">
        <f>YEAR(B364)</f>
        <v>2024</v>
      </c>
      <c r="AE364" s="10">
        <f t="shared" si="5"/>
        <v>1.9999999985884642E-3</v>
      </c>
      <c r="AF364" t="s">
        <v>2804</v>
      </c>
      <c r="AG364" t="s">
        <v>2811</v>
      </c>
    </row>
    <row r="365" spans="1:33">
      <c r="A365" t="s">
        <v>2056</v>
      </c>
      <c r="B365" s="4">
        <v>45419</v>
      </c>
      <c r="C365" s="4">
        <v>45426</v>
      </c>
      <c r="D365">
        <f>_xlfn.DAYS(C365,B365)</f>
        <v>7</v>
      </c>
      <c r="E365" t="s">
        <v>2804</v>
      </c>
      <c r="F365" t="s">
        <v>2057</v>
      </c>
      <c r="G365" t="s">
        <v>79</v>
      </c>
      <c r="H365" t="s">
        <v>37</v>
      </c>
      <c r="I365" t="s">
        <v>25</v>
      </c>
      <c r="J365" t="s">
        <v>236</v>
      </c>
      <c r="K365" t="s">
        <v>237</v>
      </c>
      <c r="L365" t="s">
        <v>74</v>
      </c>
      <c r="M365" t="s">
        <v>274</v>
      </c>
      <c r="N365" t="s">
        <v>2058</v>
      </c>
      <c r="O365" t="s">
        <v>44</v>
      </c>
      <c r="P365">
        <v>4</v>
      </c>
      <c r="Q365">
        <v>2751.1</v>
      </c>
      <c r="R365">
        <v>-0.05</v>
      </c>
      <c r="S365">
        <f>IF(ISNUMBER(SEARCH("%",R365)), VALUE(SUBSTITUTE(R365,"%",""))/100,IF(ISNUMBER(R365), R365, 0))</f>
        <v>-0.05</v>
      </c>
      <c r="T365" t="str">
        <f>IF(S365&lt;0,"Negative discount (invalid)",IF(S365&gt;0.5,"Discount above allowed range (invalid)",IF(AND(R365="",S365=0),"Missing discount set to 0","OK")))</f>
        <v>Negative discount (invalid)</v>
      </c>
      <c r="U365">
        <v>9903.9599999999991</v>
      </c>
      <c r="V365">
        <v>7696.28</v>
      </c>
      <c r="W365">
        <v>2207.6799999999998</v>
      </c>
      <c r="X365" t="s">
        <v>32</v>
      </c>
      <c r="Y365" t="s">
        <v>33</v>
      </c>
      <c r="Z365" t="s">
        <v>2793</v>
      </c>
      <c r="AA365" t="str">
        <f>IF(Z365="N/A","N/A",Z365-V365)</f>
        <v>N/A</v>
      </c>
      <c r="AB365" s="8" t="str">
        <f>IF(Z365&lt;&gt;"N/A", AA365/Z365, "N/A")</f>
        <v>N/A</v>
      </c>
      <c r="AC365">
        <f>MONTH(B365)</f>
        <v>5</v>
      </c>
      <c r="AD365">
        <f>YEAR(B365)</f>
        <v>2024</v>
      </c>
      <c r="AE365" s="10" t="str">
        <f t="shared" si="5"/>
        <v>N/A</v>
      </c>
      <c r="AF365" t="s">
        <v>2802</v>
      </c>
      <c r="AG365" t="s">
        <v>2789</v>
      </c>
    </row>
    <row r="366" spans="1:33">
      <c r="A366" t="s">
        <v>2071</v>
      </c>
      <c r="B366" s="4">
        <v>45429</v>
      </c>
      <c r="C366" s="4">
        <v>45434</v>
      </c>
      <c r="D366">
        <f>_xlfn.DAYS(C366,B366)</f>
        <v>5</v>
      </c>
      <c r="E366" t="s">
        <v>2804</v>
      </c>
      <c r="F366" t="s">
        <v>2072</v>
      </c>
      <c r="G366" t="s">
        <v>132</v>
      </c>
      <c r="H366" t="s">
        <v>24</v>
      </c>
      <c r="I366" t="s">
        <v>54</v>
      </c>
      <c r="J366" t="s">
        <v>84</v>
      </c>
      <c r="K366" t="s">
        <v>85</v>
      </c>
      <c r="L366" t="s">
        <v>74</v>
      </c>
      <c r="M366" t="s">
        <v>274</v>
      </c>
      <c r="N366" t="s">
        <v>2073</v>
      </c>
      <c r="O366" t="s">
        <v>31</v>
      </c>
      <c r="P366">
        <v>7</v>
      </c>
      <c r="Q366">
        <v>232.5</v>
      </c>
      <c r="R366">
        <v>0</v>
      </c>
      <c r="S366">
        <f>IF(ISNUMBER(SEARCH("%",R366)), VALUE(SUBSTITUTE(R366,"%",""))/100,IF(ISNUMBER(R366), R366, 0))</f>
        <v>0</v>
      </c>
      <c r="T366" t="str">
        <f>IF(S366&lt;0,"Negative discount (invalid)",IF(S366&gt;0.5,"Discount above allowed range (invalid)",IF(AND(R366="",S366=0),"Missing discount set to 0","OK")))</f>
        <v>OK</v>
      </c>
      <c r="U366">
        <v>1627.5</v>
      </c>
      <c r="V366">
        <v>939.9</v>
      </c>
      <c r="W366">
        <v>687.6</v>
      </c>
      <c r="X366" t="s">
        <v>32</v>
      </c>
      <c r="Y366" t="s">
        <v>33</v>
      </c>
      <c r="Z366">
        <f>IF(T366="OK",P366*Q366*(1-S366),"invalid")</f>
        <v>1627.5</v>
      </c>
      <c r="AA366">
        <f>IF(Z366="N/A","N/A",Z366-V366)</f>
        <v>687.6</v>
      </c>
      <c r="AB366" s="8">
        <f>IF(Z366&lt;&gt;"N/A", AA366/Z366, "N/A")</f>
        <v>0.4224884792626728</v>
      </c>
      <c r="AC366">
        <f>MONTH(B366)</f>
        <v>5</v>
      </c>
      <c r="AD366">
        <f>YEAR(B366)</f>
        <v>2024</v>
      </c>
      <c r="AE366" s="10">
        <f t="shared" si="5"/>
        <v>0</v>
      </c>
      <c r="AF366" t="s">
        <v>2804</v>
      </c>
      <c r="AG366" t="s">
        <v>2811</v>
      </c>
    </row>
    <row r="367" spans="1:33">
      <c r="A367" t="s">
        <v>2074</v>
      </c>
      <c r="B367" s="4">
        <v>45305</v>
      </c>
      <c r="C367" s="4">
        <v>45309</v>
      </c>
      <c r="D367">
        <f>_xlfn.DAYS(C367,B367)</f>
        <v>4</v>
      </c>
      <c r="E367" t="s">
        <v>2804</v>
      </c>
      <c r="F367" t="s">
        <v>2075</v>
      </c>
      <c r="G367" t="s">
        <v>36</v>
      </c>
      <c r="H367" t="s">
        <v>95</v>
      </c>
      <c r="I367" t="s">
        <v>63</v>
      </c>
      <c r="J367" t="s">
        <v>26</v>
      </c>
      <c r="K367" t="s">
        <v>109</v>
      </c>
      <c r="L367" t="s">
        <v>74</v>
      </c>
      <c r="M367" t="s">
        <v>274</v>
      </c>
      <c r="N367" t="s">
        <v>2076</v>
      </c>
      <c r="O367" t="s">
        <v>44</v>
      </c>
      <c r="P367">
        <v>6</v>
      </c>
      <c r="Q367">
        <v>1784.8</v>
      </c>
      <c r="R367">
        <v>0.1</v>
      </c>
      <c r="S367">
        <f>IF(ISNUMBER(SEARCH("%",R367)), VALUE(SUBSTITUTE(R367,"%",""))/100,IF(ISNUMBER(R367), R367, 0))</f>
        <v>0.1</v>
      </c>
      <c r="T367" t="str">
        <f>IF(S367&lt;0,"Negative discount (invalid)",IF(S367&gt;0.5,"Discount above allowed range (invalid)",IF(AND(R367="",S367=0),"Missing discount set to 0","OK")))</f>
        <v>OK</v>
      </c>
      <c r="U367">
        <v>9637.92</v>
      </c>
      <c r="V367">
        <v>7329.29</v>
      </c>
      <c r="W367">
        <v>2308.63</v>
      </c>
      <c r="X367" t="s">
        <v>32</v>
      </c>
      <c r="Y367" t="s">
        <v>33</v>
      </c>
      <c r="Z367">
        <f>IF(T367="OK",P367*Q367*(1-S367),"invalid")</f>
        <v>9637.92</v>
      </c>
      <c r="AA367">
        <f>IF(Z367="N/A","N/A",Z367-V367)</f>
        <v>2308.63</v>
      </c>
      <c r="AB367" s="8">
        <f>IF(Z367&lt;&gt;"N/A", AA367/Z367, "N/A")</f>
        <v>0.2395361239769577</v>
      </c>
      <c r="AC367">
        <f>MONTH(B367)</f>
        <v>1</v>
      </c>
      <c r="AD367">
        <f>YEAR(B367)</f>
        <v>2024</v>
      </c>
      <c r="AE367" s="10">
        <f t="shared" si="5"/>
        <v>0</v>
      </c>
      <c r="AF367" t="s">
        <v>2804</v>
      </c>
      <c r="AG367" t="s">
        <v>2811</v>
      </c>
    </row>
    <row r="368" spans="1:33">
      <c r="A368" t="s">
        <v>2077</v>
      </c>
      <c r="B368" s="4">
        <v>45414</v>
      </c>
      <c r="C368" s="4">
        <v>45420</v>
      </c>
      <c r="D368">
        <f>_xlfn.DAYS(C368,B368)</f>
        <v>6</v>
      </c>
      <c r="E368" t="s">
        <v>2804</v>
      </c>
      <c r="F368" t="s">
        <v>2078</v>
      </c>
      <c r="G368" t="s">
        <v>118</v>
      </c>
      <c r="H368" t="s">
        <v>95</v>
      </c>
      <c r="I368" t="s">
        <v>38</v>
      </c>
      <c r="J368" t="s">
        <v>228</v>
      </c>
      <c r="K368" t="s">
        <v>229</v>
      </c>
      <c r="L368" t="s">
        <v>74</v>
      </c>
      <c r="M368" t="s">
        <v>80</v>
      </c>
      <c r="N368" t="s">
        <v>2079</v>
      </c>
      <c r="O368" t="s">
        <v>31</v>
      </c>
      <c r="P368">
        <v>2</v>
      </c>
      <c r="Q368">
        <v>3185.01</v>
      </c>
      <c r="R368">
        <v>-0.24</v>
      </c>
      <c r="S368">
        <f>IF(ISNUMBER(SEARCH("%",R368)), VALUE(SUBSTITUTE(R368,"%",""))/100,IF(ISNUMBER(R368), R368, 0))</f>
        <v>-0.24</v>
      </c>
      <c r="T368" t="str">
        <f>IF(S368&lt;0,"Negative discount (invalid)",IF(S368&gt;0.5,"Discount above allowed range (invalid)",IF(AND(R368="",S368=0),"Missing discount set to 0","OK")))</f>
        <v>Negative discount (invalid)</v>
      </c>
      <c r="U368">
        <v>4777.5200000000004</v>
      </c>
      <c r="V368">
        <v>3152.98</v>
      </c>
      <c r="W368">
        <v>1624.54</v>
      </c>
      <c r="X368" t="s">
        <v>32</v>
      </c>
      <c r="Y368" t="s">
        <v>33</v>
      </c>
      <c r="Z368" t="s">
        <v>2793</v>
      </c>
      <c r="AA368" t="str">
        <f>IF(Z368="N/A","N/A",Z368-V368)</f>
        <v>N/A</v>
      </c>
      <c r="AB368" s="8" t="str">
        <f>IF(Z368&lt;&gt;"N/A", AA368/Z368, "N/A")</f>
        <v>N/A</v>
      </c>
      <c r="AC368">
        <f>MONTH(B368)</f>
        <v>5</v>
      </c>
      <c r="AD368">
        <f>YEAR(B368)</f>
        <v>2024</v>
      </c>
      <c r="AE368" s="10" t="str">
        <f t="shared" si="5"/>
        <v>N/A</v>
      </c>
      <c r="AF368" t="s">
        <v>2802</v>
      </c>
      <c r="AG368" t="s">
        <v>2789</v>
      </c>
    </row>
    <row r="369" spans="1:33">
      <c r="A369" t="s">
        <v>2080</v>
      </c>
      <c r="B369" s="4">
        <v>45633</v>
      </c>
      <c r="C369" s="4">
        <v>45636</v>
      </c>
      <c r="D369">
        <f>_xlfn.DAYS(C369,B369)</f>
        <v>3</v>
      </c>
      <c r="E369" t="s">
        <v>2804</v>
      </c>
      <c r="F369" t="s">
        <v>2081</v>
      </c>
      <c r="G369" t="s">
        <v>36</v>
      </c>
      <c r="H369" t="s">
        <v>95</v>
      </c>
      <c r="I369" t="s">
        <v>54</v>
      </c>
      <c r="J369" t="s">
        <v>55</v>
      </c>
      <c r="K369" t="s">
        <v>56</v>
      </c>
      <c r="L369" t="s">
        <v>74</v>
      </c>
      <c r="M369" t="s">
        <v>75</v>
      </c>
      <c r="N369" t="s">
        <v>2082</v>
      </c>
      <c r="O369" t="s">
        <v>59</v>
      </c>
      <c r="P369">
        <v>1</v>
      </c>
      <c r="Q369">
        <v>1908.83</v>
      </c>
      <c r="R369">
        <v>0.2</v>
      </c>
      <c r="S369">
        <f>IF(ISNUMBER(SEARCH("%",R369)), VALUE(SUBSTITUTE(R369,"%",""))/100,IF(ISNUMBER(R369), R369, 0))</f>
        <v>0.2</v>
      </c>
      <c r="T369" t="str">
        <f>IF(S369&lt;0,"Negative discount (invalid)",IF(S369&gt;0.5,"Discount above allowed range (invalid)",IF(AND(R369="",S369=0),"Missing discount set to 0","OK")))</f>
        <v>OK</v>
      </c>
      <c r="U369">
        <v>1527.06</v>
      </c>
      <c r="V369">
        <v>1055.8900000000001</v>
      </c>
      <c r="W369">
        <v>471.17</v>
      </c>
      <c r="X369" t="s">
        <v>32</v>
      </c>
      <c r="Y369" t="s">
        <v>33</v>
      </c>
      <c r="Z369">
        <f>IF(T369="OK",P369*Q369*(1-S369),"invalid")</f>
        <v>1527.0640000000001</v>
      </c>
      <c r="AA369">
        <f>IF(Z369="N/A","N/A",Z369-V369)</f>
        <v>471.17399999999998</v>
      </c>
      <c r="AB369" s="8">
        <f>IF(Z369&lt;&gt;"N/A", AA369/Z369, "N/A")</f>
        <v>0.30854895407134209</v>
      </c>
      <c r="AC369">
        <f>MONTH(B369)</f>
        <v>12</v>
      </c>
      <c r="AD369">
        <f>YEAR(B369)</f>
        <v>2024</v>
      </c>
      <c r="AE369" s="10">
        <f t="shared" si="5"/>
        <v>4.0000000001327862E-3</v>
      </c>
      <c r="AF369" t="s">
        <v>2804</v>
      </c>
      <c r="AG369" t="s">
        <v>2811</v>
      </c>
    </row>
    <row r="370" spans="1:33">
      <c r="A370" t="s">
        <v>2086</v>
      </c>
      <c r="B370" s="4">
        <v>45464</v>
      </c>
      <c r="C370" s="4">
        <v>45469</v>
      </c>
      <c r="D370">
        <f>_xlfn.DAYS(C370,B370)</f>
        <v>5</v>
      </c>
      <c r="E370" t="s">
        <v>2804</v>
      </c>
      <c r="F370" t="s">
        <v>2087</v>
      </c>
      <c r="G370" t="s">
        <v>141</v>
      </c>
      <c r="H370" t="s">
        <v>37</v>
      </c>
      <c r="I370" t="s">
        <v>25</v>
      </c>
      <c r="J370" t="s">
        <v>122</v>
      </c>
      <c r="K370" t="s">
        <v>123</v>
      </c>
      <c r="L370" t="s">
        <v>74</v>
      </c>
      <c r="M370" t="s">
        <v>80</v>
      </c>
      <c r="N370" t="s">
        <v>2088</v>
      </c>
      <c r="O370" t="s">
        <v>44</v>
      </c>
      <c r="P370">
        <v>1</v>
      </c>
      <c r="Q370">
        <v>279.83</v>
      </c>
      <c r="R370">
        <v>0.05</v>
      </c>
      <c r="S370">
        <f>IF(ISNUMBER(SEARCH("%",R370)), VALUE(SUBSTITUTE(R370,"%",""))/100,IF(ISNUMBER(R370), R370, 0))</f>
        <v>0.05</v>
      </c>
      <c r="T370" t="str">
        <f>IF(S370&lt;0,"Negative discount (invalid)",IF(S370&gt;0.5,"Discount above allowed range (invalid)",IF(AND(R370="",S370=0),"Missing discount set to 0","OK")))</f>
        <v>OK</v>
      </c>
      <c r="U370">
        <v>265.83999999999997</v>
      </c>
      <c r="V370">
        <v>223.49</v>
      </c>
      <c r="W370">
        <v>42.35</v>
      </c>
      <c r="X370" t="s">
        <v>32</v>
      </c>
      <c r="Y370" t="s">
        <v>33</v>
      </c>
      <c r="Z370">
        <f>IF(T370="OK",P370*Q370*(1-S370),"invalid")</f>
        <v>265.83849999999995</v>
      </c>
      <c r="AA370">
        <f>IF(Z370="N/A","N/A",Z370-V370)</f>
        <v>42.348499999999945</v>
      </c>
      <c r="AB370" s="8">
        <f>IF(Z370&lt;&gt;"N/A", AA370/Z370, "N/A")</f>
        <v>0.15930160605028976</v>
      </c>
      <c r="AC370">
        <f>MONTH(B370)</f>
        <v>6</v>
      </c>
      <c r="AD370">
        <f>YEAR(B370)</f>
        <v>2024</v>
      </c>
      <c r="AE370" s="10">
        <f t="shared" si="5"/>
        <v>1.5000000000213731E-3</v>
      </c>
      <c r="AF370" t="s">
        <v>2804</v>
      </c>
      <c r="AG370" t="s">
        <v>2811</v>
      </c>
    </row>
    <row r="371" spans="1:33">
      <c r="A371" t="s">
        <v>2092</v>
      </c>
      <c r="B371" s="4">
        <v>45617</v>
      </c>
      <c r="C371" s="4">
        <v>45619</v>
      </c>
      <c r="D371">
        <f>_xlfn.DAYS(C371,B371)</f>
        <v>2</v>
      </c>
      <c r="E371" t="s">
        <v>2804</v>
      </c>
      <c r="F371" t="s">
        <v>2093</v>
      </c>
      <c r="G371" t="s">
        <v>36</v>
      </c>
      <c r="H371" t="s">
        <v>90</v>
      </c>
      <c r="I371" t="s">
        <v>63</v>
      </c>
      <c r="J371" t="s">
        <v>180</v>
      </c>
      <c r="K371" t="s">
        <v>181</v>
      </c>
      <c r="L371" t="s">
        <v>28</v>
      </c>
      <c r="M371" t="s">
        <v>29</v>
      </c>
      <c r="N371" t="s">
        <v>2094</v>
      </c>
      <c r="O371" t="s">
        <v>31</v>
      </c>
      <c r="P371">
        <v>5</v>
      </c>
      <c r="Q371">
        <v>600.46</v>
      </c>
      <c r="R371">
        <v>0.2</v>
      </c>
      <c r="S371">
        <f>IF(ISNUMBER(SEARCH("%",R371)), VALUE(SUBSTITUTE(R371,"%",""))/100,IF(ISNUMBER(R371), R371, 0))</f>
        <v>0.2</v>
      </c>
      <c r="T371" t="str">
        <f>IF(S371&lt;0,"Negative discount (invalid)",IF(S371&gt;0.5,"Discount above allowed range (invalid)",IF(AND(R371="",S371=0),"Missing discount set to 0","OK")))</f>
        <v>OK</v>
      </c>
      <c r="U371">
        <v>2401.84</v>
      </c>
      <c r="V371">
        <v>1873.11</v>
      </c>
      <c r="W371">
        <v>528.73</v>
      </c>
      <c r="X371" t="s">
        <v>32</v>
      </c>
      <c r="Y371" t="s">
        <v>33</v>
      </c>
      <c r="Z371">
        <f>IF(T371="OK",P371*Q371*(1-S371),"invalid")</f>
        <v>2401.84</v>
      </c>
      <c r="AA371">
        <f>IF(Z371="N/A","N/A",Z371-V371)</f>
        <v>528.73000000000025</v>
      </c>
      <c r="AB371" s="8">
        <f>IF(Z371&lt;&gt;"N/A", AA371/Z371, "N/A")</f>
        <v>0.22013539619624964</v>
      </c>
      <c r="AC371">
        <f>MONTH(B371)</f>
        <v>11</v>
      </c>
      <c r="AD371">
        <f>YEAR(B371)</f>
        <v>2024</v>
      </c>
      <c r="AE371" s="10">
        <f t="shared" si="5"/>
        <v>0</v>
      </c>
      <c r="AF371" t="s">
        <v>2804</v>
      </c>
      <c r="AG371" t="s">
        <v>2811</v>
      </c>
    </row>
    <row r="372" spans="1:33">
      <c r="A372" t="s">
        <v>2095</v>
      </c>
      <c r="B372" s="4">
        <v>45375</v>
      </c>
      <c r="C372" s="4">
        <v>45383</v>
      </c>
      <c r="D372">
        <f>_xlfn.DAYS(C372,B372)</f>
        <v>8</v>
      </c>
      <c r="E372" t="s">
        <v>2804</v>
      </c>
      <c r="F372" t="s">
        <v>2096</v>
      </c>
      <c r="G372" t="s">
        <v>62</v>
      </c>
      <c r="H372" t="s">
        <v>95</v>
      </c>
      <c r="I372" t="s">
        <v>63</v>
      </c>
      <c r="J372" t="s">
        <v>64</v>
      </c>
      <c r="K372" t="s">
        <v>65</v>
      </c>
      <c r="L372" t="s">
        <v>41</v>
      </c>
      <c r="M372" t="s">
        <v>42</v>
      </c>
      <c r="N372" t="s">
        <v>2097</v>
      </c>
      <c r="O372" t="s">
        <v>31</v>
      </c>
      <c r="P372">
        <v>4</v>
      </c>
      <c r="Q372">
        <v>1700.72</v>
      </c>
      <c r="R372">
        <v>0.25</v>
      </c>
      <c r="S372">
        <f>IF(ISNUMBER(SEARCH("%",R372)), VALUE(SUBSTITUTE(R372,"%",""))/100,IF(ISNUMBER(R372), R372, 0))</f>
        <v>0.25</v>
      </c>
      <c r="T372" t="str">
        <f>IF(S372&lt;0,"Negative discount (invalid)",IF(S372&gt;0.5,"Discount above allowed range (invalid)",IF(AND(R372="",S372=0),"Missing discount set to 0","OK")))</f>
        <v>OK</v>
      </c>
      <c r="U372">
        <v>5102.16</v>
      </c>
      <c r="V372">
        <v>3226.45</v>
      </c>
      <c r="W372">
        <v>1875.71</v>
      </c>
      <c r="X372" t="s">
        <v>32</v>
      </c>
      <c r="Y372" t="s">
        <v>33</v>
      </c>
      <c r="Z372">
        <f>IF(T372="OK",P372*Q372*(1-S372),"invalid")</f>
        <v>5102.16</v>
      </c>
      <c r="AA372">
        <f>IF(Z372="N/A","N/A",Z372-V372)</f>
        <v>1875.71</v>
      </c>
      <c r="AB372" s="8">
        <f>IF(Z372&lt;&gt;"N/A", AA372/Z372, "N/A")</f>
        <v>0.36763057214983458</v>
      </c>
      <c r="AC372">
        <f>MONTH(B372)</f>
        <v>3</v>
      </c>
      <c r="AD372">
        <f>YEAR(B372)</f>
        <v>2024</v>
      </c>
      <c r="AE372" s="10">
        <f t="shared" si="5"/>
        <v>0</v>
      </c>
      <c r="AF372" t="s">
        <v>2804</v>
      </c>
      <c r="AG372" t="s">
        <v>2811</v>
      </c>
    </row>
    <row r="373" spans="1:33">
      <c r="A373" t="s">
        <v>2100</v>
      </c>
      <c r="B373" s="4">
        <v>45373</v>
      </c>
      <c r="C373" s="4">
        <v>45378</v>
      </c>
      <c r="D373">
        <f>_xlfn.DAYS(C373,B373)</f>
        <v>5</v>
      </c>
      <c r="E373" t="s">
        <v>2804</v>
      </c>
      <c r="F373" t="s">
        <v>2101</v>
      </c>
      <c r="G373" t="s">
        <v>89</v>
      </c>
      <c r="H373" t="s">
        <v>95</v>
      </c>
      <c r="I373" t="s">
        <v>63</v>
      </c>
      <c r="J373" t="s">
        <v>190</v>
      </c>
      <c r="K373" t="s">
        <v>191</v>
      </c>
      <c r="L373" t="s">
        <v>74</v>
      </c>
      <c r="M373" t="s">
        <v>80</v>
      </c>
      <c r="N373" t="s">
        <v>2102</v>
      </c>
      <c r="O373" t="s">
        <v>31</v>
      </c>
      <c r="P373">
        <v>9</v>
      </c>
      <c r="Q373">
        <v>3649.51</v>
      </c>
      <c r="R373">
        <v>0.05</v>
      </c>
      <c r="S373">
        <f>IF(ISNUMBER(SEARCH("%",R373)), VALUE(SUBSTITUTE(R373,"%",""))/100,IF(ISNUMBER(R373), R373, 0))</f>
        <v>0.05</v>
      </c>
      <c r="T373" t="str">
        <f>IF(S373&lt;0,"Negative discount (invalid)",IF(S373&gt;0.5,"Discount above allowed range (invalid)",IF(AND(R373="",S373=0),"Missing discount set to 0","OK")))</f>
        <v>OK</v>
      </c>
      <c r="U373">
        <v>31203.31</v>
      </c>
      <c r="V373">
        <v>17738.13</v>
      </c>
      <c r="W373">
        <v>13465.18</v>
      </c>
      <c r="X373" t="s">
        <v>32</v>
      </c>
      <c r="Y373" t="s">
        <v>33</v>
      </c>
      <c r="Z373">
        <f>IF(T373="OK",P373*Q373*(1-S373),"invalid")</f>
        <v>31203.310500000003</v>
      </c>
      <c r="AA373">
        <f>IF(Z373="N/A","N/A",Z373-V373)</f>
        <v>13465.180500000002</v>
      </c>
      <c r="AB373" s="8">
        <f>IF(Z373&lt;&gt;"N/A", AA373/Z373, "N/A")</f>
        <v>0.43153051020019179</v>
      </c>
      <c r="AC373">
        <f>MONTH(B373)</f>
        <v>3</v>
      </c>
      <c r="AD373">
        <f>YEAR(B373)</f>
        <v>2024</v>
      </c>
      <c r="AE373" s="10">
        <f t="shared" si="5"/>
        <v>5.0000000192085281E-4</v>
      </c>
      <c r="AF373" t="s">
        <v>2804</v>
      </c>
      <c r="AG373" t="s">
        <v>2811</v>
      </c>
    </row>
    <row r="374" spans="1:33">
      <c r="A374" t="s">
        <v>2103</v>
      </c>
      <c r="B374" s="4">
        <v>45539</v>
      </c>
      <c r="C374" s="4">
        <v>45540</v>
      </c>
      <c r="D374">
        <f>_xlfn.DAYS(C374,B374)</f>
        <v>1</v>
      </c>
      <c r="E374" t="s">
        <v>2804</v>
      </c>
      <c r="F374" t="s">
        <v>2104</v>
      </c>
      <c r="G374" t="s">
        <v>89</v>
      </c>
      <c r="H374" t="s">
        <v>90</v>
      </c>
      <c r="I374" t="s">
        <v>63</v>
      </c>
      <c r="J374" t="s">
        <v>72</v>
      </c>
      <c r="K374" t="s">
        <v>73</v>
      </c>
      <c r="L374" t="s">
        <v>41</v>
      </c>
      <c r="M374" t="s">
        <v>66</v>
      </c>
      <c r="N374" t="s">
        <v>2105</v>
      </c>
      <c r="O374" t="s">
        <v>59</v>
      </c>
      <c r="P374">
        <v>5</v>
      </c>
      <c r="Q374">
        <v>2528.5300000000002</v>
      </c>
      <c r="R374">
        <v>0.05</v>
      </c>
      <c r="S374">
        <f>IF(ISNUMBER(SEARCH("%",R374)), VALUE(SUBSTITUTE(R374,"%",""))/100,IF(ISNUMBER(R374), R374, 0))</f>
        <v>0.05</v>
      </c>
      <c r="T374" t="str">
        <f>IF(S374&lt;0,"Negative discount (invalid)",IF(S374&gt;0.5,"Discount above allowed range (invalid)",IF(AND(R374="",S374=0),"Missing discount set to 0","OK")))</f>
        <v>OK</v>
      </c>
      <c r="U374">
        <v>12010.52</v>
      </c>
      <c r="V374">
        <v>7864.61</v>
      </c>
      <c r="W374">
        <v>4145.91</v>
      </c>
      <c r="X374" t="s">
        <v>32</v>
      </c>
      <c r="Y374" t="s">
        <v>103</v>
      </c>
      <c r="Z374">
        <f>IF(T374="OK",P374*Q374*(1-S374),"invalid")</f>
        <v>12010.5175</v>
      </c>
      <c r="AA374">
        <f>IF(Z374="N/A","N/A",Z374-V374)</f>
        <v>4145.9075000000003</v>
      </c>
      <c r="AB374" s="8">
        <f>IF(Z374&lt;&gt;"N/A", AA374/Z374, "N/A")</f>
        <v>0.34518974723612039</v>
      </c>
      <c r="AC374">
        <f>MONTH(B374)</f>
        <v>9</v>
      </c>
      <c r="AD374">
        <f>YEAR(B374)</f>
        <v>2024</v>
      </c>
      <c r="AE374" s="10">
        <f t="shared" si="5"/>
        <v>2.500000000509317E-3</v>
      </c>
      <c r="AF374" t="s">
        <v>2804</v>
      </c>
      <c r="AG374" t="s">
        <v>2811</v>
      </c>
    </row>
    <row r="375" spans="1:33">
      <c r="A375" t="s">
        <v>2109</v>
      </c>
      <c r="B375" s="4">
        <v>45430</v>
      </c>
      <c r="C375" s="4">
        <v>45433</v>
      </c>
      <c r="D375">
        <f>_xlfn.DAYS(C375,B375)</f>
        <v>3</v>
      </c>
      <c r="E375" t="s">
        <v>2804</v>
      </c>
      <c r="F375" t="s">
        <v>2110</v>
      </c>
      <c r="G375" t="s">
        <v>71</v>
      </c>
      <c r="H375" t="s">
        <v>90</v>
      </c>
      <c r="I375" t="s">
        <v>38</v>
      </c>
      <c r="J375" t="s">
        <v>228</v>
      </c>
      <c r="K375" t="s">
        <v>229</v>
      </c>
      <c r="L375" t="s">
        <v>74</v>
      </c>
      <c r="M375" t="s">
        <v>75</v>
      </c>
      <c r="N375" t="s">
        <v>2111</v>
      </c>
      <c r="O375" t="s">
        <v>31</v>
      </c>
      <c r="P375">
        <v>1</v>
      </c>
      <c r="Q375">
        <v>1033.71</v>
      </c>
      <c r="R375">
        <v>0</v>
      </c>
      <c r="S375">
        <f>IF(ISNUMBER(SEARCH("%",R375)), VALUE(SUBSTITUTE(R375,"%",""))/100,IF(ISNUMBER(R375), R375, 0))</f>
        <v>0</v>
      </c>
      <c r="T375" t="str">
        <f>IF(S375&lt;0,"Negative discount (invalid)",IF(S375&gt;0.5,"Discount above allowed range (invalid)",IF(AND(R375="",S375=0),"Missing discount set to 0","OK")))</f>
        <v>OK</v>
      </c>
      <c r="U375">
        <v>1033.71</v>
      </c>
      <c r="V375">
        <v>630.82000000000005</v>
      </c>
      <c r="W375">
        <v>402.89</v>
      </c>
      <c r="X375" t="s">
        <v>111</v>
      </c>
      <c r="Y375" t="s">
        <v>103</v>
      </c>
      <c r="Z375">
        <f>IF(T375="OK",P375*Q375*(1-S375),"invalid")</f>
        <v>1033.71</v>
      </c>
      <c r="AA375">
        <f>IF(Z375="N/A","N/A",Z375-V375)</f>
        <v>402.89</v>
      </c>
      <c r="AB375" s="8">
        <f>IF(Z375&lt;&gt;"N/A", AA375/Z375, "N/A")</f>
        <v>0.38975147768716562</v>
      </c>
      <c r="AC375">
        <f>MONTH(B375)</f>
        <v>5</v>
      </c>
      <c r="AD375">
        <f>YEAR(B375)</f>
        <v>2024</v>
      </c>
      <c r="AE375" s="10">
        <f t="shared" si="5"/>
        <v>0</v>
      </c>
      <c r="AF375" t="s">
        <v>2804</v>
      </c>
      <c r="AG375" t="s">
        <v>2811</v>
      </c>
    </row>
    <row r="376" spans="1:33">
      <c r="A376" t="s">
        <v>2117</v>
      </c>
      <c r="B376" s="4">
        <v>45465</v>
      </c>
      <c r="C376" s="4">
        <v>45470</v>
      </c>
      <c r="D376">
        <f>_xlfn.DAYS(C376,B376)</f>
        <v>5</v>
      </c>
      <c r="E376" t="s">
        <v>2804</v>
      </c>
      <c r="F376" t="s">
        <v>22</v>
      </c>
      <c r="G376" t="s">
        <v>47</v>
      </c>
      <c r="H376" t="s">
        <v>95</v>
      </c>
      <c r="I376" t="s">
        <v>54</v>
      </c>
      <c r="J376" t="s">
        <v>175</v>
      </c>
      <c r="K376" t="s">
        <v>176</v>
      </c>
      <c r="L376" t="s">
        <v>41</v>
      </c>
      <c r="M376" t="s">
        <v>66</v>
      </c>
      <c r="N376" t="s">
        <v>2118</v>
      </c>
      <c r="O376" t="s">
        <v>44</v>
      </c>
      <c r="P376">
        <v>7</v>
      </c>
      <c r="Q376">
        <v>2623.48</v>
      </c>
      <c r="R376">
        <v>0</v>
      </c>
      <c r="S376">
        <f>IF(ISNUMBER(SEARCH("%",R376)), VALUE(SUBSTITUTE(R376,"%",""))/100,IF(ISNUMBER(R376), R376, 0))</f>
        <v>0</v>
      </c>
      <c r="T376" t="str">
        <f>IF(S376&lt;0,"Negative discount (invalid)",IF(S376&gt;0.5,"Discount above allowed range (invalid)",IF(AND(R376="",S376=0),"Missing discount set to 0","OK")))</f>
        <v>OK</v>
      </c>
      <c r="U376">
        <v>18364.36</v>
      </c>
      <c r="V376">
        <v>15445.81</v>
      </c>
      <c r="W376">
        <v>2918.55</v>
      </c>
      <c r="X376" t="s">
        <v>32</v>
      </c>
      <c r="Y376" t="s">
        <v>33</v>
      </c>
      <c r="Z376">
        <f>IF(T376="OK",P376*Q376*(1-S376),"invalid")</f>
        <v>18364.36</v>
      </c>
      <c r="AA376">
        <f>IF(Z376="N/A","N/A",Z376-V376)</f>
        <v>2918.5500000000011</v>
      </c>
      <c r="AB376" s="8">
        <f>IF(Z376&lt;&gt;"N/A", AA376/Z376, "N/A")</f>
        <v>0.15892467801763857</v>
      </c>
      <c r="AC376">
        <f>MONTH(B376)</f>
        <v>6</v>
      </c>
      <c r="AD376">
        <f>YEAR(B376)</f>
        <v>2024</v>
      </c>
      <c r="AE376" s="10">
        <f t="shared" si="5"/>
        <v>0</v>
      </c>
      <c r="AF376" t="s">
        <v>2804</v>
      </c>
      <c r="AG376" t="s">
        <v>2811</v>
      </c>
    </row>
    <row r="377" spans="1:33">
      <c r="A377" t="s">
        <v>2119</v>
      </c>
      <c r="B377" s="4">
        <v>45620</v>
      </c>
      <c r="C377" s="4">
        <v>45627</v>
      </c>
      <c r="D377">
        <f>_xlfn.DAYS(C377,B377)</f>
        <v>7</v>
      </c>
      <c r="E377" t="s">
        <v>2804</v>
      </c>
      <c r="F377" t="s">
        <v>2120</v>
      </c>
      <c r="G377" t="s">
        <v>264</v>
      </c>
      <c r="H377" t="s">
        <v>90</v>
      </c>
      <c r="I377" t="s">
        <v>54</v>
      </c>
      <c r="J377" t="s">
        <v>175</v>
      </c>
      <c r="K377" t="s">
        <v>176</v>
      </c>
      <c r="L377" t="s">
        <v>41</v>
      </c>
      <c r="M377" t="s">
        <v>42</v>
      </c>
      <c r="N377" t="s">
        <v>2121</v>
      </c>
      <c r="O377" t="s">
        <v>31</v>
      </c>
      <c r="P377">
        <v>9</v>
      </c>
      <c r="Q377">
        <v>2763.61</v>
      </c>
      <c r="R377">
        <v>0.15</v>
      </c>
      <c r="S377">
        <f>IF(ISNUMBER(SEARCH("%",R377)), VALUE(SUBSTITUTE(R377,"%",""))/100,IF(ISNUMBER(R377), R377, 0))</f>
        <v>0.15</v>
      </c>
      <c r="T377" t="str">
        <f>IF(S377&lt;0,"Negative discount (invalid)",IF(S377&gt;0.5,"Discount above allowed range (invalid)",IF(AND(R377="",S377=0),"Missing discount set to 0","OK")))</f>
        <v>OK</v>
      </c>
      <c r="U377">
        <v>21141.62</v>
      </c>
      <c r="V377">
        <v>11676.33</v>
      </c>
      <c r="W377">
        <v>9465.2900000000009</v>
      </c>
      <c r="X377" t="s">
        <v>32</v>
      </c>
      <c r="Y377" t="s">
        <v>33</v>
      </c>
      <c r="Z377">
        <f>IF(T377="OK",P377*Q377*(1-S377),"invalid")</f>
        <v>21141.6165</v>
      </c>
      <c r="AA377">
        <f>IF(Z377="N/A","N/A",Z377-V377)</f>
        <v>9465.2865000000002</v>
      </c>
      <c r="AB377" s="8">
        <f>IF(Z377&lt;&gt;"N/A", AA377/Z377, "N/A")</f>
        <v>0.44770874071999178</v>
      </c>
      <c r="AC377">
        <f>MONTH(B377)</f>
        <v>11</v>
      </c>
      <c r="AD377">
        <f>YEAR(B377)</f>
        <v>2024</v>
      </c>
      <c r="AE377" s="10">
        <f t="shared" si="5"/>
        <v>3.4999999988940544E-3</v>
      </c>
      <c r="AF377" t="s">
        <v>2804</v>
      </c>
      <c r="AG377" t="s">
        <v>2811</v>
      </c>
    </row>
    <row r="378" spans="1:33">
      <c r="A378" t="s">
        <v>2125</v>
      </c>
      <c r="B378" s="4">
        <v>45441</v>
      </c>
      <c r="C378" s="4">
        <v>45448</v>
      </c>
      <c r="D378">
        <f>_xlfn.DAYS(C378,B378)</f>
        <v>7</v>
      </c>
      <c r="E378" t="s">
        <v>2804</v>
      </c>
      <c r="F378" t="s">
        <v>2126</v>
      </c>
      <c r="G378" t="s">
        <v>264</v>
      </c>
      <c r="H378" t="s">
        <v>90</v>
      </c>
      <c r="I378" t="s">
        <v>54</v>
      </c>
      <c r="J378" t="s">
        <v>247</v>
      </c>
      <c r="K378" t="s">
        <v>248</v>
      </c>
      <c r="L378" t="s">
        <v>74</v>
      </c>
      <c r="M378" t="s">
        <v>75</v>
      </c>
      <c r="N378" t="s">
        <v>2127</v>
      </c>
      <c r="O378" t="s">
        <v>50</v>
      </c>
      <c r="P378">
        <v>4</v>
      </c>
      <c r="Q378">
        <v>3700.24</v>
      </c>
      <c r="R378">
        <v>0</v>
      </c>
      <c r="S378">
        <f>IF(ISNUMBER(SEARCH("%",R378)), VALUE(SUBSTITUTE(R378,"%",""))/100,IF(ISNUMBER(R378), R378, 0))</f>
        <v>0</v>
      </c>
      <c r="T378" t="str">
        <f>IF(S378&lt;0,"Negative discount (invalid)",IF(S378&gt;0.5,"Discount above allowed range (invalid)",IF(AND(R378="",S378=0),"Missing discount set to 0","OK")))</f>
        <v>OK</v>
      </c>
      <c r="U378">
        <v>14800.96</v>
      </c>
      <c r="V378">
        <v>12048.39</v>
      </c>
      <c r="W378">
        <v>2752.57</v>
      </c>
      <c r="X378" t="s">
        <v>32</v>
      </c>
      <c r="Y378" t="s">
        <v>33</v>
      </c>
      <c r="Z378">
        <f>IF(T378="OK",P378*Q378*(1-S378),"invalid")</f>
        <v>14800.96</v>
      </c>
      <c r="AA378">
        <f>IF(Z378="N/A","N/A",Z378-V378)</f>
        <v>2752.5699999999997</v>
      </c>
      <c r="AB378" s="8">
        <f>IF(Z378&lt;&gt;"N/A", AA378/Z378, "N/A")</f>
        <v>0.18597239638509933</v>
      </c>
      <c r="AC378">
        <f>MONTH(B378)</f>
        <v>5</v>
      </c>
      <c r="AD378">
        <f>YEAR(B378)</f>
        <v>2024</v>
      </c>
      <c r="AE378" s="10">
        <f t="shared" si="5"/>
        <v>0</v>
      </c>
      <c r="AF378" t="s">
        <v>2804</v>
      </c>
      <c r="AG378" t="s">
        <v>2811</v>
      </c>
    </row>
    <row r="379" spans="1:33">
      <c r="A379" t="s">
        <v>2128</v>
      </c>
      <c r="B379" s="4">
        <v>45477</v>
      </c>
      <c r="C379" s="4">
        <v>45483</v>
      </c>
      <c r="D379">
        <f>_xlfn.DAYS(C379,B379)</f>
        <v>6</v>
      </c>
      <c r="E379" t="s">
        <v>2804</v>
      </c>
      <c r="F379" t="s">
        <v>2129</v>
      </c>
      <c r="G379" t="s">
        <v>71</v>
      </c>
      <c r="H379" t="s">
        <v>90</v>
      </c>
      <c r="I379" t="s">
        <v>25</v>
      </c>
      <c r="J379" t="s">
        <v>350</v>
      </c>
      <c r="K379" t="s">
        <v>351</v>
      </c>
      <c r="L379" t="s">
        <v>41</v>
      </c>
      <c r="M379" t="s">
        <v>42</v>
      </c>
      <c r="N379" t="s">
        <v>2130</v>
      </c>
      <c r="O379" t="s">
        <v>31</v>
      </c>
      <c r="P379">
        <v>5</v>
      </c>
      <c r="Q379">
        <v>1200.27</v>
      </c>
      <c r="R379">
        <v>0</v>
      </c>
      <c r="S379">
        <f>IF(ISNUMBER(SEARCH("%",R379)), VALUE(SUBSTITUTE(R379,"%",""))/100,IF(ISNUMBER(R379), R379, 0))</f>
        <v>0</v>
      </c>
      <c r="T379" t="str">
        <f>IF(S379&lt;0,"Negative discount (invalid)",IF(S379&gt;0.5,"Discount above allowed range (invalid)",IF(AND(R379="",S379=0),"Missing discount set to 0","OK")))</f>
        <v>OK</v>
      </c>
      <c r="U379">
        <v>6001.35</v>
      </c>
      <c r="V379">
        <v>4182.99</v>
      </c>
      <c r="W379">
        <v>1818.36</v>
      </c>
      <c r="X379" t="s">
        <v>32</v>
      </c>
      <c r="Y379" t="s">
        <v>68</v>
      </c>
      <c r="Z379">
        <f>IF(T379="OK",P379*Q379*(1-S379),"invalid")</f>
        <v>6001.35</v>
      </c>
      <c r="AA379">
        <f>IF(Z379="N/A","N/A",Z379-V379)</f>
        <v>1818.3600000000006</v>
      </c>
      <c r="AB379" s="8">
        <f>IF(Z379&lt;&gt;"N/A", AA379/Z379, "N/A")</f>
        <v>0.30299182683896131</v>
      </c>
      <c r="AC379">
        <f>MONTH(B379)</f>
        <v>7</v>
      </c>
      <c r="AD379">
        <f>YEAR(B379)</f>
        <v>2024</v>
      </c>
      <c r="AE379" s="10">
        <f t="shared" si="5"/>
        <v>0</v>
      </c>
      <c r="AF379" t="s">
        <v>2804</v>
      </c>
      <c r="AG379" t="s">
        <v>2811</v>
      </c>
    </row>
    <row r="380" spans="1:33">
      <c r="A380" t="s">
        <v>2142</v>
      </c>
      <c r="B380" s="4">
        <v>45376</v>
      </c>
      <c r="C380" s="4">
        <v>45384</v>
      </c>
      <c r="D380">
        <f>_xlfn.DAYS(C380,B380)</f>
        <v>8</v>
      </c>
      <c r="E380" t="s">
        <v>2804</v>
      </c>
      <c r="F380" t="s">
        <v>2143</v>
      </c>
      <c r="G380" t="s">
        <v>132</v>
      </c>
      <c r="H380" t="s">
        <v>95</v>
      </c>
      <c r="I380" t="s">
        <v>54</v>
      </c>
      <c r="J380" t="s">
        <v>247</v>
      </c>
      <c r="K380" t="s">
        <v>248</v>
      </c>
      <c r="L380" t="s">
        <v>74</v>
      </c>
      <c r="M380" t="s">
        <v>80</v>
      </c>
      <c r="N380" t="s">
        <v>2144</v>
      </c>
      <c r="O380" t="s">
        <v>59</v>
      </c>
      <c r="P380">
        <v>2</v>
      </c>
      <c r="Q380">
        <v>2349.13</v>
      </c>
      <c r="R380">
        <v>0</v>
      </c>
      <c r="S380">
        <f>IF(ISNUMBER(SEARCH("%",R380)), VALUE(SUBSTITUTE(R380,"%",""))/100,IF(ISNUMBER(R380), R380, 0))</f>
        <v>0</v>
      </c>
      <c r="T380" t="str">
        <f>IF(S380&lt;0,"Negative discount (invalid)",IF(S380&gt;0.5,"Discount above allowed range (invalid)",IF(AND(R380="",S380=0),"Missing discount set to 0","OK")))</f>
        <v>OK</v>
      </c>
      <c r="U380">
        <v>4698.26</v>
      </c>
      <c r="V380">
        <v>2654.92</v>
      </c>
      <c r="W380">
        <v>2043.34</v>
      </c>
      <c r="X380" t="s">
        <v>32</v>
      </c>
      <c r="Y380" t="s">
        <v>33</v>
      </c>
      <c r="Z380">
        <f>IF(T380="OK",P380*Q380*(1-S380),"invalid")</f>
        <v>4698.26</v>
      </c>
      <c r="AA380">
        <f>IF(Z380="N/A","N/A",Z380-V380)</f>
        <v>2043.3400000000001</v>
      </c>
      <c r="AB380" s="8">
        <f>IF(Z380&lt;&gt;"N/A", AA380/Z380, "N/A")</f>
        <v>0.43491420227914163</v>
      </c>
      <c r="AC380">
        <f>MONTH(B380)</f>
        <v>3</v>
      </c>
      <c r="AD380">
        <f>YEAR(B380)</f>
        <v>2024</v>
      </c>
      <c r="AE380" s="10">
        <f t="shared" si="5"/>
        <v>0</v>
      </c>
      <c r="AF380" t="s">
        <v>2804</v>
      </c>
      <c r="AG380" t="s">
        <v>2811</v>
      </c>
    </row>
    <row r="381" spans="1:33">
      <c r="A381" t="s">
        <v>2151</v>
      </c>
      <c r="B381" s="4">
        <v>45570</v>
      </c>
      <c r="C381" s="4">
        <v>45571</v>
      </c>
      <c r="D381">
        <f>_xlfn.DAYS(C381,B381)</f>
        <v>1</v>
      </c>
      <c r="E381" t="s">
        <v>2804</v>
      </c>
      <c r="F381" t="s">
        <v>2152</v>
      </c>
      <c r="G381" t="s">
        <v>141</v>
      </c>
      <c r="H381" t="s">
        <v>37</v>
      </c>
      <c r="I381" t="s">
        <v>25</v>
      </c>
      <c r="J381" t="s">
        <v>122</v>
      </c>
      <c r="K381" t="s">
        <v>123</v>
      </c>
      <c r="L381" t="s">
        <v>41</v>
      </c>
      <c r="M381" t="s">
        <v>42</v>
      </c>
      <c r="N381" t="s">
        <v>2153</v>
      </c>
      <c r="O381" t="s">
        <v>59</v>
      </c>
      <c r="P381">
        <v>9</v>
      </c>
      <c r="Q381">
        <v>489.58</v>
      </c>
      <c r="R381">
        <v>0.15</v>
      </c>
      <c r="S381">
        <f>IF(ISNUMBER(SEARCH("%",R381)), VALUE(SUBSTITUTE(R381,"%",""))/100,IF(ISNUMBER(R381), R381, 0))</f>
        <v>0.15</v>
      </c>
      <c r="T381" t="str">
        <f>IF(S381&lt;0,"Negative discount (invalid)",IF(S381&gt;0.5,"Discount above allowed range (invalid)",IF(AND(R381="",S381=0),"Missing discount set to 0","OK")))</f>
        <v>OK</v>
      </c>
      <c r="U381">
        <v>3745.29</v>
      </c>
      <c r="V381">
        <v>2302.65</v>
      </c>
      <c r="W381">
        <v>1442.64</v>
      </c>
      <c r="X381" t="s">
        <v>155</v>
      </c>
      <c r="Y381" t="s">
        <v>68</v>
      </c>
      <c r="Z381">
        <f>IF(T381="OK",P381*Q381*(1-S381),"invalid")</f>
        <v>3745.2870000000003</v>
      </c>
      <c r="AA381">
        <f>IF(Z381="N/A","N/A",Z381-V381)</f>
        <v>1442.6370000000002</v>
      </c>
      <c r="AB381" s="8">
        <f>IF(Z381&lt;&gt;"N/A", AA381/Z381, "N/A")</f>
        <v>0.38518730340291679</v>
      </c>
      <c r="AC381">
        <f>MONTH(B381)</f>
        <v>10</v>
      </c>
      <c r="AD381">
        <f>YEAR(B381)</f>
        <v>2024</v>
      </c>
      <c r="AE381" s="10">
        <f t="shared" si="5"/>
        <v>2.9999999997016857E-3</v>
      </c>
      <c r="AF381" t="s">
        <v>2804</v>
      </c>
      <c r="AG381" t="s">
        <v>2811</v>
      </c>
    </row>
    <row r="382" spans="1:33">
      <c r="A382" t="s">
        <v>2154</v>
      </c>
      <c r="B382" s="4">
        <v>45546</v>
      </c>
      <c r="C382" s="4">
        <v>45550</v>
      </c>
      <c r="D382">
        <f>_xlfn.DAYS(C382,B382)</f>
        <v>4</v>
      </c>
      <c r="E382" t="s">
        <v>2804</v>
      </c>
      <c r="F382" t="s">
        <v>2155</v>
      </c>
      <c r="G382" t="s">
        <v>132</v>
      </c>
      <c r="H382" t="s">
        <v>90</v>
      </c>
      <c r="I382" t="s">
        <v>54</v>
      </c>
      <c r="J382" t="s">
        <v>247</v>
      </c>
      <c r="K382" t="s">
        <v>248</v>
      </c>
      <c r="L382" t="s">
        <v>28</v>
      </c>
      <c r="M382" t="s">
        <v>48</v>
      </c>
      <c r="N382" t="s">
        <v>2156</v>
      </c>
      <c r="O382" t="s">
        <v>59</v>
      </c>
      <c r="P382">
        <v>4</v>
      </c>
      <c r="Q382">
        <v>865.63</v>
      </c>
      <c r="R382">
        <v>0</v>
      </c>
      <c r="S382">
        <f>IF(ISNUMBER(SEARCH("%",R382)), VALUE(SUBSTITUTE(R382,"%",""))/100,IF(ISNUMBER(R382), R382, 0))</f>
        <v>0</v>
      </c>
      <c r="T382" t="str">
        <f>IF(S382&lt;0,"Negative discount (invalid)",IF(S382&gt;0.5,"Discount above allowed range (invalid)",IF(AND(R382="",S382=0),"Missing discount set to 0","OK")))</f>
        <v>OK</v>
      </c>
      <c r="U382">
        <v>3462.52</v>
      </c>
      <c r="V382">
        <v>2797.29</v>
      </c>
      <c r="W382">
        <v>665.23</v>
      </c>
      <c r="X382" t="s">
        <v>155</v>
      </c>
      <c r="Y382" t="s">
        <v>103</v>
      </c>
      <c r="Z382">
        <f>IF(T382="OK",P382*Q382*(1-S382),"invalid")</f>
        <v>3462.52</v>
      </c>
      <c r="AA382">
        <f>IF(Z382="N/A","N/A",Z382-V382)</f>
        <v>665.23</v>
      </c>
      <c r="AB382" s="8">
        <f>IF(Z382&lt;&gt;"N/A", AA382/Z382, "N/A")</f>
        <v>0.19212307798944123</v>
      </c>
      <c r="AC382">
        <f>MONTH(B382)</f>
        <v>9</v>
      </c>
      <c r="AD382">
        <f>YEAR(B382)</f>
        <v>2024</v>
      </c>
      <c r="AE382" s="10">
        <f t="shared" si="5"/>
        <v>0</v>
      </c>
      <c r="AF382" t="s">
        <v>2804</v>
      </c>
      <c r="AG382" t="s">
        <v>2811</v>
      </c>
    </row>
    <row r="383" spans="1:33">
      <c r="A383" t="s">
        <v>2157</v>
      </c>
      <c r="B383" s="4">
        <v>45641</v>
      </c>
      <c r="C383" s="4">
        <v>45642</v>
      </c>
      <c r="D383">
        <f>_xlfn.DAYS(C383,B383)</f>
        <v>1</v>
      </c>
      <c r="E383" t="s">
        <v>2804</v>
      </c>
      <c r="F383" t="s">
        <v>2158</v>
      </c>
      <c r="G383" t="s">
        <v>141</v>
      </c>
      <c r="H383" t="s">
        <v>24</v>
      </c>
      <c r="I383" t="s">
        <v>38</v>
      </c>
      <c r="J383" t="s">
        <v>39</v>
      </c>
      <c r="K383" t="s">
        <v>40</v>
      </c>
      <c r="L383" t="s">
        <v>74</v>
      </c>
      <c r="M383" t="s">
        <v>80</v>
      </c>
      <c r="N383" t="s">
        <v>2159</v>
      </c>
      <c r="O383" t="s">
        <v>31</v>
      </c>
      <c r="P383">
        <v>6</v>
      </c>
      <c r="Q383">
        <v>1538.1</v>
      </c>
      <c r="R383">
        <v>0.05</v>
      </c>
      <c r="S383">
        <f>IF(ISNUMBER(SEARCH("%",R383)), VALUE(SUBSTITUTE(R383,"%",""))/100,IF(ISNUMBER(R383), R383, 0))</f>
        <v>0.05</v>
      </c>
      <c r="T383" t="str">
        <f>IF(S383&lt;0,"Negative discount (invalid)",IF(S383&gt;0.5,"Discount above allowed range (invalid)",IF(AND(R383="",S383=0),"Missing discount set to 0","OK")))</f>
        <v>OK</v>
      </c>
      <c r="U383">
        <v>8767.17</v>
      </c>
      <c r="V383">
        <v>5098.2</v>
      </c>
      <c r="W383">
        <v>3668.97</v>
      </c>
      <c r="X383" t="s">
        <v>32</v>
      </c>
      <c r="Y383" t="s">
        <v>33</v>
      </c>
      <c r="Z383">
        <f>IF(T383="OK",P383*Q383*(1-S383),"invalid")</f>
        <v>8767.1699999999983</v>
      </c>
      <c r="AA383">
        <f>IF(Z383="N/A","N/A",Z383-V383)</f>
        <v>3668.9699999999984</v>
      </c>
      <c r="AB383" s="8">
        <f>IF(Z383&lt;&gt;"N/A", AA383/Z383, "N/A")</f>
        <v>0.41848966085977563</v>
      </c>
      <c r="AC383">
        <f>MONTH(B383)</f>
        <v>12</v>
      </c>
      <c r="AD383">
        <f>YEAR(B383)</f>
        <v>2024</v>
      </c>
      <c r="AE383" s="10">
        <f t="shared" si="5"/>
        <v>1.8189894035458565E-12</v>
      </c>
      <c r="AF383" t="s">
        <v>2804</v>
      </c>
      <c r="AG383" t="s">
        <v>2811</v>
      </c>
    </row>
    <row r="384" spans="1:33">
      <c r="A384" t="s">
        <v>2168</v>
      </c>
      <c r="B384" s="4">
        <v>45474</v>
      </c>
      <c r="C384" s="4">
        <v>45474</v>
      </c>
      <c r="D384">
        <f>_xlfn.DAYS(C384,B384)</f>
        <v>0</v>
      </c>
      <c r="E384" t="s">
        <v>2804</v>
      </c>
      <c r="F384" t="s">
        <v>2169</v>
      </c>
      <c r="G384" t="s">
        <v>128</v>
      </c>
      <c r="H384" t="s">
        <v>24</v>
      </c>
      <c r="I384" t="s">
        <v>63</v>
      </c>
      <c r="J384" t="s">
        <v>72</v>
      </c>
      <c r="K384" t="s">
        <v>73</v>
      </c>
      <c r="L384" t="s">
        <v>74</v>
      </c>
      <c r="M384" t="s">
        <v>274</v>
      </c>
      <c r="N384" t="s">
        <v>2170</v>
      </c>
      <c r="O384" t="s">
        <v>59</v>
      </c>
      <c r="P384">
        <v>4</v>
      </c>
      <c r="Q384">
        <v>257.39</v>
      </c>
      <c r="R384">
        <v>0</v>
      </c>
      <c r="S384">
        <f>IF(ISNUMBER(SEARCH("%",R384)), VALUE(SUBSTITUTE(R384,"%",""))/100,IF(ISNUMBER(R384), R384, 0))</f>
        <v>0</v>
      </c>
      <c r="T384" t="str">
        <f>IF(S384&lt;0,"Negative discount (invalid)",IF(S384&gt;0.5,"Discount above allowed range (invalid)",IF(AND(R384="",S384=0),"Missing discount set to 0","OK")))</f>
        <v>OK</v>
      </c>
      <c r="U384">
        <v>1029.56</v>
      </c>
      <c r="V384">
        <v>626.33000000000004</v>
      </c>
      <c r="W384">
        <v>403.23</v>
      </c>
      <c r="X384" t="s">
        <v>32</v>
      </c>
      <c r="Y384" t="s">
        <v>33</v>
      </c>
      <c r="Z384">
        <f>IF(T384="OK",P384*Q384*(1-S384),"invalid")</f>
        <v>1029.56</v>
      </c>
      <c r="AA384">
        <f>IF(Z384="N/A","N/A",Z384-V384)</f>
        <v>403.2299999999999</v>
      </c>
      <c r="AB384" s="8">
        <f>IF(Z384&lt;&gt;"N/A", AA384/Z384, "N/A")</f>
        <v>0.39165274486188267</v>
      </c>
      <c r="AC384">
        <f>MONTH(B384)</f>
        <v>7</v>
      </c>
      <c r="AD384">
        <f>YEAR(B384)</f>
        <v>2024</v>
      </c>
      <c r="AE384" s="10">
        <f t="shared" si="5"/>
        <v>0</v>
      </c>
      <c r="AF384" t="s">
        <v>2804</v>
      </c>
      <c r="AG384" t="s">
        <v>2811</v>
      </c>
    </row>
    <row r="385" spans="1:33">
      <c r="A385" t="s">
        <v>2177</v>
      </c>
      <c r="B385" s="4">
        <v>45549</v>
      </c>
      <c r="C385" s="4">
        <v>45549</v>
      </c>
      <c r="D385">
        <f>_xlfn.DAYS(C385,B385)</f>
        <v>0</v>
      </c>
      <c r="E385" t="s">
        <v>2804</v>
      </c>
      <c r="F385" t="s">
        <v>2178</v>
      </c>
      <c r="G385" t="s">
        <v>36</v>
      </c>
      <c r="H385" t="s">
        <v>90</v>
      </c>
      <c r="I385" t="s">
        <v>25</v>
      </c>
      <c r="J385" t="s">
        <v>26</v>
      </c>
      <c r="K385" t="s">
        <v>27</v>
      </c>
      <c r="L385" t="s">
        <v>74</v>
      </c>
      <c r="M385" t="s">
        <v>274</v>
      </c>
      <c r="N385" t="s">
        <v>2179</v>
      </c>
      <c r="O385" t="s">
        <v>59</v>
      </c>
      <c r="P385">
        <v>8</v>
      </c>
      <c r="Q385">
        <v>4081.66</v>
      </c>
      <c r="R385">
        <v>0.15</v>
      </c>
      <c r="S385">
        <f>IF(ISNUMBER(SEARCH("%",R385)), VALUE(SUBSTITUTE(R385,"%",""))/100,IF(ISNUMBER(R385), R385, 0))</f>
        <v>0.15</v>
      </c>
      <c r="T385" t="str">
        <f>IF(S385&lt;0,"Negative discount (invalid)",IF(S385&gt;0.5,"Discount above allowed range (invalid)",IF(AND(R385="",S385=0),"Missing discount set to 0","OK")))</f>
        <v>OK</v>
      </c>
      <c r="U385">
        <v>28208.1</v>
      </c>
      <c r="V385">
        <v>23751.91</v>
      </c>
      <c r="W385">
        <v>4003.38</v>
      </c>
      <c r="X385" t="s">
        <v>32</v>
      </c>
      <c r="Y385" t="s">
        <v>103</v>
      </c>
      <c r="Z385">
        <f>IF(T385="OK",P385*Q385*(1-S385),"invalid")</f>
        <v>27755.287999999997</v>
      </c>
      <c r="AA385">
        <f>IF(Z385="N/A","N/A",Z385-V385)</f>
        <v>4003.377999999997</v>
      </c>
      <c r="AB385" s="8">
        <f>IF(Z385&lt;&gt;"N/A", AA385/Z385, "N/A")</f>
        <v>0.14423838801456493</v>
      </c>
      <c r="AC385">
        <f>MONTH(B385)</f>
        <v>9</v>
      </c>
      <c r="AD385">
        <f>YEAR(B385)</f>
        <v>2024</v>
      </c>
      <c r="AE385" s="10">
        <f t="shared" si="5"/>
        <v>452.81200000000172</v>
      </c>
      <c r="AF385" t="s">
        <v>2807</v>
      </c>
      <c r="AG385" t="s">
        <v>2789</v>
      </c>
    </row>
    <row r="386" spans="1:33">
      <c r="A386" t="s">
        <v>2180</v>
      </c>
      <c r="B386" s="4">
        <v>45454</v>
      </c>
      <c r="C386" s="4">
        <v>45454</v>
      </c>
      <c r="D386">
        <f>_xlfn.DAYS(C386,B386)</f>
        <v>0</v>
      </c>
      <c r="E386" t="s">
        <v>2804</v>
      </c>
      <c r="F386" t="s">
        <v>2181</v>
      </c>
      <c r="G386" t="s">
        <v>53</v>
      </c>
      <c r="H386" t="s">
        <v>37</v>
      </c>
      <c r="I386" t="s">
        <v>54</v>
      </c>
      <c r="J386" t="s">
        <v>175</v>
      </c>
      <c r="K386" t="s">
        <v>176</v>
      </c>
      <c r="L386" t="s">
        <v>41</v>
      </c>
      <c r="M386" t="s">
        <v>158</v>
      </c>
      <c r="N386" t="s">
        <v>2182</v>
      </c>
      <c r="O386" t="s">
        <v>59</v>
      </c>
      <c r="P386">
        <v>9</v>
      </c>
      <c r="Q386">
        <v>1400.11</v>
      </c>
      <c r="R386">
        <v>0.25</v>
      </c>
      <c r="S386">
        <f>IF(ISNUMBER(SEARCH("%",R386)), VALUE(SUBSTITUTE(R386,"%",""))/100,IF(ISNUMBER(R386), R386, 0))</f>
        <v>0.25</v>
      </c>
      <c r="T386" t="str">
        <f>IF(S386&lt;0,"Negative discount (invalid)",IF(S386&gt;0.5,"Discount above allowed range (invalid)",IF(AND(R386="",S386=0),"Missing discount set to 0","OK")))</f>
        <v>OK</v>
      </c>
      <c r="U386">
        <v>9450.74</v>
      </c>
      <c r="V386">
        <v>7798.56</v>
      </c>
      <c r="W386">
        <v>1652.18</v>
      </c>
      <c r="X386" t="s">
        <v>32</v>
      </c>
      <c r="Y386" t="s">
        <v>33</v>
      </c>
      <c r="Z386">
        <f>IF(T386="OK",P386*Q386*(1-S386),"invalid")</f>
        <v>9450.7425000000003</v>
      </c>
      <c r="AA386">
        <f>IF(Z386="N/A","N/A",Z386-V386)</f>
        <v>1652.1824999999999</v>
      </c>
      <c r="AB386" s="8">
        <f>IF(Z386&lt;&gt;"N/A", AA386/Z386, "N/A")</f>
        <v>0.17482039109625511</v>
      </c>
      <c r="AC386">
        <f>MONTH(B386)</f>
        <v>6</v>
      </c>
      <c r="AD386">
        <f>YEAR(B386)</f>
        <v>2024</v>
      </c>
      <c r="AE386" s="10">
        <f t="shared" si="5"/>
        <v>2.500000000509317E-3</v>
      </c>
      <c r="AF386" t="s">
        <v>2804</v>
      </c>
      <c r="AG386" t="s">
        <v>2811</v>
      </c>
    </row>
    <row r="387" spans="1:33">
      <c r="A387" t="s">
        <v>2183</v>
      </c>
      <c r="B387" s="4">
        <v>45553</v>
      </c>
      <c r="C387" s="4">
        <v>45556</v>
      </c>
      <c r="D387">
        <f>_xlfn.DAYS(C387,B387)</f>
        <v>3</v>
      </c>
      <c r="E387" t="s">
        <v>2804</v>
      </c>
      <c r="F387" t="s">
        <v>2184</v>
      </c>
      <c r="G387" t="s">
        <v>79</v>
      </c>
      <c r="H387" t="s">
        <v>90</v>
      </c>
      <c r="I387" t="s">
        <v>38</v>
      </c>
      <c r="J387" t="s">
        <v>99</v>
      </c>
      <c r="K387" t="s">
        <v>100</v>
      </c>
      <c r="L387" t="s">
        <v>74</v>
      </c>
      <c r="M387" t="s">
        <v>274</v>
      </c>
      <c r="N387" t="s">
        <v>2185</v>
      </c>
      <c r="O387" t="s">
        <v>59</v>
      </c>
      <c r="P387">
        <v>3</v>
      </c>
      <c r="Q387">
        <v>3055.9</v>
      </c>
      <c r="R387">
        <v>0.15</v>
      </c>
      <c r="S387">
        <f>IF(ISNUMBER(SEARCH("%",R387)), VALUE(SUBSTITUTE(R387,"%",""))/100,IF(ISNUMBER(R387), R387, 0))</f>
        <v>0.15</v>
      </c>
      <c r="T387" t="str">
        <f>IF(S387&lt;0,"Negative discount (invalid)",IF(S387&gt;0.5,"Discount above allowed range (invalid)",IF(AND(R387="",S387=0),"Missing discount set to 0","OK")))</f>
        <v>OK</v>
      </c>
      <c r="U387">
        <v>7792.55</v>
      </c>
      <c r="V387">
        <v>4691.7299999999996</v>
      </c>
      <c r="W387">
        <v>3100.82</v>
      </c>
      <c r="X387" t="s">
        <v>32</v>
      </c>
      <c r="Y387" t="s">
        <v>33</v>
      </c>
      <c r="Z387">
        <f>IF(T387="OK",P387*Q387*(1-S387),"invalid")</f>
        <v>7792.5450000000001</v>
      </c>
      <c r="AA387">
        <f>IF(Z387="N/A","N/A",Z387-V387)</f>
        <v>3100.8150000000005</v>
      </c>
      <c r="AB387" s="8">
        <f>IF(Z387&lt;&gt;"N/A", AA387/Z387, "N/A")</f>
        <v>0.39792070498149201</v>
      </c>
      <c r="AC387">
        <f>MONTH(B387)</f>
        <v>9</v>
      </c>
      <c r="AD387">
        <f>YEAR(B387)</f>
        <v>2024</v>
      </c>
      <c r="AE387" s="10">
        <f t="shared" ref="AE387:AE450" si="6">IF(Z387&lt;&gt;"N/A",ABS(Z387-U387),"N/A")</f>
        <v>5.0000000001091394E-3</v>
      </c>
      <c r="AF387" t="s">
        <v>2804</v>
      </c>
      <c r="AG387" t="s">
        <v>2811</v>
      </c>
    </row>
    <row r="388" spans="1:33">
      <c r="A388" t="s">
        <v>2186</v>
      </c>
      <c r="B388" s="4">
        <v>45412</v>
      </c>
      <c r="C388" s="4">
        <v>45416</v>
      </c>
      <c r="D388">
        <f>_xlfn.DAYS(C388,B388)</f>
        <v>4</v>
      </c>
      <c r="E388" t="s">
        <v>2804</v>
      </c>
      <c r="F388" t="s">
        <v>2187</v>
      </c>
      <c r="G388" t="s">
        <v>141</v>
      </c>
      <c r="H388" t="s">
        <v>37</v>
      </c>
      <c r="I388" t="s">
        <v>63</v>
      </c>
      <c r="J388" t="s">
        <v>180</v>
      </c>
      <c r="K388" t="s">
        <v>181</v>
      </c>
      <c r="L388" t="s">
        <v>28</v>
      </c>
      <c r="M388" t="s">
        <v>48</v>
      </c>
      <c r="N388" t="s">
        <v>2188</v>
      </c>
      <c r="O388" t="s">
        <v>44</v>
      </c>
      <c r="P388">
        <v>7</v>
      </c>
      <c r="Q388">
        <v>1224.94</v>
      </c>
      <c r="R388">
        <v>0</v>
      </c>
      <c r="S388">
        <f>IF(ISNUMBER(SEARCH("%",R388)), VALUE(SUBSTITUTE(R388,"%",""))/100,IF(ISNUMBER(R388), R388, 0))</f>
        <v>0</v>
      </c>
      <c r="T388" t="str">
        <f>IF(S388&lt;0,"Negative discount (invalid)",IF(S388&gt;0.5,"Discount above allowed range (invalid)",IF(AND(R388="",S388=0),"Missing discount set to 0","OK")))</f>
        <v>OK</v>
      </c>
      <c r="U388">
        <v>8574.58</v>
      </c>
      <c r="V388">
        <v>6685.81</v>
      </c>
      <c r="W388">
        <v>1888.77</v>
      </c>
      <c r="X388" t="s">
        <v>32</v>
      </c>
      <c r="Y388" t="s">
        <v>103</v>
      </c>
      <c r="Z388">
        <f>IF(T388="OK",P388*Q388*(1-S388),"invalid")</f>
        <v>8574.58</v>
      </c>
      <c r="AA388">
        <f>IF(Z388="N/A","N/A",Z388-V388)</f>
        <v>1888.7699999999995</v>
      </c>
      <c r="AB388" s="8">
        <f>IF(Z388&lt;&gt;"N/A", AA388/Z388, "N/A")</f>
        <v>0.22027551203674112</v>
      </c>
      <c r="AC388">
        <f>MONTH(B388)</f>
        <v>4</v>
      </c>
      <c r="AD388">
        <f>YEAR(B388)</f>
        <v>2024</v>
      </c>
      <c r="AE388" s="10">
        <f t="shared" si="6"/>
        <v>0</v>
      </c>
      <c r="AF388" t="s">
        <v>2804</v>
      </c>
      <c r="AG388" t="s">
        <v>2811</v>
      </c>
    </row>
    <row r="389" spans="1:33">
      <c r="A389" t="s">
        <v>2192</v>
      </c>
      <c r="B389" s="4">
        <v>45584</v>
      </c>
      <c r="C389" s="4">
        <v>45585</v>
      </c>
      <c r="D389">
        <f>_xlfn.DAYS(C389,B389)</f>
        <v>1</v>
      </c>
      <c r="E389" t="s">
        <v>2804</v>
      </c>
      <c r="F389" t="s">
        <v>2193</v>
      </c>
      <c r="G389" t="s">
        <v>89</v>
      </c>
      <c r="H389" t="s">
        <v>90</v>
      </c>
      <c r="I389" t="s">
        <v>25</v>
      </c>
      <c r="J389" t="s">
        <v>26</v>
      </c>
      <c r="K389" t="s">
        <v>27</v>
      </c>
      <c r="L389" t="s">
        <v>41</v>
      </c>
      <c r="M389" t="s">
        <v>42</v>
      </c>
      <c r="N389" t="s">
        <v>2194</v>
      </c>
      <c r="O389" t="s">
        <v>50</v>
      </c>
      <c r="P389">
        <v>1</v>
      </c>
      <c r="Q389">
        <v>1150.03</v>
      </c>
      <c r="R389">
        <v>0.1</v>
      </c>
      <c r="S389">
        <f>IF(ISNUMBER(SEARCH("%",R389)), VALUE(SUBSTITUTE(R389,"%",""))/100,IF(ISNUMBER(R389), R389, 0))</f>
        <v>0.1</v>
      </c>
      <c r="T389" t="str">
        <f>IF(S389&lt;0,"Negative discount (invalid)",IF(S389&gt;0.5,"Discount above allowed range (invalid)",IF(AND(R389="",S389=0),"Missing discount set to 0","OK")))</f>
        <v>OK</v>
      </c>
      <c r="U389">
        <v>1035.03</v>
      </c>
      <c r="V389">
        <v>854.35</v>
      </c>
      <c r="W389">
        <v>180.68</v>
      </c>
      <c r="X389" t="s">
        <v>32</v>
      </c>
      <c r="Y389" t="s">
        <v>33</v>
      </c>
      <c r="Z389">
        <f>IF(T389="OK",P389*Q389*(1-S389),"invalid")</f>
        <v>1035.027</v>
      </c>
      <c r="AA389">
        <f>IF(Z389="N/A","N/A",Z389-V389)</f>
        <v>180.67700000000002</v>
      </c>
      <c r="AB389" s="8">
        <f>IF(Z389&lt;&gt;"N/A", AA389/Z389, "N/A")</f>
        <v>0.1745625959516032</v>
      </c>
      <c r="AC389">
        <f>MONTH(B389)</f>
        <v>10</v>
      </c>
      <c r="AD389">
        <f>YEAR(B389)</f>
        <v>2024</v>
      </c>
      <c r="AE389" s="10">
        <f t="shared" si="6"/>
        <v>2.9999999999290594E-3</v>
      </c>
      <c r="AF389" t="s">
        <v>2804</v>
      </c>
      <c r="AG389" t="s">
        <v>2811</v>
      </c>
    </row>
    <row r="390" spans="1:33">
      <c r="A390" t="s">
        <v>2195</v>
      </c>
      <c r="B390" s="4">
        <v>45364</v>
      </c>
      <c r="C390" s="4">
        <v>45371</v>
      </c>
      <c r="D390">
        <f>_xlfn.DAYS(C390,B390)</f>
        <v>7</v>
      </c>
      <c r="E390" t="s">
        <v>2804</v>
      </c>
      <c r="F390" t="s">
        <v>2196</v>
      </c>
      <c r="G390" t="s">
        <v>114</v>
      </c>
      <c r="H390" t="s">
        <v>95</v>
      </c>
      <c r="I390" t="s">
        <v>54</v>
      </c>
      <c r="J390" t="s">
        <v>247</v>
      </c>
      <c r="K390" t="s">
        <v>248</v>
      </c>
      <c r="L390" t="s">
        <v>41</v>
      </c>
      <c r="M390" t="s">
        <v>158</v>
      </c>
      <c r="N390" t="s">
        <v>2197</v>
      </c>
      <c r="O390" t="s">
        <v>2785</v>
      </c>
      <c r="P390">
        <v>1</v>
      </c>
      <c r="Q390">
        <v>2825.63</v>
      </c>
      <c r="R390">
        <v>0.15</v>
      </c>
      <c r="S390">
        <f>IF(ISNUMBER(SEARCH("%",R390)), VALUE(SUBSTITUTE(R390,"%",""))/100,IF(ISNUMBER(R390), R390, 0))</f>
        <v>0.15</v>
      </c>
      <c r="T390" t="str">
        <f>IF(S390&lt;0,"Negative discount (invalid)",IF(S390&gt;0.5,"Discount above allowed range (invalid)",IF(AND(R390="",S390=0),"Missing discount set to 0","OK")))</f>
        <v>OK</v>
      </c>
      <c r="U390">
        <v>2401.79</v>
      </c>
      <c r="V390">
        <v>1820.34</v>
      </c>
      <c r="W390">
        <v>581.45000000000005</v>
      </c>
      <c r="X390" t="s">
        <v>32</v>
      </c>
      <c r="Y390" t="s">
        <v>33</v>
      </c>
      <c r="Z390">
        <f>IF(T390="OK",P390*Q390*(1-S390),"invalid")</f>
        <v>2401.7855</v>
      </c>
      <c r="AA390">
        <f>IF(Z390="N/A","N/A",Z390-V390)</f>
        <v>581.44550000000004</v>
      </c>
      <c r="AB390" s="8">
        <f>IF(Z390&lt;&gt;"N/A", AA390/Z390, "N/A")</f>
        <v>0.24208885431276025</v>
      </c>
      <c r="AC390">
        <f>MONTH(B390)</f>
        <v>3</v>
      </c>
      <c r="AD390">
        <f>YEAR(B390)</f>
        <v>2024</v>
      </c>
      <c r="AE390" s="10">
        <f t="shared" si="6"/>
        <v>4.500000000007276E-3</v>
      </c>
      <c r="AF390" t="s">
        <v>2800</v>
      </c>
      <c r="AG390" t="s">
        <v>2798</v>
      </c>
    </row>
    <row r="391" spans="1:33">
      <c r="A391" t="s">
        <v>2198</v>
      </c>
      <c r="B391" s="4">
        <v>45543</v>
      </c>
      <c r="C391" s="4">
        <v>45549</v>
      </c>
      <c r="D391">
        <f>_xlfn.DAYS(C391,B391)</f>
        <v>6</v>
      </c>
      <c r="E391" t="s">
        <v>2804</v>
      </c>
      <c r="F391" t="s">
        <v>2199</v>
      </c>
      <c r="G391" t="s">
        <v>141</v>
      </c>
      <c r="H391" t="s">
        <v>24</v>
      </c>
      <c r="I391" t="s">
        <v>25</v>
      </c>
      <c r="J391" t="s">
        <v>26</v>
      </c>
      <c r="K391" t="s">
        <v>27</v>
      </c>
      <c r="L391" t="s">
        <v>28</v>
      </c>
      <c r="M391" t="s">
        <v>153</v>
      </c>
      <c r="N391" t="s">
        <v>2200</v>
      </c>
      <c r="O391" t="s">
        <v>59</v>
      </c>
      <c r="P391">
        <v>5</v>
      </c>
      <c r="Q391">
        <v>3371.75</v>
      </c>
      <c r="R391">
        <v>0.05</v>
      </c>
      <c r="S391">
        <f>IF(ISNUMBER(SEARCH("%",R391)), VALUE(SUBSTITUTE(R391,"%",""))/100,IF(ISNUMBER(R391), R391, 0))</f>
        <v>0.05</v>
      </c>
      <c r="T391" t="str">
        <f>IF(S391&lt;0,"Negative discount (invalid)",IF(S391&gt;0.5,"Discount above allowed range (invalid)",IF(AND(R391="",S391=0),"Missing discount set to 0","OK")))</f>
        <v>OK</v>
      </c>
      <c r="U391">
        <v>16015.81</v>
      </c>
      <c r="V391">
        <v>11352.38</v>
      </c>
      <c r="W391">
        <v>4663.43</v>
      </c>
      <c r="X391" t="s">
        <v>32</v>
      </c>
      <c r="Y391" t="s">
        <v>33</v>
      </c>
      <c r="Z391">
        <f>IF(T391="OK",P391*Q391*(1-S391),"invalid")</f>
        <v>16015.8125</v>
      </c>
      <c r="AA391">
        <f>IF(Z391="N/A","N/A",Z391-V391)</f>
        <v>4663.4325000000008</v>
      </c>
      <c r="AB391" s="8">
        <f>IF(Z391&lt;&gt;"N/A", AA391/Z391, "N/A")</f>
        <v>0.29117676671102394</v>
      </c>
      <c r="AC391">
        <f>MONTH(B391)</f>
        <v>9</v>
      </c>
      <c r="AD391">
        <f>YEAR(B391)</f>
        <v>2024</v>
      </c>
      <c r="AE391" s="10">
        <f t="shared" si="6"/>
        <v>2.500000000509317E-3</v>
      </c>
      <c r="AF391" t="s">
        <v>2804</v>
      </c>
      <c r="AG391" t="s">
        <v>2811</v>
      </c>
    </row>
    <row r="392" spans="1:33">
      <c r="A392" t="s">
        <v>2201</v>
      </c>
      <c r="B392" s="4">
        <v>45467</v>
      </c>
      <c r="C392" s="4">
        <v>45471</v>
      </c>
      <c r="D392">
        <f>_xlfn.DAYS(C392,B392)</f>
        <v>4</v>
      </c>
      <c r="E392" t="s">
        <v>2804</v>
      </c>
      <c r="F392" t="s">
        <v>2202</v>
      </c>
      <c r="G392" t="s">
        <v>47</v>
      </c>
      <c r="H392" t="s">
        <v>37</v>
      </c>
      <c r="I392" t="s">
        <v>38</v>
      </c>
      <c r="J392" t="s">
        <v>39</v>
      </c>
      <c r="K392" t="s">
        <v>40</v>
      </c>
      <c r="L392" t="s">
        <v>28</v>
      </c>
      <c r="M392" t="s">
        <v>29</v>
      </c>
      <c r="N392" t="s">
        <v>2203</v>
      </c>
      <c r="O392" t="s">
        <v>44</v>
      </c>
      <c r="P392">
        <v>1</v>
      </c>
      <c r="Q392">
        <v>2112.75</v>
      </c>
      <c r="R392">
        <v>0.1</v>
      </c>
      <c r="S392">
        <f>IF(ISNUMBER(SEARCH("%",R392)), VALUE(SUBSTITUTE(R392,"%",""))/100,IF(ISNUMBER(R392), R392, 0))</f>
        <v>0.1</v>
      </c>
      <c r="T392" t="str">
        <f>IF(S392&lt;0,"Negative discount (invalid)",IF(S392&gt;0.5,"Discount above allowed range (invalid)",IF(AND(R392="",S392=0),"Missing discount set to 0","OK")))</f>
        <v>OK</v>
      </c>
      <c r="U392">
        <v>1901.48</v>
      </c>
      <c r="V392">
        <v>1354.28</v>
      </c>
      <c r="W392">
        <v>547.20000000000005</v>
      </c>
      <c r="X392" t="s">
        <v>32</v>
      </c>
      <c r="Y392" t="s">
        <v>33</v>
      </c>
      <c r="Z392">
        <f>IF(T392="OK",P392*Q392*(1-S392),"invalid")</f>
        <v>1901.4750000000001</v>
      </c>
      <c r="AA392">
        <f>IF(Z392="N/A","N/A",Z392-V392)</f>
        <v>547.19500000000016</v>
      </c>
      <c r="AB392" s="8">
        <f>IF(Z392&lt;&gt;"N/A", AA392/Z392, "N/A")</f>
        <v>0.28777396494826391</v>
      </c>
      <c r="AC392">
        <f>MONTH(B392)</f>
        <v>6</v>
      </c>
      <c r="AD392">
        <f>YEAR(B392)</f>
        <v>2024</v>
      </c>
      <c r="AE392" s="10">
        <f t="shared" si="6"/>
        <v>4.9999999998817657E-3</v>
      </c>
      <c r="AF392" t="s">
        <v>2804</v>
      </c>
      <c r="AG392" t="s">
        <v>2811</v>
      </c>
    </row>
    <row r="393" spans="1:33">
      <c r="A393" t="s">
        <v>2213</v>
      </c>
      <c r="B393" s="4">
        <v>45485</v>
      </c>
      <c r="C393" s="4">
        <v>45492</v>
      </c>
      <c r="D393">
        <f>_xlfn.DAYS(C393,B393)</f>
        <v>7</v>
      </c>
      <c r="E393" t="s">
        <v>2804</v>
      </c>
      <c r="F393" t="s">
        <v>2214</v>
      </c>
      <c r="G393" t="s">
        <v>71</v>
      </c>
      <c r="H393" t="s">
        <v>90</v>
      </c>
      <c r="I393" t="s">
        <v>25</v>
      </c>
      <c r="J393" t="s">
        <v>122</v>
      </c>
      <c r="K393" t="s">
        <v>123</v>
      </c>
      <c r="L393" t="s">
        <v>28</v>
      </c>
      <c r="M393" t="s">
        <v>48</v>
      </c>
      <c r="N393" t="s">
        <v>2215</v>
      </c>
      <c r="O393" t="s">
        <v>31</v>
      </c>
      <c r="P393">
        <v>5</v>
      </c>
      <c r="Q393">
        <v>1559.16</v>
      </c>
      <c r="R393">
        <v>0.05</v>
      </c>
      <c r="S393">
        <f>IF(ISNUMBER(SEARCH("%",R393)), VALUE(SUBSTITUTE(R393,"%",""))/100,IF(ISNUMBER(R393), R393, 0))</f>
        <v>0.05</v>
      </c>
      <c r="T393" t="str">
        <f>IF(S393&lt;0,"Negative discount (invalid)",IF(S393&gt;0.5,"Discount above allowed range (invalid)",IF(AND(R393="",S393=0),"Missing discount set to 0","OK")))</f>
        <v>OK</v>
      </c>
      <c r="U393">
        <v>7406.01</v>
      </c>
      <c r="V393">
        <v>5941.74</v>
      </c>
      <c r="W393">
        <v>1464.27</v>
      </c>
      <c r="X393" t="s">
        <v>32</v>
      </c>
      <c r="Y393" t="s">
        <v>33</v>
      </c>
      <c r="Z393">
        <f>IF(T393="OK",P393*Q393*(1-S393),"invalid")</f>
        <v>7406.01</v>
      </c>
      <c r="AA393">
        <f>IF(Z393="N/A","N/A",Z393-V393)</f>
        <v>1464.2700000000004</v>
      </c>
      <c r="AB393" s="8">
        <f>IF(Z393&lt;&gt;"N/A", AA393/Z393, "N/A")</f>
        <v>0.19771374869869207</v>
      </c>
      <c r="AC393">
        <f>MONTH(B393)</f>
        <v>7</v>
      </c>
      <c r="AD393">
        <f>YEAR(B393)</f>
        <v>2024</v>
      </c>
      <c r="AE393" s="10">
        <f t="shared" si="6"/>
        <v>0</v>
      </c>
      <c r="AF393" t="s">
        <v>2804</v>
      </c>
      <c r="AG393" t="s">
        <v>2811</v>
      </c>
    </row>
    <row r="394" spans="1:33">
      <c r="A394" t="s">
        <v>2219</v>
      </c>
      <c r="B394" s="4">
        <v>45332</v>
      </c>
      <c r="C394" s="4">
        <v>45340</v>
      </c>
      <c r="D394">
        <f>_xlfn.DAYS(C394,B394)</f>
        <v>8</v>
      </c>
      <c r="E394" t="s">
        <v>2804</v>
      </c>
      <c r="F394" t="s">
        <v>2220</v>
      </c>
      <c r="G394" t="s">
        <v>47</v>
      </c>
      <c r="H394" t="s">
        <v>95</v>
      </c>
      <c r="I394" t="s">
        <v>63</v>
      </c>
      <c r="J394" t="s">
        <v>72</v>
      </c>
      <c r="K394" t="s">
        <v>73</v>
      </c>
      <c r="L394" t="s">
        <v>41</v>
      </c>
      <c r="M394" t="s">
        <v>66</v>
      </c>
      <c r="N394" t="s">
        <v>2221</v>
      </c>
      <c r="O394" t="s">
        <v>50</v>
      </c>
      <c r="P394">
        <v>7</v>
      </c>
      <c r="Q394">
        <v>1382.86</v>
      </c>
      <c r="R394">
        <v>0</v>
      </c>
      <c r="S394">
        <f>IF(ISNUMBER(SEARCH("%",R394)), VALUE(SUBSTITUTE(R394,"%",""))/100,IF(ISNUMBER(R394), R394, 0))</f>
        <v>0</v>
      </c>
      <c r="T394" t="str">
        <f>IF(S394&lt;0,"Negative discount (invalid)",IF(S394&gt;0.5,"Discount above allowed range (invalid)",IF(AND(R394="",S394=0),"Missing discount set to 0","OK")))</f>
        <v>OK</v>
      </c>
      <c r="U394">
        <v>9680.02</v>
      </c>
      <c r="V394">
        <v>6876.66</v>
      </c>
      <c r="W394">
        <v>2803.36</v>
      </c>
      <c r="X394" t="s">
        <v>32</v>
      </c>
      <c r="Y394" t="s">
        <v>33</v>
      </c>
      <c r="Z394">
        <f>IF(T394="OK",P394*Q394*(1-S394),"invalid")</f>
        <v>9680.0199999999986</v>
      </c>
      <c r="AA394">
        <f>IF(Z394="N/A","N/A",Z394-V394)</f>
        <v>2803.3599999999988</v>
      </c>
      <c r="AB394" s="8">
        <f>IF(Z394&lt;&gt;"N/A", AA394/Z394, "N/A")</f>
        <v>0.28960270743242256</v>
      </c>
      <c r="AC394">
        <f>MONTH(B394)</f>
        <v>2</v>
      </c>
      <c r="AD394">
        <f>YEAR(B394)</f>
        <v>2024</v>
      </c>
      <c r="AE394" s="10">
        <f t="shared" si="6"/>
        <v>1.8189894035458565E-12</v>
      </c>
      <c r="AF394" t="s">
        <v>2804</v>
      </c>
      <c r="AG394" t="s">
        <v>2811</v>
      </c>
    </row>
    <row r="395" spans="1:33">
      <c r="A395" t="s">
        <v>2236</v>
      </c>
      <c r="B395" s="4">
        <v>45541</v>
      </c>
      <c r="C395" s="4">
        <v>45544</v>
      </c>
      <c r="D395">
        <f>_xlfn.DAYS(C395,B395)</f>
        <v>3</v>
      </c>
      <c r="E395" t="s">
        <v>2804</v>
      </c>
      <c r="F395" t="s">
        <v>2237</v>
      </c>
      <c r="G395" t="s">
        <v>36</v>
      </c>
      <c r="H395" t="s">
        <v>24</v>
      </c>
      <c r="I395" t="s">
        <v>63</v>
      </c>
      <c r="J395" t="s">
        <v>64</v>
      </c>
      <c r="K395" t="s">
        <v>65</v>
      </c>
      <c r="L395" t="s">
        <v>28</v>
      </c>
      <c r="M395" t="s">
        <v>48</v>
      </c>
      <c r="N395" t="s">
        <v>2238</v>
      </c>
      <c r="O395" t="s">
        <v>44</v>
      </c>
      <c r="P395">
        <v>3</v>
      </c>
      <c r="Q395">
        <v>1972.27</v>
      </c>
      <c r="R395">
        <v>0.2</v>
      </c>
      <c r="S395">
        <f>IF(ISNUMBER(SEARCH("%",R395)), VALUE(SUBSTITUTE(R395,"%",""))/100,IF(ISNUMBER(R395), R395, 0))</f>
        <v>0.2</v>
      </c>
      <c r="T395" t="str">
        <f>IF(S395&lt;0,"Negative discount (invalid)",IF(S395&gt;0.5,"Discount above allowed range (invalid)",IF(AND(R395="",S395=0),"Missing discount set to 0","OK")))</f>
        <v>OK</v>
      </c>
      <c r="U395">
        <v>4733.45</v>
      </c>
      <c r="V395">
        <v>3672.32</v>
      </c>
      <c r="W395">
        <v>1061.1300000000001</v>
      </c>
      <c r="X395" t="s">
        <v>32</v>
      </c>
      <c r="Y395" t="s">
        <v>33</v>
      </c>
      <c r="Z395">
        <f>IF(T395="OK",P395*Q395*(1-S395),"invalid")</f>
        <v>4733.4479999999994</v>
      </c>
      <c r="AA395">
        <f>IF(Z395="N/A","N/A",Z395-V395)</f>
        <v>1061.1279999999992</v>
      </c>
      <c r="AB395" s="8">
        <f>IF(Z395&lt;&gt;"N/A", AA395/Z395, "N/A")</f>
        <v>0.22417654107534282</v>
      </c>
      <c r="AC395">
        <f>MONTH(B395)</f>
        <v>9</v>
      </c>
      <c r="AD395">
        <f>YEAR(B395)</f>
        <v>2024</v>
      </c>
      <c r="AE395" s="10">
        <f t="shared" si="6"/>
        <v>2.0000000004074536E-3</v>
      </c>
      <c r="AF395" t="s">
        <v>2804</v>
      </c>
      <c r="AG395" t="s">
        <v>2811</v>
      </c>
    </row>
    <row r="396" spans="1:33">
      <c r="A396" t="s">
        <v>2241</v>
      </c>
      <c r="B396" s="4">
        <v>45489</v>
      </c>
      <c r="C396" s="4">
        <v>45489</v>
      </c>
      <c r="D396">
        <f>_xlfn.DAYS(C396,B396)</f>
        <v>0</v>
      </c>
      <c r="E396" t="s">
        <v>2804</v>
      </c>
      <c r="F396" t="s">
        <v>2242</v>
      </c>
      <c r="G396" t="s">
        <v>89</v>
      </c>
      <c r="H396" t="s">
        <v>95</v>
      </c>
      <c r="I396" t="s">
        <v>63</v>
      </c>
      <c r="J396" t="s">
        <v>72</v>
      </c>
      <c r="K396" t="s">
        <v>73</v>
      </c>
      <c r="L396" t="s">
        <v>74</v>
      </c>
      <c r="M396" t="s">
        <v>80</v>
      </c>
      <c r="N396" t="s">
        <v>2243</v>
      </c>
      <c r="O396" t="s">
        <v>44</v>
      </c>
      <c r="P396">
        <v>4</v>
      </c>
      <c r="Q396">
        <v>4479.92</v>
      </c>
      <c r="R396">
        <v>0.15</v>
      </c>
      <c r="S396">
        <f>IF(ISNUMBER(SEARCH("%",R396)), VALUE(SUBSTITUTE(R396,"%",""))/100,IF(ISNUMBER(R396), R396, 0))</f>
        <v>0.15</v>
      </c>
      <c r="T396" t="str">
        <f>IF(S396&lt;0,"Negative discount (invalid)",IF(S396&gt;0.5,"Discount above allowed range (invalid)",IF(AND(R396="",S396=0),"Missing discount set to 0","OK")))</f>
        <v>OK</v>
      </c>
      <c r="U396">
        <v>15231.73</v>
      </c>
      <c r="V396">
        <v>12451.46</v>
      </c>
      <c r="W396">
        <v>2780.27</v>
      </c>
      <c r="X396" t="s">
        <v>32</v>
      </c>
      <c r="Y396" t="s">
        <v>33</v>
      </c>
      <c r="Z396">
        <f>IF(T396="OK",P396*Q396*(1-S396),"invalid")</f>
        <v>15231.727999999999</v>
      </c>
      <c r="AA396">
        <f>IF(Z396="N/A","N/A",Z396-V396)</f>
        <v>2780.268</v>
      </c>
      <c r="AB396" s="8">
        <f>IF(Z396&lt;&gt;"N/A", AA396/Z396, "N/A")</f>
        <v>0.1825313582280356</v>
      </c>
      <c r="AC396">
        <f>MONTH(B396)</f>
        <v>7</v>
      </c>
      <c r="AD396">
        <f>YEAR(B396)</f>
        <v>2024</v>
      </c>
      <c r="AE396" s="10">
        <f t="shared" si="6"/>
        <v>2.0000000004074536E-3</v>
      </c>
      <c r="AF396" t="s">
        <v>2804</v>
      </c>
      <c r="AG396" t="s">
        <v>2811</v>
      </c>
    </row>
    <row r="397" spans="1:33">
      <c r="A397" t="s">
        <v>2247</v>
      </c>
      <c r="B397" s="4">
        <v>45572</v>
      </c>
      <c r="C397" s="4">
        <v>45575</v>
      </c>
      <c r="D397">
        <f>_xlfn.DAYS(C397,B397)</f>
        <v>3</v>
      </c>
      <c r="E397" t="s">
        <v>2804</v>
      </c>
      <c r="F397" t="s">
        <v>2248</v>
      </c>
      <c r="G397" t="s">
        <v>71</v>
      </c>
      <c r="H397" t="s">
        <v>24</v>
      </c>
      <c r="I397" t="s">
        <v>38</v>
      </c>
      <c r="J397" t="s">
        <v>99</v>
      </c>
      <c r="K397" t="s">
        <v>100</v>
      </c>
      <c r="L397" t="s">
        <v>41</v>
      </c>
      <c r="M397" t="s">
        <v>66</v>
      </c>
      <c r="N397" t="s">
        <v>2249</v>
      </c>
      <c r="O397" t="s">
        <v>31</v>
      </c>
      <c r="P397">
        <v>9</v>
      </c>
      <c r="Q397">
        <v>481.51</v>
      </c>
      <c r="R397">
        <v>0</v>
      </c>
      <c r="S397">
        <f>IF(ISNUMBER(SEARCH("%",R397)), VALUE(SUBSTITUTE(R397,"%",""))/100,IF(ISNUMBER(R397), R397, 0))</f>
        <v>0</v>
      </c>
      <c r="T397" t="str">
        <f>IF(S397&lt;0,"Negative discount (invalid)",IF(S397&gt;0.5,"Discount above allowed range (invalid)",IF(AND(R397="",S397=0),"Missing discount set to 0","OK")))</f>
        <v>OK</v>
      </c>
      <c r="U397">
        <v>4333.59</v>
      </c>
      <c r="V397">
        <v>2533.59</v>
      </c>
      <c r="W397">
        <v>1800</v>
      </c>
      <c r="X397" t="s">
        <v>102</v>
      </c>
      <c r="Y397" t="s">
        <v>68</v>
      </c>
      <c r="Z397">
        <f>IF(T397="OK",P397*Q397*(1-S397),"invalid")</f>
        <v>4333.59</v>
      </c>
      <c r="AA397">
        <f>IF(Z397="N/A","N/A",Z397-V397)</f>
        <v>1800</v>
      </c>
      <c r="AB397" s="8">
        <f>IF(Z397&lt;&gt;"N/A", AA397/Z397, "N/A")</f>
        <v>0.41536001329152039</v>
      </c>
      <c r="AC397">
        <f>MONTH(B397)</f>
        <v>10</v>
      </c>
      <c r="AD397">
        <f>YEAR(B397)</f>
        <v>2024</v>
      </c>
      <c r="AE397" s="10">
        <f t="shared" si="6"/>
        <v>0</v>
      </c>
      <c r="AF397" t="s">
        <v>2804</v>
      </c>
      <c r="AG397" t="s">
        <v>2811</v>
      </c>
    </row>
    <row r="398" spans="1:33">
      <c r="A398" t="s">
        <v>2253</v>
      </c>
      <c r="B398" s="4">
        <v>45332</v>
      </c>
      <c r="C398" s="4">
        <v>45338</v>
      </c>
      <c r="D398">
        <f>_xlfn.DAYS(C398,B398)</f>
        <v>6</v>
      </c>
      <c r="E398" t="s">
        <v>2804</v>
      </c>
      <c r="F398" t="s">
        <v>2254</v>
      </c>
      <c r="G398" t="s">
        <v>23</v>
      </c>
      <c r="H398" t="s">
        <v>24</v>
      </c>
      <c r="I398" t="s">
        <v>63</v>
      </c>
      <c r="J398" t="s">
        <v>190</v>
      </c>
      <c r="K398" t="s">
        <v>191</v>
      </c>
      <c r="L398" t="s">
        <v>41</v>
      </c>
      <c r="M398" t="s">
        <v>57</v>
      </c>
      <c r="N398" t="s">
        <v>2255</v>
      </c>
      <c r="O398" t="s">
        <v>31</v>
      </c>
      <c r="P398">
        <v>3</v>
      </c>
      <c r="Q398">
        <v>253.43</v>
      </c>
      <c r="R398">
        <v>0</v>
      </c>
      <c r="S398">
        <f>IF(ISNUMBER(SEARCH("%",R398)), VALUE(SUBSTITUTE(R398,"%",""))/100,IF(ISNUMBER(R398), R398, 0))</f>
        <v>0</v>
      </c>
      <c r="T398" t="str">
        <f>IF(S398&lt;0,"Negative discount (invalid)",IF(S398&gt;0.5,"Discount above allowed range (invalid)",IF(AND(R398="",S398=0),"Missing discount set to 0","OK")))</f>
        <v>OK</v>
      </c>
      <c r="U398">
        <v>760.29</v>
      </c>
      <c r="V398">
        <v>497.77</v>
      </c>
      <c r="W398">
        <v>262.52</v>
      </c>
      <c r="X398" t="s">
        <v>32</v>
      </c>
      <c r="Y398" t="s">
        <v>33</v>
      </c>
      <c r="Z398">
        <f>IF(T398="OK",P398*Q398*(1-S398),"invalid")</f>
        <v>760.29</v>
      </c>
      <c r="AA398">
        <f>IF(Z398="N/A","N/A",Z398-V398)</f>
        <v>262.52</v>
      </c>
      <c r="AB398" s="8">
        <f>IF(Z398&lt;&gt;"N/A", AA398/Z398, "N/A")</f>
        <v>0.34528929750489945</v>
      </c>
      <c r="AC398">
        <f>MONTH(B398)</f>
        <v>2</v>
      </c>
      <c r="AD398">
        <f>YEAR(B398)</f>
        <v>2024</v>
      </c>
      <c r="AE398" s="10">
        <f t="shared" si="6"/>
        <v>0</v>
      </c>
      <c r="AF398" t="s">
        <v>2804</v>
      </c>
      <c r="AG398" t="s">
        <v>2811</v>
      </c>
    </row>
    <row r="399" spans="1:33">
      <c r="A399" t="s">
        <v>2259</v>
      </c>
      <c r="B399" s="4">
        <v>45308</v>
      </c>
      <c r="C399" s="4">
        <v>45314</v>
      </c>
      <c r="D399">
        <f>_xlfn.DAYS(C399,B399)</f>
        <v>6</v>
      </c>
      <c r="E399" t="s">
        <v>2804</v>
      </c>
      <c r="F399" t="s">
        <v>2260</v>
      </c>
      <c r="G399" t="s">
        <v>264</v>
      </c>
      <c r="H399" t="s">
        <v>95</v>
      </c>
      <c r="I399" t="s">
        <v>63</v>
      </c>
      <c r="J399" t="s">
        <v>180</v>
      </c>
      <c r="K399" t="s">
        <v>181</v>
      </c>
      <c r="L399" t="s">
        <v>74</v>
      </c>
      <c r="M399" t="s">
        <v>171</v>
      </c>
      <c r="N399" t="s">
        <v>2261</v>
      </c>
      <c r="O399" t="s">
        <v>59</v>
      </c>
      <c r="P399">
        <v>5</v>
      </c>
      <c r="Q399">
        <v>2018</v>
      </c>
      <c r="R399">
        <v>0.2</v>
      </c>
      <c r="S399">
        <f>IF(ISNUMBER(SEARCH("%",R399)), VALUE(SUBSTITUTE(R399,"%",""))/100,IF(ISNUMBER(R399), R399, 0))</f>
        <v>0.2</v>
      </c>
      <c r="T399" t="str">
        <f>IF(S399&lt;0,"Negative discount (invalid)",IF(S399&gt;0.5,"Discount above allowed range (invalid)",IF(AND(R399="",S399=0),"Missing discount set to 0","OK")))</f>
        <v>OK</v>
      </c>
      <c r="U399">
        <v>8072</v>
      </c>
      <c r="V399">
        <v>5379.22</v>
      </c>
      <c r="W399">
        <v>2692.78</v>
      </c>
      <c r="X399" t="s">
        <v>111</v>
      </c>
      <c r="Y399" t="s">
        <v>103</v>
      </c>
      <c r="Z399">
        <f>IF(T399="OK",P399*Q399*(1-S399),"invalid")</f>
        <v>8072</v>
      </c>
      <c r="AA399">
        <f>IF(Z399="N/A","N/A",Z399-V399)</f>
        <v>2692.7799999999997</v>
      </c>
      <c r="AB399" s="8">
        <f>IF(Z399&lt;&gt;"N/A", AA399/Z399, "N/A")</f>
        <v>0.33359514370664023</v>
      </c>
      <c r="AC399">
        <f>MONTH(B399)</f>
        <v>1</v>
      </c>
      <c r="AD399">
        <f>YEAR(B399)</f>
        <v>2024</v>
      </c>
      <c r="AE399" s="10">
        <f t="shared" si="6"/>
        <v>0</v>
      </c>
      <c r="AF399" t="s">
        <v>2804</v>
      </c>
      <c r="AG399" t="s">
        <v>2811</v>
      </c>
    </row>
    <row r="400" spans="1:33">
      <c r="A400" t="s">
        <v>2262</v>
      </c>
      <c r="B400" s="4">
        <v>45578</v>
      </c>
      <c r="C400" s="4">
        <v>45578</v>
      </c>
      <c r="D400">
        <f>_xlfn.DAYS(C400,B400)</f>
        <v>0</v>
      </c>
      <c r="E400" t="s">
        <v>2804</v>
      </c>
      <c r="F400" t="s">
        <v>2263</v>
      </c>
      <c r="G400" t="s">
        <v>128</v>
      </c>
      <c r="H400" t="s">
        <v>37</v>
      </c>
      <c r="I400" t="s">
        <v>38</v>
      </c>
      <c r="J400" t="s">
        <v>166</v>
      </c>
      <c r="K400" t="s">
        <v>167</v>
      </c>
      <c r="L400" t="s">
        <v>74</v>
      </c>
      <c r="M400" t="s">
        <v>75</v>
      </c>
      <c r="N400" t="s">
        <v>2264</v>
      </c>
      <c r="O400" t="s">
        <v>31</v>
      </c>
      <c r="P400">
        <v>8</v>
      </c>
      <c r="Q400">
        <v>3730.66</v>
      </c>
      <c r="R400">
        <v>0.05</v>
      </c>
      <c r="S400">
        <f>IF(ISNUMBER(SEARCH("%",R400)), VALUE(SUBSTITUTE(R400,"%",""))/100,IF(ISNUMBER(R400), R400, 0))</f>
        <v>0.05</v>
      </c>
      <c r="T400" t="str">
        <f>IF(S400&lt;0,"Negative discount (invalid)",IF(S400&gt;0.5,"Discount above allowed range (invalid)",IF(AND(R400="",S400=0),"Missing discount set to 0","OK")))</f>
        <v>OK</v>
      </c>
      <c r="U400">
        <v>28353.02</v>
      </c>
      <c r="V400">
        <v>19257.849999999999</v>
      </c>
      <c r="W400">
        <v>9095.17</v>
      </c>
      <c r="X400" t="s">
        <v>32</v>
      </c>
      <c r="Y400" t="s">
        <v>33</v>
      </c>
      <c r="Z400">
        <f>IF(T400="OK",P400*Q400*(1-S400),"invalid")</f>
        <v>28353.015999999996</v>
      </c>
      <c r="AA400">
        <f>IF(Z400="N/A","N/A",Z400-V400)</f>
        <v>9095.1659999999974</v>
      </c>
      <c r="AB400" s="8">
        <f>IF(Z400&lt;&gt;"N/A", AA400/Z400, "N/A")</f>
        <v>0.3207830165228277</v>
      </c>
      <c r="AC400">
        <f>MONTH(B400)</f>
        <v>10</v>
      </c>
      <c r="AD400">
        <f>YEAR(B400)</f>
        <v>2024</v>
      </c>
      <c r="AE400" s="10">
        <f t="shared" si="6"/>
        <v>4.0000000044528861E-3</v>
      </c>
      <c r="AF400" t="s">
        <v>2804</v>
      </c>
      <c r="AG400" t="s">
        <v>2811</v>
      </c>
    </row>
    <row r="401" spans="1:33">
      <c r="A401" t="s">
        <v>2265</v>
      </c>
      <c r="B401" s="4">
        <v>45295</v>
      </c>
      <c r="C401" s="4">
        <v>45298</v>
      </c>
      <c r="D401">
        <f>_xlfn.DAYS(C401,B401)</f>
        <v>3</v>
      </c>
      <c r="E401" t="s">
        <v>2804</v>
      </c>
      <c r="F401" t="s">
        <v>2266</v>
      </c>
      <c r="G401" t="s">
        <v>132</v>
      </c>
      <c r="H401" t="s">
        <v>37</v>
      </c>
      <c r="I401" t="s">
        <v>54</v>
      </c>
      <c r="J401" t="s">
        <v>175</v>
      </c>
      <c r="K401" t="s">
        <v>176</v>
      </c>
      <c r="L401" t="s">
        <v>74</v>
      </c>
      <c r="M401" t="s">
        <v>274</v>
      </c>
      <c r="N401" t="s">
        <v>2267</v>
      </c>
      <c r="O401" t="s">
        <v>50</v>
      </c>
      <c r="P401">
        <v>1</v>
      </c>
      <c r="Q401">
        <v>2363.02</v>
      </c>
      <c r="R401">
        <v>0.15</v>
      </c>
      <c r="S401">
        <f>IF(ISNUMBER(SEARCH("%",R401)), VALUE(SUBSTITUTE(R401,"%",""))/100,IF(ISNUMBER(R401), R401, 0))</f>
        <v>0.15</v>
      </c>
      <c r="T401" t="str">
        <f>IF(S401&lt;0,"Negative discount (invalid)",IF(S401&gt;0.5,"Discount above allowed range (invalid)",IF(AND(R401="",S401=0),"Missing discount set to 0","OK")))</f>
        <v>OK</v>
      </c>
      <c r="U401">
        <v>2008.57</v>
      </c>
      <c r="V401">
        <v>1194.83</v>
      </c>
      <c r="W401">
        <v>813.74</v>
      </c>
      <c r="X401" t="s">
        <v>32</v>
      </c>
      <c r="Y401" t="s">
        <v>33</v>
      </c>
      <c r="Z401">
        <f>IF(T401="OK",P401*Q401*(1-S401),"invalid")</f>
        <v>2008.567</v>
      </c>
      <c r="AA401">
        <f>IF(Z401="N/A","N/A",Z401-V401)</f>
        <v>813.73700000000008</v>
      </c>
      <c r="AB401" s="8">
        <f>IF(Z401&lt;&gt;"N/A", AA401/Z401, "N/A")</f>
        <v>0.40513311231340554</v>
      </c>
      <c r="AC401">
        <f>MONTH(B401)</f>
        <v>1</v>
      </c>
      <c r="AD401">
        <f>YEAR(B401)</f>
        <v>2024</v>
      </c>
      <c r="AE401" s="10">
        <f t="shared" si="6"/>
        <v>2.9999999999290594E-3</v>
      </c>
      <c r="AF401" t="s">
        <v>2804</v>
      </c>
      <c r="AG401" t="s">
        <v>2811</v>
      </c>
    </row>
    <row r="402" spans="1:33">
      <c r="A402" t="s">
        <v>2274</v>
      </c>
      <c r="B402" s="4">
        <v>45368</v>
      </c>
      <c r="C402" s="4">
        <v>45370</v>
      </c>
      <c r="D402">
        <f>_xlfn.DAYS(C402,B402)</f>
        <v>2</v>
      </c>
      <c r="E402" t="s">
        <v>2804</v>
      </c>
      <c r="F402" t="s">
        <v>2275</v>
      </c>
      <c r="G402" t="s">
        <v>62</v>
      </c>
      <c r="H402" t="s">
        <v>90</v>
      </c>
      <c r="I402" t="s">
        <v>38</v>
      </c>
      <c r="J402" t="s">
        <v>39</v>
      </c>
      <c r="K402" t="s">
        <v>40</v>
      </c>
      <c r="L402" t="s">
        <v>28</v>
      </c>
      <c r="M402" t="s">
        <v>153</v>
      </c>
      <c r="N402" t="s">
        <v>2276</v>
      </c>
      <c r="O402" t="s">
        <v>50</v>
      </c>
      <c r="P402">
        <v>4</v>
      </c>
      <c r="Q402">
        <v>4376.68</v>
      </c>
      <c r="R402">
        <v>0.1</v>
      </c>
      <c r="S402">
        <f>IF(ISNUMBER(SEARCH("%",R402)), VALUE(SUBSTITUTE(R402,"%",""))/100,IF(ISNUMBER(R402), R402, 0))</f>
        <v>0.1</v>
      </c>
      <c r="T402" t="str">
        <f>IF(S402&lt;0,"Negative discount (invalid)",IF(S402&gt;0.5,"Discount above allowed range (invalid)",IF(AND(R402="",S402=0),"Missing discount set to 0","OK")))</f>
        <v>OK</v>
      </c>
      <c r="U402">
        <v>15756.05</v>
      </c>
      <c r="V402">
        <v>10245.44</v>
      </c>
      <c r="W402">
        <v>5510.61</v>
      </c>
      <c r="X402" t="s">
        <v>32</v>
      </c>
      <c r="Y402" t="s">
        <v>33</v>
      </c>
      <c r="Z402">
        <f>IF(T402="OK",P402*Q402*(1-S402),"invalid")</f>
        <v>15756.048000000001</v>
      </c>
      <c r="AA402">
        <f>IF(Z402="N/A","N/A",Z402-V402)</f>
        <v>5510.6080000000002</v>
      </c>
      <c r="AB402" s="8">
        <f>IF(Z402&lt;&gt;"N/A", AA402/Z402, "N/A")</f>
        <v>0.3497455707167178</v>
      </c>
      <c r="AC402">
        <f>MONTH(B402)</f>
        <v>3</v>
      </c>
      <c r="AD402">
        <f>YEAR(B402)</f>
        <v>2024</v>
      </c>
      <c r="AE402" s="10">
        <f t="shared" si="6"/>
        <v>1.9999999985884642E-3</v>
      </c>
      <c r="AF402" t="s">
        <v>2804</v>
      </c>
      <c r="AG402" t="s">
        <v>2811</v>
      </c>
    </row>
    <row r="403" spans="1:33">
      <c r="A403" t="s">
        <v>2277</v>
      </c>
      <c r="B403" s="4">
        <v>45624</v>
      </c>
      <c r="C403" s="4">
        <v>45632</v>
      </c>
      <c r="D403">
        <f>_xlfn.DAYS(C403,B403)</f>
        <v>8</v>
      </c>
      <c r="E403" t="s">
        <v>2804</v>
      </c>
      <c r="F403" t="s">
        <v>2278</v>
      </c>
      <c r="G403" t="s">
        <v>53</v>
      </c>
      <c r="H403" t="s">
        <v>37</v>
      </c>
      <c r="I403" t="s">
        <v>25</v>
      </c>
      <c r="J403" t="s">
        <v>122</v>
      </c>
      <c r="K403" t="s">
        <v>123</v>
      </c>
      <c r="L403" t="s">
        <v>74</v>
      </c>
      <c r="M403" t="s">
        <v>171</v>
      </c>
      <c r="N403" t="s">
        <v>2279</v>
      </c>
      <c r="O403" t="s">
        <v>59</v>
      </c>
      <c r="P403">
        <v>6</v>
      </c>
      <c r="Q403">
        <v>2464.63</v>
      </c>
      <c r="R403">
        <v>0</v>
      </c>
      <c r="S403">
        <f>IF(ISNUMBER(SEARCH("%",R403)), VALUE(SUBSTITUTE(R403,"%",""))/100,IF(ISNUMBER(R403), R403, 0))</f>
        <v>0</v>
      </c>
      <c r="T403" t="str">
        <f>IF(S403&lt;0,"Negative discount (invalid)",IF(S403&gt;0.5,"Discount above allowed range (invalid)",IF(AND(R403="",S403=0),"Missing discount set to 0","OK")))</f>
        <v>OK</v>
      </c>
      <c r="U403">
        <v>14787.78</v>
      </c>
      <c r="V403">
        <v>8596.65</v>
      </c>
      <c r="W403">
        <v>6191.13</v>
      </c>
      <c r="X403" t="s">
        <v>32</v>
      </c>
      <c r="Y403" t="s">
        <v>33</v>
      </c>
      <c r="Z403">
        <f>IF(T403="OK",P403*Q403*(1-S403),"invalid")</f>
        <v>14787.78</v>
      </c>
      <c r="AA403">
        <f>IF(Z403="N/A","N/A",Z403-V403)</f>
        <v>6191.130000000001</v>
      </c>
      <c r="AB403" s="8">
        <f>IF(Z403&lt;&gt;"N/A", AA403/Z403, "N/A")</f>
        <v>0.41866527632950995</v>
      </c>
      <c r="AC403">
        <f>MONTH(B403)</f>
        <v>11</v>
      </c>
      <c r="AD403">
        <f>YEAR(B403)</f>
        <v>2024</v>
      </c>
      <c r="AE403" s="10">
        <f t="shared" si="6"/>
        <v>0</v>
      </c>
      <c r="AF403" t="s">
        <v>2804</v>
      </c>
      <c r="AG403" t="s">
        <v>2811</v>
      </c>
    </row>
    <row r="404" spans="1:33">
      <c r="A404" t="s">
        <v>2280</v>
      </c>
      <c r="B404" s="4">
        <v>45464</v>
      </c>
      <c r="C404" s="4">
        <v>45471</v>
      </c>
      <c r="D404">
        <f>_xlfn.DAYS(C404,B404)</f>
        <v>7</v>
      </c>
      <c r="E404" t="s">
        <v>2804</v>
      </c>
      <c r="F404" t="s">
        <v>2281</v>
      </c>
      <c r="G404" t="s">
        <v>128</v>
      </c>
      <c r="H404" t="s">
        <v>95</v>
      </c>
      <c r="I404" t="s">
        <v>25</v>
      </c>
      <c r="J404" t="s">
        <v>26</v>
      </c>
      <c r="K404" t="s">
        <v>27</v>
      </c>
      <c r="L404" t="s">
        <v>41</v>
      </c>
      <c r="M404" t="s">
        <v>57</v>
      </c>
      <c r="N404" t="s">
        <v>2282</v>
      </c>
      <c r="O404" t="s">
        <v>50</v>
      </c>
      <c r="P404">
        <v>9</v>
      </c>
      <c r="Q404">
        <v>2797.96</v>
      </c>
      <c r="R404">
        <v>0</v>
      </c>
      <c r="S404">
        <f>IF(ISNUMBER(SEARCH("%",R404)), VALUE(SUBSTITUTE(R404,"%",""))/100,IF(ISNUMBER(R404), R404, 0))</f>
        <v>0</v>
      </c>
      <c r="T404" t="str">
        <f>IF(S404&lt;0,"Negative discount (invalid)",IF(S404&gt;0.5,"Discount above allowed range (invalid)",IF(AND(R404="",S404=0),"Missing discount set to 0","OK")))</f>
        <v>OK</v>
      </c>
      <c r="U404">
        <v>25181.64</v>
      </c>
      <c r="V404">
        <v>15337.9</v>
      </c>
      <c r="W404">
        <v>9843.74</v>
      </c>
      <c r="X404" t="s">
        <v>32</v>
      </c>
      <c r="Y404" t="s">
        <v>33</v>
      </c>
      <c r="Z404">
        <f>IF(T404="OK",P404*Q404*(1-S404),"invalid")</f>
        <v>25181.64</v>
      </c>
      <c r="AA404">
        <f>IF(Z404="N/A","N/A",Z404-V404)</f>
        <v>9843.74</v>
      </c>
      <c r="AB404" s="8">
        <f>IF(Z404&lt;&gt;"N/A", AA404/Z404, "N/A")</f>
        <v>0.39090940860086953</v>
      </c>
      <c r="AC404">
        <f>MONTH(B404)</f>
        <v>6</v>
      </c>
      <c r="AD404">
        <f>YEAR(B404)</f>
        <v>2024</v>
      </c>
      <c r="AE404" s="10">
        <f t="shared" si="6"/>
        <v>0</v>
      </c>
      <c r="AF404" t="s">
        <v>2804</v>
      </c>
      <c r="AG404" t="s">
        <v>2811</v>
      </c>
    </row>
    <row r="405" spans="1:33">
      <c r="A405" t="s">
        <v>2283</v>
      </c>
      <c r="B405" s="4">
        <v>45528</v>
      </c>
      <c r="C405" s="4">
        <v>45528</v>
      </c>
      <c r="D405">
        <f>_xlfn.DAYS(C405,B405)</f>
        <v>0</v>
      </c>
      <c r="E405" t="s">
        <v>2804</v>
      </c>
      <c r="F405" t="s">
        <v>2284</v>
      </c>
      <c r="G405" t="s">
        <v>62</v>
      </c>
      <c r="H405" t="s">
        <v>37</v>
      </c>
      <c r="I405" t="s">
        <v>25</v>
      </c>
      <c r="J405" t="s">
        <v>26</v>
      </c>
      <c r="K405" t="s">
        <v>27</v>
      </c>
      <c r="L405" t="s">
        <v>74</v>
      </c>
      <c r="M405" t="s">
        <v>75</v>
      </c>
      <c r="N405" t="s">
        <v>2285</v>
      </c>
      <c r="O405" t="s">
        <v>50</v>
      </c>
      <c r="P405">
        <v>4</v>
      </c>
      <c r="Q405">
        <v>2761.86</v>
      </c>
      <c r="R405">
        <v>0.2</v>
      </c>
      <c r="S405">
        <f>IF(ISNUMBER(SEARCH("%",R405)), VALUE(SUBSTITUTE(R405,"%",""))/100,IF(ISNUMBER(R405), R405, 0))</f>
        <v>0.2</v>
      </c>
      <c r="T405" t="str">
        <f>IF(S405&lt;0,"Negative discount (invalid)",IF(S405&gt;0.5,"Discount above allowed range (invalid)",IF(AND(R405="",S405=0),"Missing discount set to 0","OK")))</f>
        <v>OK</v>
      </c>
      <c r="U405">
        <v>8837.9500000000007</v>
      </c>
      <c r="V405">
        <v>6157.27</v>
      </c>
      <c r="W405">
        <v>2680.68</v>
      </c>
      <c r="X405" t="s">
        <v>32</v>
      </c>
      <c r="Y405" t="s">
        <v>33</v>
      </c>
      <c r="Z405">
        <f>IF(T405="OK",P405*Q405*(1-S405),"invalid")</f>
        <v>8837.9520000000011</v>
      </c>
      <c r="AA405">
        <f>IF(Z405="N/A","N/A",Z405-V405)</f>
        <v>2680.6820000000007</v>
      </c>
      <c r="AB405" s="8">
        <f>IF(Z405&lt;&gt;"N/A", AA405/Z405, "N/A")</f>
        <v>0.30331484036120587</v>
      </c>
      <c r="AC405">
        <f>MONTH(B405)</f>
        <v>8</v>
      </c>
      <c r="AD405">
        <f>YEAR(B405)</f>
        <v>2024</v>
      </c>
      <c r="AE405" s="10">
        <f t="shared" si="6"/>
        <v>2.0000000004074536E-3</v>
      </c>
      <c r="AF405" t="s">
        <v>2804</v>
      </c>
      <c r="AG405" t="s">
        <v>2811</v>
      </c>
    </row>
    <row r="406" spans="1:33">
      <c r="A406" t="s">
        <v>2286</v>
      </c>
      <c r="B406" s="4">
        <v>45515</v>
      </c>
      <c r="C406" s="4">
        <v>45523</v>
      </c>
      <c r="D406">
        <f>_xlfn.DAYS(C406,B406)</f>
        <v>8</v>
      </c>
      <c r="E406" t="s">
        <v>2804</v>
      </c>
      <c r="F406" t="s">
        <v>2287</v>
      </c>
      <c r="G406" t="s">
        <v>36</v>
      </c>
      <c r="H406" t="s">
        <v>24</v>
      </c>
      <c r="I406" t="s">
        <v>63</v>
      </c>
      <c r="J406" t="s">
        <v>64</v>
      </c>
      <c r="K406" t="s">
        <v>65</v>
      </c>
      <c r="L406" t="s">
        <v>41</v>
      </c>
      <c r="M406" t="s">
        <v>42</v>
      </c>
      <c r="N406" t="s">
        <v>2288</v>
      </c>
      <c r="O406" t="s">
        <v>59</v>
      </c>
      <c r="P406">
        <v>6</v>
      </c>
      <c r="Q406">
        <v>1515.79</v>
      </c>
      <c r="R406">
        <v>0.2</v>
      </c>
      <c r="S406">
        <f>IF(ISNUMBER(SEARCH("%",R406)), VALUE(SUBSTITUTE(R406,"%",""))/100,IF(ISNUMBER(R406), R406, 0))</f>
        <v>0.2</v>
      </c>
      <c r="T406" t="str">
        <f>IF(S406&lt;0,"Negative discount (invalid)",IF(S406&gt;0.5,"Discount above allowed range (invalid)",IF(AND(R406="",S406=0),"Missing discount set to 0","OK")))</f>
        <v>OK</v>
      </c>
      <c r="U406">
        <v>7275.79</v>
      </c>
      <c r="V406">
        <v>6152.87</v>
      </c>
      <c r="W406">
        <v>1122.92</v>
      </c>
      <c r="X406" t="s">
        <v>32</v>
      </c>
      <c r="Y406" t="s">
        <v>33</v>
      </c>
      <c r="Z406">
        <f>IF(T406="OK",P406*Q406*(1-S406),"invalid")</f>
        <v>7275.7920000000004</v>
      </c>
      <c r="AA406">
        <f>IF(Z406="N/A","N/A",Z406-V406)</f>
        <v>1122.9220000000005</v>
      </c>
      <c r="AB406" s="8">
        <f>IF(Z406&lt;&gt;"N/A", AA406/Z406, "N/A")</f>
        <v>0.15433673749881804</v>
      </c>
      <c r="AC406">
        <f>MONTH(B406)</f>
        <v>8</v>
      </c>
      <c r="AD406">
        <f>YEAR(B406)</f>
        <v>2024</v>
      </c>
      <c r="AE406" s="10">
        <f t="shared" si="6"/>
        <v>2.0000000004074536E-3</v>
      </c>
      <c r="AF406" t="s">
        <v>2804</v>
      </c>
      <c r="AG406" t="s">
        <v>2811</v>
      </c>
    </row>
    <row r="407" spans="1:33">
      <c r="A407" t="s">
        <v>2289</v>
      </c>
      <c r="B407" s="4">
        <v>45632</v>
      </c>
      <c r="C407" s="4">
        <v>45635</v>
      </c>
      <c r="D407">
        <f>_xlfn.DAYS(C407,B407)</f>
        <v>3</v>
      </c>
      <c r="E407" t="s">
        <v>2804</v>
      </c>
      <c r="F407" t="s">
        <v>2290</v>
      </c>
      <c r="G407" t="s">
        <v>89</v>
      </c>
      <c r="H407" t="s">
        <v>24</v>
      </c>
      <c r="I407" t="s">
        <v>63</v>
      </c>
      <c r="J407" t="s">
        <v>64</v>
      </c>
      <c r="K407" t="s">
        <v>65</v>
      </c>
      <c r="L407" t="s">
        <v>41</v>
      </c>
      <c r="M407" t="s">
        <v>66</v>
      </c>
      <c r="N407" t="s">
        <v>2291</v>
      </c>
      <c r="O407" t="s">
        <v>31</v>
      </c>
      <c r="P407">
        <v>9</v>
      </c>
      <c r="Q407">
        <v>290.75</v>
      </c>
      <c r="R407">
        <v>0.1</v>
      </c>
      <c r="S407">
        <f>IF(ISNUMBER(SEARCH("%",R407)), VALUE(SUBSTITUTE(R407,"%",""))/100,IF(ISNUMBER(R407), R407, 0))</f>
        <v>0.1</v>
      </c>
      <c r="T407" t="str">
        <f>IF(S407&lt;0,"Negative discount (invalid)",IF(S407&gt;0.5,"Discount above allowed range (invalid)",IF(AND(R407="",S407=0),"Missing discount set to 0","OK")))</f>
        <v>OK</v>
      </c>
      <c r="U407">
        <v>2355.08</v>
      </c>
      <c r="V407">
        <v>1350.03</v>
      </c>
      <c r="W407">
        <v>1005.05</v>
      </c>
      <c r="X407" t="s">
        <v>32</v>
      </c>
      <c r="Y407" t="s">
        <v>33</v>
      </c>
      <c r="Z407">
        <f>IF(T407="OK",P407*Q407*(1-S407),"invalid")</f>
        <v>2355.0750000000003</v>
      </c>
      <c r="AA407">
        <f>IF(Z407="N/A","N/A",Z407-V407)</f>
        <v>1005.0450000000003</v>
      </c>
      <c r="AB407" s="8">
        <f>IF(Z407&lt;&gt;"N/A", AA407/Z407, "N/A")</f>
        <v>0.42675710964618968</v>
      </c>
      <c r="AC407">
        <f>MONTH(B407)</f>
        <v>12</v>
      </c>
      <c r="AD407">
        <f>YEAR(B407)</f>
        <v>2024</v>
      </c>
      <c r="AE407" s="10">
        <f t="shared" si="6"/>
        <v>4.999999999654392E-3</v>
      </c>
      <c r="AF407" t="s">
        <v>2804</v>
      </c>
      <c r="AG407" t="s">
        <v>2811</v>
      </c>
    </row>
    <row r="408" spans="1:33">
      <c r="A408" t="s">
        <v>2292</v>
      </c>
      <c r="B408" s="4">
        <v>45332</v>
      </c>
      <c r="C408" s="4">
        <v>45332</v>
      </c>
      <c r="D408">
        <f>_xlfn.DAYS(C408,B408)</f>
        <v>0</v>
      </c>
      <c r="E408" t="s">
        <v>2804</v>
      </c>
      <c r="F408" t="s">
        <v>2293</v>
      </c>
      <c r="G408" t="s">
        <v>47</v>
      </c>
      <c r="H408" t="s">
        <v>95</v>
      </c>
      <c r="I408" t="s">
        <v>63</v>
      </c>
      <c r="J408" t="s">
        <v>64</v>
      </c>
      <c r="K408" t="s">
        <v>65</v>
      </c>
      <c r="L408" t="s">
        <v>41</v>
      </c>
      <c r="M408" t="s">
        <v>66</v>
      </c>
      <c r="N408" t="s">
        <v>2294</v>
      </c>
      <c r="O408" t="s">
        <v>44</v>
      </c>
      <c r="P408">
        <v>6</v>
      </c>
      <c r="Q408">
        <v>601.52</v>
      </c>
      <c r="R408">
        <v>0</v>
      </c>
      <c r="S408">
        <f>IF(ISNUMBER(SEARCH("%",R408)), VALUE(SUBSTITUTE(R408,"%",""))/100,IF(ISNUMBER(R408), R408, 0))</f>
        <v>0</v>
      </c>
      <c r="T408" t="str">
        <f>IF(S408&lt;0,"Negative discount (invalid)",IF(S408&gt;0.5,"Discount above allowed range (invalid)",IF(AND(R408="",S408=0),"Missing discount set to 0","OK")))</f>
        <v>OK</v>
      </c>
      <c r="U408">
        <v>3609.12</v>
      </c>
      <c r="V408">
        <v>2645.5</v>
      </c>
      <c r="W408">
        <v>963.62</v>
      </c>
      <c r="X408" t="s">
        <v>32</v>
      </c>
      <c r="Y408" t="s">
        <v>33</v>
      </c>
      <c r="Z408">
        <f>IF(T408="OK",P408*Q408*(1-S408),"invalid")</f>
        <v>3609.12</v>
      </c>
      <c r="AA408">
        <f>IF(Z408="N/A","N/A",Z408-V408)</f>
        <v>963.61999999999989</v>
      </c>
      <c r="AB408" s="8">
        <f>IF(Z408&lt;&gt;"N/A", AA408/Z408, "N/A")</f>
        <v>0.2669958327791816</v>
      </c>
      <c r="AC408">
        <f>MONTH(B408)</f>
        <v>2</v>
      </c>
      <c r="AD408">
        <f>YEAR(B408)</f>
        <v>2024</v>
      </c>
      <c r="AE408" s="10">
        <f t="shared" si="6"/>
        <v>0</v>
      </c>
      <c r="AF408" t="s">
        <v>2804</v>
      </c>
      <c r="AG408" t="s">
        <v>2811</v>
      </c>
    </row>
    <row r="409" spans="1:33">
      <c r="A409" t="s">
        <v>2298</v>
      </c>
      <c r="B409" s="4">
        <v>45629</v>
      </c>
      <c r="C409" s="4">
        <v>45636</v>
      </c>
      <c r="D409">
        <f>_xlfn.DAYS(C409,B409)</f>
        <v>7</v>
      </c>
      <c r="E409" t="s">
        <v>2804</v>
      </c>
      <c r="F409" t="s">
        <v>2299</v>
      </c>
      <c r="G409" t="s">
        <v>79</v>
      </c>
      <c r="H409" t="s">
        <v>90</v>
      </c>
      <c r="I409" t="s">
        <v>25</v>
      </c>
      <c r="J409" t="s">
        <v>26</v>
      </c>
      <c r="K409" t="s">
        <v>27</v>
      </c>
      <c r="L409" t="s">
        <v>74</v>
      </c>
      <c r="M409" t="s">
        <v>171</v>
      </c>
      <c r="N409" t="s">
        <v>2300</v>
      </c>
      <c r="O409" t="s">
        <v>59</v>
      </c>
      <c r="P409">
        <v>5</v>
      </c>
      <c r="Q409">
        <v>2393.86</v>
      </c>
      <c r="R409">
        <v>0.05</v>
      </c>
      <c r="S409">
        <f>IF(ISNUMBER(SEARCH("%",R409)), VALUE(SUBSTITUTE(R409,"%",""))/100,IF(ISNUMBER(R409), R409, 0))</f>
        <v>0.05</v>
      </c>
      <c r="T409" t="str">
        <f>IF(S409&lt;0,"Negative discount (invalid)",IF(S409&gt;0.5,"Discount above allowed range (invalid)",IF(AND(R409="",S409=0),"Missing discount set to 0","OK")))</f>
        <v>OK</v>
      </c>
      <c r="U409">
        <v>11370.84</v>
      </c>
      <c r="V409">
        <v>7469.58</v>
      </c>
      <c r="W409">
        <v>3901.26</v>
      </c>
      <c r="X409" t="s">
        <v>32</v>
      </c>
      <c r="Y409" t="s">
        <v>33</v>
      </c>
      <c r="Z409">
        <f>IF(T409="OK",P409*Q409*(1-S409),"invalid")</f>
        <v>11370.835000000001</v>
      </c>
      <c r="AA409">
        <f>IF(Z409="N/A","N/A",Z409-V409)</f>
        <v>3901.255000000001</v>
      </c>
      <c r="AB409" s="8">
        <f>IF(Z409&lt;&gt;"N/A", AA409/Z409, "N/A")</f>
        <v>0.34309309738466881</v>
      </c>
      <c r="AC409">
        <f>MONTH(B409)</f>
        <v>12</v>
      </c>
      <c r="AD409">
        <f>YEAR(B409)</f>
        <v>2024</v>
      </c>
      <c r="AE409" s="10">
        <f t="shared" si="6"/>
        <v>4.9999999991996447E-3</v>
      </c>
      <c r="AF409" t="s">
        <v>2804</v>
      </c>
      <c r="AG409" t="s">
        <v>2811</v>
      </c>
    </row>
    <row r="410" spans="1:33">
      <c r="A410" t="s">
        <v>2301</v>
      </c>
      <c r="B410" s="4">
        <v>45384</v>
      </c>
      <c r="C410" s="4">
        <v>45384</v>
      </c>
      <c r="D410">
        <f>_xlfn.DAYS(C410,B410)</f>
        <v>0</v>
      </c>
      <c r="E410" t="s">
        <v>2804</v>
      </c>
      <c r="F410" t="s">
        <v>523</v>
      </c>
      <c r="G410" t="s">
        <v>132</v>
      </c>
      <c r="H410" t="s">
        <v>37</v>
      </c>
      <c r="I410" t="s">
        <v>63</v>
      </c>
      <c r="J410" t="s">
        <v>64</v>
      </c>
      <c r="K410" t="s">
        <v>65</v>
      </c>
      <c r="L410" t="s">
        <v>41</v>
      </c>
      <c r="M410" t="s">
        <v>66</v>
      </c>
      <c r="N410" t="s">
        <v>2302</v>
      </c>
      <c r="O410" t="s">
        <v>50</v>
      </c>
      <c r="P410">
        <v>4</v>
      </c>
      <c r="Q410">
        <v>2583</v>
      </c>
      <c r="R410">
        <v>0.1</v>
      </c>
      <c r="S410">
        <f>IF(ISNUMBER(SEARCH("%",R410)), VALUE(SUBSTITUTE(R410,"%",""))/100,IF(ISNUMBER(R410), R410, 0))</f>
        <v>0.1</v>
      </c>
      <c r="T410" t="str">
        <f>IF(S410&lt;0,"Negative discount (invalid)",IF(S410&gt;0.5,"Discount above allowed range (invalid)",IF(AND(R410="",S410=0),"Missing discount set to 0","OK")))</f>
        <v>OK</v>
      </c>
      <c r="U410">
        <v>9298.7999999999993</v>
      </c>
      <c r="V410">
        <v>6548.5</v>
      </c>
      <c r="W410">
        <v>2750.3</v>
      </c>
      <c r="X410" t="s">
        <v>32</v>
      </c>
      <c r="Y410" t="s">
        <v>33</v>
      </c>
      <c r="Z410">
        <f>IF(T410="OK",P410*Q410*(1-S410),"invalid")</f>
        <v>9298.8000000000011</v>
      </c>
      <c r="AA410">
        <f>IF(Z410="N/A","N/A",Z410-V410)</f>
        <v>2750.3000000000011</v>
      </c>
      <c r="AB410" s="8">
        <f>IF(Z410&lt;&gt;"N/A", AA410/Z410, "N/A")</f>
        <v>0.29576934658235482</v>
      </c>
      <c r="AC410">
        <f>MONTH(B410)</f>
        <v>4</v>
      </c>
      <c r="AD410">
        <f>YEAR(B410)</f>
        <v>2024</v>
      </c>
      <c r="AE410" s="10">
        <f t="shared" si="6"/>
        <v>1.8189894035458565E-12</v>
      </c>
      <c r="AF410" t="s">
        <v>2804</v>
      </c>
      <c r="AG410" t="s">
        <v>2811</v>
      </c>
    </row>
    <row r="411" spans="1:33">
      <c r="A411" t="s">
        <v>2306</v>
      </c>
      <c r="B411" s="4">
        <v>45580</v>
      </c>
      <c r="C411" s="4">
        <v>45587</v>
      </c>
      <c r="D411">
        <f>_xlfn.DAYS(C411,B411)</f>
        <v>7</v>
      </c>
      <c r="E411" t="s">
        <v>2804</v>
      </c>
      <c r="F411" t="s">
        <v>2307</v>
      </c>
      <c r="G411" t="s">
        <v>23</v>
      </c>
      <c r="H411" t="s">
        <v>90</v>
      </c>
      <c r="I411" t="s">
        <v>38</v>
      </c>
      <c r="J411" t="s">
        <v>39</v>
      </c>
      <c r="K411" t="s">
        <v>40</v>
      </c>
      <c r="L411" t="s">
        <v>28</v>
      </c>
      <c r="M411" t="s">
        <v>29</v>
      </c>
      <c r="N411" t="s">
        <v>2308</v>
      </c>
      <c r="O411" t="s">
        <v>59</v>
      </c>
      <c r="P411">
        <v>4</v>
      </c>
      <c r="Q411">
        <v>2260.9499999999998</v>
      </c>
      <c r="R411">
        <v>0</v>
      </c>
      <c r="S411">
        <f>IF(ISNUMBER(SEARCH("%",R411)), VALUE(SUBSTITUTE(R411,"%",""))/100,IF(ISNUMBER(R411), R411, 0))</f>
        <v>0</v>
      </c>
      <c r="T411" t="str">
        <f>IF(S411&lt;0,"Negative discount (invalid)",IF(S411&gt;0.5,"Discount above allowed range (invalid)",IF(AND(R411="",S411=0),"Missing discount set to 0","OK")))</f>
        <v>OK</v>
      </c>
      <c r="U411">
        <v>9043.7999999999993</v>
      </c>
      <c r="V411">
        <v>5913.38</v>
      </c>
      <c r="W411">
        <v>3130.42</v>
      </c>
      <c r="X411" t="s">
        <v>32</v>
      </c>
      <c r="Y411" t="s">
        <v>33</v>
      </c>
      <c r="Z411">
        <f>IF(T411="OK",P411*Q411*(1-S411),"invalid")</f>
        <v>9043.7999999999993</v>
      </c>
      <c r="AA411">
        <f>IF(Z411="N/A","N/A",Z411-V411)</f>
        <v>3130.4199999999992</v>
      </c>
      <c r="AB411" s="8">
        <f>IF(Z411&lt;&gt;"N/A", AA411/Z411, "N/A")</f>
        <v>0.34613989694597397</v>
      </c>
      <c r="AC411">
        <f>MONTH(B411)</f>
        <v>10</v>
      </c>
      <c r="AD411">
        <f>YEAR(B411)</f>
        <v>2024</v>
      </c>
      <c r="AE411" s="10">
        <f t="shared" si="6"/>
        <v>0</v>
      </c>
      <c r="AF411" t="s">
        <v>2804</v>
      </c>
      <c r="AG411" t="s">
        <v>2811</v>
      </c>
    </row>
    <row r="412" spans="1:33">
      <c r="A412" t="s">
        <v>2315</v>
      </c>
      <c r="B412" s="4">
        <v>45589</v>
      </c>
      <c r="C412" s="4">
        <v>45593</v>
      </c>
      <c r="D412">
        <f>_xlfn.DAYS(C412,B412)</f>
        <v>4</v>
      </c>
      <c r="E412" t="s">
        <v>2804</v>
      </c>
      <c r="F412" t="s">
        <v>2316</v>
      </c>
      <c r="G412" t="s">
        <v>36</v>
      </c>
      <c r="H412" t="s">
        <v>37</v>
      </c>
      <c r="I412" t="s">
        <v>38</v>
      </c>
      <c r="J412" t="s">
        <v>166</v>
      </c>
      <c r="K412" t="s">
        <v>167</v>
      </c>
      <c r="L412" t="s">
        <v>74</v>
      </c>
      <c r="M412" t="s">
        <v>80</v>
      </c>
      <c r="N412" t="s">
        <v>2317</v>
      </c>
      <c r="O412" t="s">
        <v>59</v>
      </c>
      <c r="P412">
        <v>3</v>
      </c>
      <c r="Q412">
        <v>723.59</v>
      </c>
      <c r="R412">
        <v>0.2</v>
      </c>
      <c r="S412">
        <f>IF(ISNUMBER(SEARCH("%",R412)), VALUE(SUBSTITUTE(R412,"%",""))/100,IF(ISNUMBER(R412), R412, 0))</f>
        <v>0.2</v>
      </c>
      <c r="T412" t="str">
        <f>IF(S412&lt;0,"Negative discount (invalid)",IF(S412&gt;0.5,"Discount above allowed range (invalid)",IF(AND(R412="",S412=0),"Missing discount set to 0","OK")))</f>
        <v>OK</v>
      </c>
      <c r="U412">
        <v>1736.62</v>
      </c>
      <c r="V412">
        <v>1059.52</v>
      </c>
      <c r="W412">
        <v>677.1</v>
      </c>
      <c r="X412" t="s">
        <v>32</v>
      </c>
      <c r="Y412" t="s">
        <v>33</v>
      </c>
      <c r="Z412">
        <f>IF(T412="OK",P412*Q412*(1-S412),"invalid")</f>
        <v>1736.616</v>
      </c>
      <c r="AA412">
        <f>IF(Z412="N/A","N/A",Z412-V412)</f>
        <v>677.096</v>
      </c>
      <c r="AB412" s="8">
        <f>IF(Z412&lt;&gt;"N/A", AA412/Z412, "N/A")</f>
        <v>0.38989390861307277</v>
      </c>
      <c r="AC412">
        <f>MONTH(B412)</f>
        <v>10</v>
      </c>
      <c r="AD412">
        <f>YEAR(B412)</f>
        <v>2024</v>
      </c>
      <c r="AE412" s="10">
        <f t="shared" si="6"/>
        <v>3.9999999999054126E-3</v>
      </c>
      <c r="AF412" t="s">
        <v>2804</v>
      </c>
      <c r="AG412" t="s">
        <v>2811</v>
      </c>
    </row>
    <row r="413" spans="1:33">
      <c r="A413" t="s">
        <v>2320</v>
      </c>
      <c r="B413" s="4">
        <v>45413</v>
      </c>
      <c r="C413" s="4">
        <v>45419</v>
      </c>
      <c r="D413">
        <f>_xlfn.DAYS(C413,B413)</f>
        <v>6</v>
      </c>
      <c r="E413" t="s">
        <v>2804</v>
      </c>
      <c r="F413" t="s">
        <v>2321</v>
      </c>
      <c r="G413" t="s">
        <v>47</v>
      </c>
      <c r="H413" t="s">
        <v>95</v>
      </c>
      <c r="I413" t="s">
        <v>38</v>
      </c>
      <c r="J413" t="s">
        <v>39</v>
      </c>
      <c r="K413" t="s">
        <v>40</v>
      </c>
      <c r="L413" t="s">
        <v>28</v>
      </c>
      <c r="M413" t="s">
        <v>29</v>
      </c>
      <c r="N413" t="s">
        <v>2322</v>
      </c>
      <c r="O413" t="s">
        <v>44</v>
      </c>
      <c r="P413">
        <v>8</v>
      </c>
      <c r="Q413">
        <v>1473.83</v>
      </c>
      <c r="R413">
        <v>0.15</v>
      </c>
      <c r="S413">
        <f>IF(ISNUMBER(SEARCH("%",R413)), VALUE(SUBSTITUTE(R413,"%",""))/100,IF(ISNUMBER(R413), R413, 0))</f>
        <v>0.15</v>
      </c>
      <c r="T413" t="str">
        <f>IF(S413&lt;0,"Negative discount (invalid)",IF(S413&gt;0.5,"Discount above allowed range (invalid)",IF(AND(R413="",S413=0),"Missing discount set to 0","OK")))</f>
        <v>OK</v>
      </c>
      <c r="U413">
        <v>10022.040000000001</v>
      </c>
      <c r="V413">
        <v>5576.98</v>
      </c>
      <c r="W413">
        <v>4445.0600000000004</v>
      </c>
      <c r="X413" t="s">
        <v>32</v>
      </c>
      <c r="Y413" t="s">
        <v>33</v>
      </c>
      <c r="Z413">
        <f>IF(T413="OK",P413*Q413*(1-S413),"invalid")</f>
        <v>10022.044</v>
      </c>
      <c r="AA413">
        <f>IF(Z413="N/A","N/A",Z413-V413)</f>
        <v>4445.0640000000003</v>
      </c>
      <c r="AB413" s="8">
        <f>IF(Z413&lt;&gt;"N/A", AA413/Z413, "N/A")</f>
        <v>0.44352868536597928</v>
      </c>
      <c r="AC413">
        <f>MONTH(B413)</f>
        <v>5</v>
      </c>
      <c r="AD413">
        <f>YEAR(B413)</f>
        <v>2024</v>
      </c>
      <c r="AE413" s="10">
        <f t="shared" si="6"/>
        <v>3.9999999989959178E-3</v>
      </c>
      <c r="AF413" t="s">
        <v>2804</v>
      </c>
      <c r="AG413" t="s">
        <v>2811</v>
      </c>
    </row>
    <row r="414" spans="1:33">
      <c r="A414" t="s">
        <v>2323</v>
      </c>
      <c r="B414" s="4">
        <v>45442</v>
      </c>
      <c r="C414" s="4">
        <v>45442</v>
      </c>
      <c r="D414">
        <f>_xlfn.DAYS(C414,B414)</f>
        <v>0</v>
      </c>
      <c r="E414" t="s">
        <v>2804</v>
      </c>
      <c r="F414" t="s">
        <v>2324</v>
      </c>
      <c r="G414" t="s">
        <v>162</v>
      </c>
      <c r="H414" t="s">
        <v>95</v>
      </c>
      <c r="I414" t="s">
        <v>25</v>
      </c>
      <c r="J414" t="s">
        <v>236</v>
      </c>
      <c r="K414" t="s">
        <v>237</v>
      </c>
      <c r="L414" t="s">
        <v>74</v>
      </c>
      <c r="M414" t="s">
        <v>171</v>
      </c>
      <c r="N414" t="s">
        <v>2325</v>
      </c>
      <c r="O414" t="s">
        <v>31</v>
      </c>
      <c r="P414">
        <v>1</v>
      </c>
      <c r="Q414">
        <v>3848.04</v>
      </c>
      <c r="R414">
        <v>0.25</v>
      </c>
      <c r="S414">
        <f>IF(ISNUMBER(SEARCH("%",R414)), VALUE(SUBSTITUTE(R414,"%",""))/100,IF(ISNUMBER(R414), R414, 0))</f>
        <v>0.25</v>
      </c>
      <c r="T414" t="str">
        <f>IF(S414&lt;0,"Negative discount (invalid)",IF(S414&gt;0.5,"Discount above allowed range (invalid)",IF(AND(R414="",S414=0),"Missing discount set to 0","OK")))</f>
        <v>OK</v>
      </c>
      <c r="U414">
        <v>2886.03</v>
      </c>
      <c r="V414">
        <v>2064.83</v>
      </c>
      <c r="W414">
        <v>821.2</v>
      </c>
      <c r="X414" t="s">
        <v>32</v>
      </c>
      <c r="Y414" t="s">
        <v>33</v>
      </c>
      <c r="Z414">
        <f>IF(T414="OK",P414*Q414*(1-S414),"invalid")</f>
        <v>2886.0299999999997</v>
      </c>
      <c r="AA414">
        <f>IF(Z414="N/A","N/A",Z414-V414)</f>
        <v>821.19999999999982</v>
      </c>
      <c r="AB414" s="8">
        <f>IF(Z414&lt;&gt;"N/A", AA414/Z414, "N/A")</f>
        <v>0.28454312671732446</v>
      </c>
      <c r="AC414">
        <f>MONTH(B414)</f>
        <v>5</v>
      </c>
      <c r="AD414">
        <f>YEAR(B414)</f>
        <v>2024</v>
      </c>
      <c r="AE414" s="10">
        <f t="shared" si="6"/>
        <v>4.5474735088646412E-13</v>
      </c>
      <c r="AF414" t="s">
        <v>2804</v>
      </c>
      <c r="AG414" t="s">
        <v>2811</v>
      </c>
    </row>
    <row r="415" spans="1:33">
      <c r="A415" t="s">
        <v>2326</v>
      </c>
      <c r="B415" s="4">
        <v>45372</v>
      </c>
      <c r="C415" s="4">
        <v>45376</v>
      </c>
      <c r="D415">
        <f>_xlfn.DAYS(C415,B415)</f>
        <v>4</v>
      </c>
      <c r="E415" t="s">
        <v>2804</v>
      </c>
      <c r="F415" t="s">
        <v>2327</v>
      </c>
      <c r="G415" t="s">
        <v>89</v>
      </c>
      <c r="H415" t="s">
        <v>95</v>
      </c>
      <c r="I415" t="s">
        <v>38</v>
      </c>
      <c r="J415" t="s">
        <v>166</v>
      </c>
      <c r="K415" t="s">
        <v>167</v>
      </c>
      <c r="L415" t="s">
        <v>74</v>
      </c>
      <c r="M415" t="s">
        <v>274</v>
      </c>
      <c r="N415" t="s">
        <v>2328</v>
      </c>
      <c r="O415" t="s">
        <v>59</v>
      </c>
      <c r="P415">
        <v>1</v>
      </c>
      <c r="Q415">
        <v>1716.7</v>
      </c>
      <c r="R415">
        <v>0.15</v>
      </c>
      <c r="S415">
        <f>IF(ISNUMBER(SEARCH("%",R415)), VALUE(SUBSTITUTE(R415,"%",""))/100,IF(ISNUMBER(R415), R415, 0))</f>
        <v>0.15</v>
      </c>
      <c r="T415" t="str">
        <f>IF(S415&lt;0,"Negative discount (invalid)",IF(S415&gt;0.5,"Discount above allowed range (invalid)",IF(AND(R415="",S415=0),"Missing discount set to 0","OK")))</f>
        <v>OK</v>
      </c>
      <c r="U415">
        <v>1459.19</v>
      </c>
      <c r="V415">
        <v>1055.79</v>
      </c>
      <c r="W415">
        <v>403.4</v>
      </c>
      <c r="X415" t="s">
        <v>32</v>
      </c>
      <c r="Y415" t="s">
        <v>33</v>
      </c>
      <c r="Z415">
        <f>IF(T415="OK",P415*Q415*(1-S415),"invalid")</f>
        <v>1459.1949999999999</v>
      </c>
      <c r="AA415">
        <f>IF(Z415="N/A","N/A",Z415-V415)</f>
        <v>403.40499999999997</v>
      </c>
      <c r="AB415" s="8">
        <f>IF(Z415&lt;&gt;"N/A", AA415/Z415, "N/A")</f>
        <v>0.27645722470266137</v>
      </c>
      <c r="AC415">
        <f>MONTH(B415)</f>
        <v>3</v>
      </c>
      <c r="AD415">
        <f>YEAR(B415)</f>
        <v>2024</v>
      </c>
      <c r="AE415" s="10">
        <f t="shared" si="6"/>
        <v>4.9999999998817657E-3</v>
      </c>
      <c r="AF415" t="s">
        <v>2804</v>
      </c>
      <c r="AG415" t="s">
        <v>2811</v>
      </c>
    </row>
    <row r="416" spans="1:33">
      <c r="A416" t="s">
        <v>2335</v>
      </c>
      <c r="B416" s="4">
        <v>45375</v>
      </c>
      <c r="C416" s="4">
        <v>45378</v>
      </c>
      <c r="D416">
        <f>_xlfn.DAYS(C416,B416)</f>
        <v>3</v>
      </c>
      <c r="E416" t="s">
        <v>2804</v>
      </c>
      <c r="F416" t="s">
        <v>2336</v>
      </c>
      <c r="G416" t="s">
        <v>89</v>
      </c>
      <c r="H416" t="s">
        <v>90</v>
      </c>
      <c r="I416" t="s">
        <v>63</v>
      </c>
      <c r="J416" t="s">
        <v>180</v>
      </c>
      <c r="K416" t="s">
        <v>181</v>
      </c>
      <c r="L416" t="s">
        <v>28</v>
      </c>
      <c r="M416" t="s">
        <v>124</v>
      </c>
      <c r="N416" t="s">
        <v>2337</v>
      </c>
      <c r="O416" t="s">
        <v>50</v>
      </c>
      <c r="P416">
        <v>5</v>
      </c>
      <c r="Q416">
        <v>2465.2199999999998</v>
      </c>
      <c r="R416">
        <v>0.05</v>
      </c>
      <c r="S416">
        <f>IF(ISNUMBER(SEARCH("%",R416)), VALUE(SUBSTITUTE(R416,"%",""))/100,IF(ISNUMBER(R416), R416, 0))</f>
        <v>0.05</v>
      </c>
      <c r="T416" t="str">
        <f>IF(S416&lt;0,"Negative discount (invalid)",IF(S416&gt;0.5,"Discount above allowed range (invalid)",IF(AND(R416="",S416=0),"Missing discount set to 0","OK")))</f>
        <v>OK</v>
      </c>
      <c r="U416">
        <v>11709.79</v>
      </c>
      <c r="V416">
        <v>8372.2900000000009</v>
      </c>
      <c r="W416">
        <v>3337.5</v>
      </c>
      <c r="X416" t="s">
        <v>32</v>
      </c>
      <c r="Y416" t="s">
        <v>33</v>
      </c>
      <c r="Z416">
        <f>IF(T416="OK",P416*Q416*(1-S416),"invalid")</f>
        <v>11709.794999999998</v>
      </c>
      <c r="AA416">
        <f>IF(Z416="N/A","N/A",Z416-V416)</f>
        <v>3337.5049999999974</v>
      </c>
      <c r="AB416" s="8">
        <f>IF(Z416&lt;&gt;"N/A", AA416/Z416, "N/A")</f>
        <v>0.28501822619439521</v>
      </c>
      <c r="AC416">
        <f>MONTH(B416)</f>
        <v>3</v>
      </c>
      <c r="AD416">
        <f>YEAR(B416)</f>
        <v>2024</v>
      </c>
      <c r="AE416" s="10">
        <f t="shared" si="6"/>
        <v>4.9999999973806553E-3</v>
      </c>
      <c r="AF416" t="s">
        <v>2804</v>
      </c>
      <c r="AG416" t="s">
        <v>2811</v>
      </c>
    </row>
    <row r="417" spans="1:33">
      <c r="A417" t="s">
        <v>2338</v>
      </c>
      <c r="B417" s="4">
        <v>45515</v>
      </c>
      <c r="C417" s="4">
        <v>45514</v>
      </c>
      <c r="D417">
        <f>_xlfn.DAYS(C417,B417)</f>
        <v>-1</v>
      </c>
      <c r="E417" t="str">
        <f>IF(B417="INVALID","Missing/Invalid order_date", IF(C417="INVALID","Missing/Invalid ship_date",IF(AND(B417&lt;&gt;"",C417&lt;&gt;"",C417&lt;B417),"Ship date before order date","")))</f>
        <v>Ship date before order date</v>
      </c>
      <c r="F417" t="s">
        <v>2339</v>
      </c>
      <c r="G417" t="s">
        <v>89</v>
      </c>
      <c r="H417" t="s">
        <v>90</v>
      </c>
      <c r="I417" t="s">
        <v>25</v>
      </c>
      <c r="J417" t="s">
        <v>350</v>
      </c>
      <c r="K417" t="s">
        <v>351</v>
      </c>
      <c r="L417" t="s">
        <v>41</v>
      </c>
      <c r="M417" t="s">
        <v>57</v>
      </c>
      <c r="N417" t="s">
        <v>2340</v>
      </c>
      <c r="O417" t="s">
        <v>31</v>
      </c>
      <c r="P417">
        <v>3</v>
      </c>
      <c r="Q417">
        <v>1017.22</v>
      </c>
      <c r="R417">
        <v>0.15</v>
      </c>
      <c r="S417">
        <f>IF(ISNUMBER(SEARCH("%",R417)), VALUE(SUBSTITUTE(R417,"%",""))/100,IF(ISNUMBER(R417), R417, 0))</f>
        <v>0.15</v>
      </c>
      <c r="T417" t="str">
        <f>IF(S417&lt;0,"Negative discount (invalid)",IF(S417&gt;0.5,"Discount above allowed range (invalid)",IF(AND(R417="",S417=0),"Missing discount set to 0","OK")))</f>
        <v>OK</v>
      </c>
      <c r="U417">
        <v>2593.91</v>
      </c>
      <c r="V417">
        <v>1848.48</v>
      </c>
      <c r="W417">
        <v>745.43</v>
      </c>
      <c r="X417" t="s">
        <v>155</v>
      </c>
      <c r="Y417" t="s">
        <v>103</v>
      </c>
      <c r="Z417">
        <f>IF(T417="OK",P417*Q417*(1-S417),"invalid")</f>
        <v>2593.9109999999996</v>
      </c>
      <c r="AA417">
        <f>IF(Z417="N/A","N/A",Z417-V417)</f>
        <v>745.43099999999959</v>
      </c>
      <c r="AB417" s="8">
        <f>IF(Z417&lt;&gt;"N/A", AA417/Z417, "N/A")</f>
        <v>0.28737724617382776</v>
      </c>
      <c r="AC417">
        <f>MONTH(B417)</f>
        <v>8</v>
      </c>
      <c r="AD417">
        <f>YEAR(B417)</f>
        <v>2024</v>
      </c>
      <c r="AE417" s="10">
        <f t="shared" si="6"/>
        <v>9.9999999974897946E-4</v>
      </c>
      <c r="AF417" t="s">
        <v>2806</v>
      </c>
      <c r="AG417" t="s">
        <v>2789</v>
      </c>
    </row>
    <row r="418" spans="1:33">
      <c r="A418" t="s">
        <v>2347</v>
      </c>
      <c r="B418" s="4">
        <v>45592</v>
      </c>
      <c r="C418" s="4">
        <v>45597</v>
      </c>
      <c r="D418">
        <f>_xlfn.DAYS(C418,B418)</f>
        <v>5</v>
      </c>
      <c r="E418" t="s">
        <v>2804</v>
      </c>
      <c r="F418" t="s">
        <v>2348</v>
      </c>
      <c r="G418" t="s">
        <v>141</v>
      </c>
      <c r="H418" t="s">
        <v>24</v>
      </c>
      <c r="I418" t="s">
        <v>25</v>
      </c>
      <c r="J418" t="s">
        <v>26</v>
      </c>
      <c r="K418" t="s">
        <v>27</v>
      </c>
      <c r="L418" t="s">
        <v>74</v>
      </c>
      <c r="M418" t="s">
        <v>75</v>
      </c>
      <c r="N418" t="s">
        <v>2349</v>
      </c>
      <c r="O418" t="s">
        <v>44</v>
      </c>
      <c r="P418">
        <v>7</v>
      </c>
      <c r="Q418">
        <v>2177.1</v>
      </c>
      <c r="R418">
        <v>0.2</v>
      </c>
      <c r="S418">
        <f>IF(ISNUMBER(SEARCH("%",R418)), VALUE(SUBSTITUTE(R418,"%",""))/100,IF(ISNUMBER(R418), R418, 0))</f>
        <v>0.2</v>
      </c>
      <c r="T418" t="str">
        <f>IF(S418&lt;0,"Negative discount (invalid)",IF(S418&gt;0.5,"Discount above allowed range (invalid)",IF(AND(R418="",S418=0),"Missing discount set to 0","OK")))</f>
        <v>OK</v>
      </c>
      <c r="U418">
        <v>12191.76</v>
      </c>
      <c r="V418">
        <v>10457.49</v>
      </c>
      <c r="W418">
        <v>1734.27</v>
      </c>
      <c r="X418" t="s">
        <v>32</v>
      </c>
      <c r="Y418" t="s">
        <v>103</v>
      </c>
      <c r="Z418">
        <f>IF(T418="OK",P418*Q418*(1-S418),"invalid")</f>
        <v>12191.76</v>
      </c>
      <c r="AA418">
        <f>IF(Z418="N/A","N/A",Z418-V418)</f>
        <v>1734.2700000000004</v>
      </c>
      <c r="AB418" s="8">
        <f>IF(Z418&lt;&gt;"N/A", AA418/Z418, "N/A")</f>
        <v>0.14224935530226976</v>
      </c>
      <c r="AC418">
        <f>MONTH(B418)</f>
        <v>10</v>
      </c>
      <c r="AD418">
        <f>YEAR(B418)</f>
        <v>2024</v>
      </c>
      <c r="AE418" s="10">
        <f t="shared" si="6"/>
        <v>0</v>
      </c>
      <c r="AF418" t="s">
        <v>2804</v>
      </c>
      <c r="AG418" t="s">
        <v>2811</v>
      </c>
    </row>
    <row r="419" spans="1:33">
      <c r="A419" t="s">
        <v>2353</v>
      </c>
      <c r="B419" s="4">
        <v>45414</v>
      </c>
      <c r="C419" s="4">
        <v>45422</v>
      </c>
      <c r="D419">
        <f>_xlfn.DAYS(C419,B419)</f>
        <v>8</v>
      </c>
      <c r="E419" t="s">
        <v>2804</v>
      </c>
      <c r="F419" t="s">
        <v>2354</v>
      </c>
      <c r="G419" t="s">
        <v>128</v>
      </c>
      <c r="H419" t="s">
        <v>37</v>
      </c>
      <c r="I419" t="s">
        <v>54</v>
      </c>
      <c r="J419" t="s">
        <v>175</v>
      </c>
      <c r="K419" t="s">
        <v>176</v>
      </c>
      <c r="L419" t="s">
        <v>41</v>
      </c>
      <c r="M419" t="s">
        <v>66</v>
      </c>
      <c r="N419" t="s">
        <v>2355</v>
      </c>
      <c r="O419" t="s">
        <v>59</v>
      </c>
      <c r="P419">
        <v>1</v>
      </c>
      <c r="Q419">
        <v>4166.91</v>
      </c>
      <c r="R419">
        <v>0</v>
      </c>
      <c r="S419">
        <f>IF(ISNUMBER(SEARCH("%",R419)), VALUE(SUBSTITUTE(R419,"%",""))/100,IF(ISNUMBER(R419), R419, 0))</f>
        <v>0</v>
      </c>
      <c r="T419" t="str">
        <f>IF(S419&lt;0,"Negative discount (invalid)",IF(S419&gt;0.5,"Discount above allowed range (invalid)",IF(AND(R419="",S419=0),"Missing discount set to 0","OK")))</f>
        <v>OK</v>
      </c>
      <c r="U419">
        <v>4166.91</v>
      </c>
      <c r="V419">
        <v>3412.63</v>
      </c>
      <c r="W419">
        <v>754.28</v>
      </c>
      <c r="X419" t="s">
        <v>32</v>
      </c>
      <c r="Y419" t="s">
        <v>33</v>
      </c>
      <c r="Z419">
        <f>IF(T419="OK",P419*Q419*(1-S419),"invalid")</f>
        <v>4166.91</v>
      </c>
      <c r="AA419">
        <f>IF(Z419="N/A","N/A",Z419-V419)</f>
        <v>754.27999999999975</v>
      </c>
      <c r="AB419" s="8">
        <f>IF(Z419&lt;&gt;"N/A", AA419/Z419, "N/A")</f>
        <v>0.18101662862888801</v>
      </c>
      <c r="AC419">
        <f>MONTH(B419)</f>
        <v>5</v>
      </c>
      <c r="AD419">
        <f>YEAR(B419)</f>
        <v>2024</v>
      </c>
      <c r="AE419" s="10">
        <f t="shared" si="6"/>
        <v>0</v>
      </c>
      <c r="AF419" t="s">
        <v>2804</v>
      </c>
      <c r="AG419" t="s">
        <v>2811</v>
      </c>
    </row>
    <row r="420" spans="1:33">
      <c r="A420" t="s">
        <v>2356</v>
      </c>
      <c r="B420" s="4">
        <v>45492</v>
      </c>
      <c r="C420" s="4">
        <v>45499</v>
      </c>
      <c r="D420">
        <f>_xlfn.DAYS(C420,B420)</f>
        <v>7</v>
      </c>
      <c r="E420" t="s">
        <v>2804</v>
      </c>
      <c r="F420" t="s">
        <v>2357</v>
      </c>
      <c r="G420" t="s">
        <v>53</v>
      </c>
      <c r="H420" t="s">
        <v>95</v>
      </c>
      <c r="I420" t="s">
        <v>54</v>
      </c>
      <c r="J420" t="s">
        <v>175</v>
      </c>
      <c r="K420" t="s">
        <v>176</v>
      </c>
      <c r="L420" t="s">
        <v>41</v>
      </c>
      <c r="M420" t="s">
        <v>42</v>
      </c>
      <c r="N420" t="s">
        <v>2358</v>
      </c>
      <c r="O420" t="s">
        <v>31</v>
      </c>
      <c r="P420">
        <v>5</v>
      </c>
      <c r="Q420">
        <v>3986.01</v>
      </c>
      <c r="R420">
        <v>0.25</v>
      </c>
      <c r="S420">
        <f>IF(ISNUMBER(SEARCH("%",R420)), VALUE(SUBSTITUTE(R420,"%",""))/100,IF(ISNUMBER(R420), R420, 0))</f>
        <v>0.25</v>
      </c>
      <c r="T420" t="str">
        <f>IF(S420&lt;0,"Negative discount (invalid)",IF(S420&gt;0.5,"Discount above allowed range (invalid)",IF(AND(R420="",S420=0),"Missing discount set to 0","OK")))</f>
        <v>OK</v>
      </c>
      <c r="U420">
        <v>14947.54</v>
      </c>
      <c r="V420">
        <v>9438.4599999999991</v>
      </c>
      <c r="W420">
        <v>5509.08</v>
      </c>
      <c r="X420" t="s">
        <v>32</v>
      </c>
      <c r="Y420" t="s">
        <v>33</v>
      </c>
      <c r="Z420">
        <f>IF(T420="OK",P420*Q420*(1-S420),"invalid")</f>
        <v>14947.537500000002</v>
      </c>
      <c r="AA420">
        <f>IF(Z420="N/A","N/A",Z420-V420)</f>
        <v>5509.0775000000031</v>
      </c>
      <c r="AB420" s="8">
        <f>IF(Z420&lt;&gt;"N/A", AA420/Z420, "N/A")</f>
        <v>0.36856087499362367</v>
      </c>
      <c r="AC420">
        <f>MONTH(B420)</f>
        <v>7</v>
      </c>
      <c r="AD420">
        <f>YEAR(B420)</f>
        <v>2024</v>
      </c>
      <c r="AE420" s="10">
        <f t="shared" si="6"/>
        <v>2.4999999986903276E-3</v>
      </c>
      <c r="AF420" t="s">
        <v>2804</v>
      </c>
      <c r="AG420" t="s">
        <v>2811</v>
      </c>
    </row>
    <row r="421" spans="1:33">
      <c r="A421" t="s">
        <v>2359</v>
      </c>
      <c r="B421" s="4">
        <v>45532</v>
      </c>
      <c r="C421" s="4">
        <v>45537</v>
      </c>
      <c r="D421">
        <f>_xlfn.DAYS(C421,B421)</f>
        <v>5</v>
      </c>
      <c r="E421" t="s">
        <v>2804</v>
      </c>
      <c r="F421" t="s">
        <v>2360</v>
      </c>
      <c r="G421" t="s">
        <v>89</v>
      </c>
      <c r="H421" t="s">
        <v>95</v>
      </c>
      <c r="I421" t="s">
        <v>38</v>
      </c>
      <c r="J421" t="s">
        <v>166</v>
      </c>
      <c r="K421" t="s">
        <v>167</v>
      </c>
      <c r="L421" t="s">
        <v>28</v>
      </c>
      <c r="M421" t="s">
        <v>48</v>
      </c>
      <c r="N421" t="s">
        <v>2361</v>
      </c>
      <c r="O421" t="s">
        <v>31</v>
      </c>
      <c r="P421">
        <v>4</v>
      </c>
      <c r="Q421">
        <v>3365.53</v>
      </c>
      <c r="R421">
        <v>0</v>
      </c>
      <c r="S421">
        <f>IF(ISNUMBER(SEARCH("%",R421)), VALUE(SUBSTITUTE(R421,"%",""))/100,IF(ISNUMBER(R421), R421, 0))</f>
        <v>0</v>
      </c>
      <c r="T421" t="str">
        <f>IF(S421&lt;0,"Negative discount (invalid)",IF(S421&gt;0.5,"Discount above allowed range (invalid)",IF(AND(R421="",S421=0),"Missing discount set to 0","OK")))</f>
        <v>OK</v>
      </c>
      <c r="U421">
        <v>13462.12</v>
      </c>
      <c r="V421">
        <v>7600.63</v>
      </c>
      <c r="W421">
        <v>5861.49</v>
      </c>
      <c r="X421" t="s">
        <v>111</v>
      </c>
      <c r="Y421" t="s">
        <v>103</v>
      </c>
      <c r="Z421">
        <f>IF(T421="OK",P421*Q421*(1-S421),"invalid")</f>
        <v>13462.12</v>
      </c>
      <c r="AA421">
        <f>IF(Z421="N/A","N/A",Z421-V421)</f>
        <v>5861.4900000000007</v>
      </c>
      <c r="AB421" s="8">
        <f>IF(Z421&lt;&gt;"N/A", AA421/Z421, "N/A")</f>
        <v>0.43540616188237813</v>
      </c>
      <c r="AC421">
        <f>MONTH(B421)</f>
        <v>8</v>
      </c>
      <c r="AD421">
        <f>YEAR(B421)</f>
        <v>2024</v>
      </c>
      <c r="AE421" s="10">
        <f t="shared" si="6"/>
        <v>0</v>
      </c>
      <c r="AF421" t="s">
        <v>2804</v>
      </c>
      <c r="AG421" t="s">
        <v>2811</v>
      </c>
    </row>
    <row r="422" spans="1:33">
      <c r="A422" t="s">
        <v>2365</v>
      </c>
      <c r="B422" s="4">
        <v>45292</v>
      </c>
      <c r="C422" s="4">
        <v>45296</v>
      </c>
      <c r="D422">
        <f>_xlfn.DAYS(C422,B422)</f>
        <v>4</v>
      </c>
      <c r="E422" t="s">
        <v>2804</v>
      </c>
      <c r="F422" t="s">
        <v>2366</v>
      </c>
      <c r="G422" t="s">
        <v>162</v>
      </c>
      <c r="H422" t="s">
        <v>90</v>
      </c>
      <c r="I422" t="s">
        <v>63</v>
      </c>
      <c r="J422" t="s">
        <v>72</v>
      </c>
      <c r="K422" t="s">
        <v>73</v>
      </c>
      <c r="L422" t="s">
        <v>74</v>
      </c>
      <c r="M422" t="s">
        <v>274</v>
      </c>
      <c r="N422" t="s">
        <v>2367</v>
      </c>
      <c r="O422" t="s">
        <v>31</v>
      </c>
      <c r="P422">
        <v>2</v>
      </c>
      <c r="Q422">
        <v>3694.12</v>
      </c>
      <c r="R422">
        <v>0.2</v>
      </c>
      <c r="S422">
        <f>IF(ISNUMBER(SEARCH("%",R422)), VALUE(SUBSTITUTE(R422,"%",""))/100,IF(ISNUMBER(R422), R422, 0))</f>
        <v>0.2</v>
      </c>
      <c r="T422" t="str">
        <f>IF(S422&lt;0,"Negative discount (invalid)",IF(S422&gt;0.5,"Discount above allowed range (invalid)",IF(AND(R422="",S422=0),"Missing discount set to 0","OK")))</f>
        <v>OK</v>
      </c>
      <c r="U422">
        <v>5910.59</v>
      </c>
      <c r="V422">
        <v>4775.4399999999996</v>
      </c>
      <c r="W422">
        <v>1135.1500000000001</v>
      </c>
      <c r="X422" t="s">
        <v>102</v>
      </c>
      <c r="Y422" t="s">
        <v>103</v>
      </c>
      <c r="Z422">
        <f>IF(T422="OK",P422*Q422*(1-S422),"invalid")</f>
        <v>5910.5920000000006</v>
      </c>
      <c r="AA422">
        <f>IF(Z422="N/A","N/A",Z422-V422)</f>
        <v>1135.152000000001</v>
      </c>
      <c r="AB422" s="8">
        <f>IF(Z422&lt;&gt;"N/A", AA422/Z422, "N/A")</f>
        <v>0.19205385856442145</v>
      </c>
      <c r="AC422">
        <f>MONTH(B422)</f>
        <v>1</v>
      </c>
      <c r="AD422">
        <f>YEAR(B422)</f>
        <v>2024</v>
      </c>
      <c r="AE422" s="10">
        <f t="shared" si="6"/>
        <v>2.0000000004074536E-3</v>
      </c>
      <c r="AF422" t="s">
        <v>2804</v>
      </c>
      <c r="AG422" t="s">
        <v>2811</v>
      </c>
    </row>
    <row r="423" spans="1:33">
      <c r="A423" t="s">
        <v>2376</v>
      </c>
      <c r="B423" s="4">
        <v>45552</v>
      </c>
      <c r="C423" s="4">
        <v>45559</v>
      </c>
      <c r="D423">
        <f>_xlfn.DAYS(C423,B423)</f>
        <v>7</v>
      </c>
      <c r="E423" t="s">
        <v>2804</v>
      </c>
      <c r="F423" t="s">
        <v>2377</v>
      </c>
      <c r="G423" t="s">
        <v>36</v>
      </c>
      <c r="H423" t="s">
        <v>90</v>
      </c>
      <c r="I423" t="s">
        <v>63</v>
      </c>
      <c r="J423" t="s">
        <v>180</v>
      </c>
      <c r="K423" t="s">
        <v>181</v>
      </c>
      <c r="L423" t="s">
        <v>28</v>
      </c>
      <c r="M423" t="s">
        <v>48</v>
      </c>
      <c r="N423" t="s">
        <v>2378</v>
      </c>
      <c r="O423" t="s">
        <v>31</v>
      </c>
      <c r="P423">
        <v>9</v>
      </c>
      <c r="Q423">
        <v>2307.96</v>
      </c>
      <c r="R423">
        <v>0.2</v>
      </c>
      <c r="S423">
        <f>IF(ISNUMBER(SEARCH("%",R423)), VALUE(SUBSTITUTE(R423,"%",""))/100,IF(ISNUMBER(R423), R423, 0))</f>
        <v>0.2</v>
      </c>
      <c r="T423" t="str">
        <f>IF(S423&lt;0,"Negative discount (invalid)",IF(S423&gt;0.5,"Discount above allowed range (invalid)",IF(AND(R423="",S423=0),"Missing discount set to 0","OK")))</f>
        <v>OK</v>
      </c>
      <c r="U423">
        <v>16617.310000000001</v>
      </c>
      <c r="V423">
        <v>9195.73</v>
      </c>
      <c r="W423">
        <v>7421.58</v>
      </c>
      <c r="X423" t="s">
        <v>32</v>
      </c>
      <c r="Y423" t="s">
        <v>68</v>
      </c>
      <c r="Z423">
        <f>IF(T423="OK",P423*Q423*(1-S423),"invalid")</f>
        <v>16617.312000000002</v>
      </c>
      <c r="AA423">
        <f>IF(Z423="N/A","N/A",Z423-V423)</f>
        <v>7421.5820000000022</v>
      </c>
      <c r="AB423" s="8">
        <f>IF(Z423&lt;&gt;"N/A", AA423/Z423, "N/A")</f>
        <v>0.44661747940942564</v>
      </c>
      <c r="AC423">
        <f>MONTH(B423)</f>
        <v>9</v>
      </c>
      <c r="AD423">
        <f>YEAR(B423)</f>
        <v>2024</v>
      </c>
      <c r="AE423" s="10">
        <f t="shared" si="6"/>
        <v>2.0000000004074536E-3</v>
      </c>
      <c r="AF423" t="s">
        <v>2804</v>
      </c>
      <c r="AG423" t="s">
        <v>2811</v>
      </c>
    </row>
    <row r="424" spans="1:33">
      <c r="A424" t="s">
        <v>2379</v>
      </c>
      <c r="B424" s="4">
        <v>45415</v>
      </c>
      <c r="C424" s="4">
        <v>45418</v>
      </c>
      <c r="D424">
        <f>_xlfn.DAYS(C424,B424)</f>
        <v>3</v>
      </c>
      <c r="E424" t="s">
        <v>2804</v>
      </c>
      <c r="F424" t="s">
        <v>2380</v>
      </c>
      <c r="G424" t="s">
        <v>62</v>
      </c>
      <c r="H424" t="s">
        <v>95</v>
      </c>
      <c r="I424" t="s">
        <v>25</v>
      </c>
      <c r="J424" t="s">
        <v>136</v>
      </c>
      <c r="K424" t="s">
        <v>137</v>
      </c>
      <c r="L424" t="s">
        <v>28</v>
      </c>
      <c r="M424" t="s">
        <v>153</v>
      </c>
      <c r="N424" t="s">
        <v>2381</v>
      </c>
      <c r="O424" t="s">
        <v>59</v>
      </c>
      <c r="P424">
        <v>1</v>
      </c>
      <c r="Q424">
        <v>1244.58</v>
      </c>
      <c r="R424">
        <v>0.25</v>
      </c>
      <c r="S424">
        <f>IF(ISNUMBER(SEARCH("%",R424)), VALUE(SUBSTITUTE(R424,"%",""))/100,IF(ISNUMBER(R424), R424, 0))</f>
        <v>0.25</v>
      </c>
      <c r="T424" t="str">
        <f>IF(S424&lt;0,"Negative discount (invalid)",IF(S424&gt;0.5,"Discount above allowed range (invalid)",IF(AND(R424="",S424=0),"Missing discount set to 0","OK")))</f>
        <v>OK</v>
      </c>
      <c r="U424">
        <v>933.43</v>
      </c>
      <c r="V424">
        <v>583.09</v>
      </c>
      <c r="W424">
        <v>350.34</v>
      </c>
      <c r="X424" t="s">
        <v>32</v>
      </c>
      <c r="Y424" t="s">
        <v>33</v>
      </c>
      <c r="Z424">
        <f>IF(T424="OK",P424*Q424*(1-S424),"invalid")</f>
        <v>933.43499999999995</v>
      </c>
      <c r="AA424">
        <f>IF(Z424="N/A","N/A",Z424-V424)</f>
        <v>350.34499999999991</v>
      </c>
      <c r="AB424" s="8">
        <f>IF(Z424&lt;&gt;"N/A", AA424/Z424, "N/A")</f>
        <v>0.3753287588316272</v>
      </c>
      <c r="AC424">
        <f>MONTH(B424)</f>
        <v>5</v>
      </c>
      <c r="AD424">
        <f>YEAR(B424)</f>
        <v>2024</v>
      </c>
      <c r="AE424" s="10">
        <f t="shared" si="6"/>
        <v>4.9999999999954525E-3</v>
      </c>
      <c r="AF424" t="s">
        <v>2804</v>
      </c>
      <c r="AG424" t="s">
        <v>2811</v>
      </c>
    </row>
    <row r="425" spans="1:33">
      <c r="A425" t="s">
        <v>2385</v>
      </c>
      <c r="B425" s="4">
        <v>45423</v>
      </c>
      <c r="C425" s="4">
        <v>45425</v>
      </c>
      <c r="D425">
        <f>_xlfn.DAYS(C425,B425)</f>
        <v>2</v>
      </c>
      <c r="E425" t="s">
        <v>2804</v>
      </c>
      <c r="F425" t="s">
        <v>2386</v>
      </c>
      <c r="G425" t="s">
        <v>114</v>
      </c>
      <c r="H425" t="s">
        <v>95</v>
      </c>
      <c r="I425" t="s">
        <v>63</v>
      </c>
      <c r="J425" t="s">
        <v>190</v>
      </c>
      <c r="K425" t="s">
        <v>191</v>
      </c>
      <c r="L425" t="s">
        <v>41</v>
      </c>
      <c r="M425" t="s">
        <v>158</v>
      </c>
      <c r="N425" t="s">
        <v>2387</v>
      </c>
      <c r="O425" t="s">
        <v>44</v>
      </c>
      <c r="P425">
        <v>3</v>
      </c>
      <c r="Q425">
        <v>3612.75</v>
      </c>
      <c r="R425">
        <v>0.25</v>
      </c>
      <c r="S425">
        <f>IF(ISNUMBER(SEARCH("%",R425)), VALUE(SUBSTITUTE(R425,"%",""))/100,IF(ISNUMBER(R425), R425, 0))</f>
        <v>0.25</v>
      </c>
      <c r="T425" t="str">
        <f>IF(S425&lt;0,"Negative discount (invalid)",IF(S425&gt;0.5,"Discount above allowed range (invalid)",IF(AND(R425="",S425=0),"Missing discount set to 0","OK")))</f>
        <v>OK</v>
      </c>
      <c r="U425">
        <v>8128.69</v>
      </c>
      <c r="V425">
        <v>5071.66</v>
      </c>
      <c r="W425">
        <v>3057.03</v>
      </c>
      <c r="X425" t="s">
        <v>32</v>
      </c>
      <c r="Y425" t="s">
        <v>33</v>
      </c>
      <c r="Z425">
        <f>IF(T425="OK",P425*Q425*(1-S425),"invalid")</f>
        <v>8128.6875</v>
      </c>
      <c r="AA425">
        <f>IF(Z425="N/A","N/A",Z425-V425)</f>
        <v>3057.0275000000001</v>
      </c>
      <c r="AB425" s="8">
        <f>IF(Z425&lt;&gt;"N/A", AA425/Z425, "N/A")</f>
        <v>0.3760788565189645</v>
      </c>
      <c r="AC425">
        <f>MONTH(B425)</f>
        <v>5</v>
      </c>
      <c r="AD425">
        <f>YEAR(B425)</f>
        <v>2024</v>
      </c>
      <c r="AE425" s="10">
        <f t="shared" si="6"/>
        <v>2.4999999995998223E-3</v>
      </c>
      <c r="AF425" t="s">
        <v>2804</v>
      </c>
      <c r="AG425" t="s">
        <v>2811</v>
      </c>
    </row>
    <row r="426" spans="1:33">
      <c r="A426" t="s">
        <v>2388</v>
      </c>
      <c r="B426" s="4">
        <v>45337</v>
      </c>
      <c r="C426" s="4">
        <v>45339</v>
      </c>
      <c r="D426">
        <f>_xlfn.DAYS(C426,B426)</f>
        <v>2</v>
      </c>
      <c r="E426" t="s">
        <v>2804</v>
      </c>
      <c r="F426" t="s">
        <v>2389</v>
      </c>
      <c r="G426" t="s">
        <v>79</v>
      </c>
      <c r="H426" t="s">
        <v>24</v>
      </c>
      <c r="I426" t="s">
        <v>25</v>
      </c>
      <c r="J426" t="s">
        <v>136</v>
      </c>
      <c r="K426" t="s">
        <v>137</v>
      </c>
      <c r="L426" t="s">
        <v>74</v>
      </c>
      <c r="M426" t="s">
        <v>80</v>
      </c>
      <c r="N426" t="s">
        <v>2390</v>
      </c>
      <c r="O426" t="s">
        <v>50</v>
      </c>
      <c r="P426">
        <v>4</v>
      </c>
      <c r="Q426">
        <v>863</v>
      </c>
      <c r="R426">
        <v>0</v>
      </c>
      <c r="S426">
        <f>IF(ISNUMBER(SEARCH("%",R426)), VALUE(SUBSTITUTE(R426,"%",""))/100,IF(ISNUMBER(R426), R426, 0))</f>
        <v>0</v>
      </c>
      <c r="T426" t="str">
        <f>IF(S426&lt;0,"Negative discount (invalid)",IF(S426&gt;0.5,"Discount above allowed range (invalid)",IF(AND(R426="",S426=0),"Missing discount set to 0","OK")))</f>
        <v>OK</v>
      </c>
      <c r="U426">
        <v>3106.8</v>
      </c>
      <c r="V426">
        <v>2376.62</v>
      </c>
      <c r="W426">
        <v>730.18</v>
      </c>
      <c r="X426" t="s">
        <v>32</v>
      </c>
      <c r="Y426" t="s">
        <v>33</v>
      </c>
      <c r="Z426">
        <f>IF(T426="OK",P426*Q426*(1-S426),"invalid")</f>
        <v>3452</v>
      </c>
      <c r="AA426">
        <f>IF(Z426="N/A","N/A",Z426-V426)</f>
        <v>1075.3800000000001</v>
      </c>
      <c r="AB426" s="8">
        <f>IF(Z426&lt;&gt;"N/A", AA426/Z426, "N/A")</f>
        <v>0.3115237543453071</v>
      </c>
      <c r="AC426">
        <f>MONTH(B426)</f>
        <v>2</v>
      </c>
      <c r="AD426">
        <f>YEAR(B426)</f>
        <v>2024</v>
      </c>
      <c r="AE426" s="10">
        <f t="shared" si="6"/>
        <v>345.19999999999982</v>
      </c>
      <c r="AF426" t="s">
        <v>2807</v>
      </c>
      <c r="AG426" t="s">
        <v>2789</v>
      </c>
    </row>
    <row r="427" spans="1:33">
      <c r="A427" t="s">
        <v>2391</v>
      </c>
      <c r="B427" s="4">
        <v>45485</v>
      </c>
      <c r="C427" s="4">
        <v>45487</v>
      </c>
      <c r="D427">
        <f>_xlfn.DAYS(C427,B427)</f>
        <v>2</v>
      </c>
      <c r="E427" t="s">
        <v>2804</v>
      </c>
      <c r="F427" t="s">
        <v>468</v>
      </c>
      <c r="G427" t="s">
        <v>62</v>
      </c>
      <c r="H427" t="s">
        <v>24</v>
      </c>
      <c r="I427" t="s">
        <v>25</v>
      </c>
      <c r="J427" t="s">
        <v>236</v>
      </c>
      <c r="K427" t="s">
        <v>237</v>
      </c>
      <c r="L427" t="s">
        <v>74</v>
      </c>
      <c r="M427" t="s">
        <v>274</v>
      </c>
      <c r="N427" t="s">
        <v>2392</v>
      </c>
      <c r="O427" t="s">
        <v>31</v>
      </c>
      <c r="P427">
        <v>4</v>
      </c>
      <c r="Q427">
        <v>2131.41</v>
      </c>
      <c r="R427">
        <v>0</v>
      </c>
      <c r="S427">
        <f>IF(ISNUMBER(SEARCH("%",R427)), VALUE(SUBSTITUTE(R427,"%",""))/100,IF(ISNUMBER(R427), R427, 0))</f>
        <v>0</v>
      </c>
      <c r="T427" t="str">
        <f>IF(S427&lt;0,"Negative discount (invalid)",IF(S427&gt;0.5,"Discount above allowed range (invalid)",IF(AND(R427="",S427=0),"Missing discount set to 0","OK")))</f>
        <v>OK</v>
      </c>
      <c r="U427">
        <v>6394.23</v>
      </c>
      <c r="V427">
        <v>3520.69</v>
      </c>
      <c r="W427">
        <v>2873.54</v>
      </c>
      <c r="X427" t="s">
        <v>32</v>
      </c>
      <c r="Y427" t="s">
        <v>33</v>
      </c>
      <c r="Z427">
        <f>IF(T427="OK",P427*Q427*(1-S427),"invalid")</f>
        <v>8525.64</v>
      </c>
      <c r="AA427">
        <f>IF(Z427="N/A","N/A",Z427-V427)</f>
        <v>5004.9499999999989</v>
      </c>
      <c r="AB427" s="8">
        <f>IF(Z427&lt;&gt;"N/A", AA427/Z427, "N/A")</f>
        <v>0.58704683753946907</v>
      </c>
      <c r="AC427">
        <f>MONTH(B427)</f>
        <v>7</v>
      </c>
      <c r="AD427">
        <f>YEAR(B427)</f>
        <v>2024</v>
      </c>
      <c r="AE427" s="10">
        <f t="shared" si="6"/>
        <v>2131.41</v>
      </c>
      <c r="AF427" t="s">
        <v>2807</v>
      </c>
      <c r="AG427" t="s">
        <v>2789</v>
      </c>
    </row>
    <row r="428" spans="1:33">
      <c r="A428" t="s">
        <v>2402</v>
      </c>
      <c r="B428" s="4">
        <v>45396</v>
      </c>
      <c r="C428" s="4">
        <v>45404</v>
      </c>
      <c r="D428">
        <f>_xlfn.DAYS(C428,B428)</f>
        <v>8</v>
      </c>
      <c r="E428" t="s">
        <v>2804</v>
      </c>
      <c r="F428" t="s">
        <v>2403</v>
      </c>
      <c r="G428" t="s">
        <v>53</v>
      </c>
      <c r="H428" t="s">
        <v>24</v>
      </c>
      <c r="I428" t="s">
        <v>25</v>
      </c>
      <c r="J428" t="s">
        <v>236</v>
      </c>
      <c r="K428" t="s">
        <v>237</v>
      </c>
      <c r="L428" t="s">
        <v>74</v>
      </c>
      <c r="M428" t="s">
        <v>75</v>
      </c>
      <c r="N428" t="s">
        <v>2404</v>
      </c>
      <c r="O428" t="s">
        <v>59</v>
      </c>
      <c r="P428">
        <v>8</v>
      </c>
      <c r="Q428">
        <v>3956.12</v>
      </c>
      <c r="R428">
        <v>0.25</v>
      </c>
      <c r="S428">
        <f>IF(ISNUMBER(SEARCH("%",R428)), VALUE(SUBSTITUTE(R428,"%",""))/100,IF(ISNUMBER(R428), R428, 0))</f>
        <v>0.25</v>
      </c>
      <c r="T428" t="str">
        <f>IF(S428&lt;0,"Negative discount (invalid)",IF(S428&gt;0.5,"Discount above allowed range (invalid)",IF(AND(R428="",S428=0),"Missing discount set to 0","OK")))</f>
        <v>OK</v>
      </c>
      <c r="U428">
        <v>23736.720000000001</v>
      </c>
      <c r="V428">
        <v>13890.9</v>
      </c>
      <c r="W428">
        <v>9845.82</v>
      </c>
      <c r="X428" t="s">
        <v>32</v>
      </c>
      <c r="Y428" t="s">
        <v>33</v>
      </c>
      <c r="Z428">
        <f>IF(T428="OK",P428*Q428*(1-S428),"invalid")</f>
        <v>23736.720000000001</v>
      </c>
      <c r="AA428">
        <f>IF(Z428="N/A","N/A",Z428-V428)</f>
        <v>9845.8200000000015</v>
      </c>
      <c r="AB428" s="8">
        <f>IF(Z428&lt;&gt;"N/A", AA428/Z428, "N/A")</f>
        <v>0.41479277676106896</v>
      </c>
      <c r="AC428">
        <f>MONTH(B428)</f>
        <v>4</v>
      </c>
      <c r="AD428">
        <f>YEAR(B428)</f>
        <v>2024</v>
      </c>
      <c r="AE428" s="10">
        <f t="shared" si="6"/>
        <v>0</v>
      </c>
      <c r="AF428" t="s">
        <v>2804</v>
      </c>
      <c r="AG428" t="s">
        <v>2811</v>
      </c>
    </row>
    <row r="429" spans="1:33">
      <c r="A429" t="s">
        <v>2408</v>
      </c>
      <c r="B429" s="4">
        <v>45326</v>
      </c>
      <c r="C429" s="4">
        <v>45328</v>
      </c>
      <c r="D429">
        <f>_xlfn.DAYS(C429,B429)</f>
        <v>2</v>
      </c>
      <c r="E429" t="s">
        <v>2804</v>
      </c>
      <c r="F429" t="s">
        <v>2409</v>
      </c>
      <c r="G429" t="s">
        <v>264</v>
      </c>
      <c r="H429" t="s">
        <v>37</v>
      </c>
      <c r="I429" t="s">
        <v>63</v>
      </c>
      <c r="J429" t="s">
        <v>72</v>
      </c>
      <c r="K429" t="s">
        <v>73</v>
      </c>
      <c r="L429" t="s">
        <v>74</v>
      </c>
      <c r="M429" t="s">
        <v>75</v>
      </c>
      <c r="N429" t="s">
        <v>2410</v>
      </c>
      <c r="O429" t="s">
        <v>31</v>
      </c>
      <c r="P429">
        <v>4</v>
      </c>
      <c r="Q429">
        <v>1489.74</v>
      </c>
      <c r="R429">
        <v>0.15</v>
      </c>
      <c r="S429">
        <f>IF(ISNUMBER(SEARCH("%",R429)), VALUE(SUBSTITUTE(R429,"%",""))/100,IF(ISNUMBER(R429), R429, 0))</f>
        <v>0.15</v>
      </c>
      <c r="T429" t="str">
        <f>IF(S429&lt;0,"Negative discount (invalid)",IF(S429&gt;0.5,"Discount above allowed range (invalid)",IF(AND(R429="",S429=0),"Missing discount set to 0","OK")))</f>
        <v>OK</v>
      </c>
      <c r="U429">
        <v>5065.12</v>
      </c>
      <c r="V429">
        <v>3530.12</v>
      </c>
      <c r="W429">
        <v>1535</v>
      </c>
      <c r="X429" t="s">
        <v>155</v>
      </c>
      <c r="Y429" t="s">
        <v>68</v>
      </c>
      <c r="Z429">
        <f>IF(T429="OK",P429*Q429*(1-S429),"invalid")</f>
        <v>5065.116</v>
      </c>
      <c r="AA429">
        <f>IF(Z429="N/A","N/A",Z429-V429)</f>
        <v>1534.9960000000001</v>
      </c>
      <c r="AB429" s="8">
        <f>IF(Z429&lt;&gt;"N/A", AA429/Z429, "N/A")</f>
        <v>0.30305248685321323</v>
      </c>
      <c r="AC429">
        <f>MONTH(B429)</f>
        <v>2</v>
      </c>
      <c r="AD429">
        <f>YEAR(B429)</f>
        <v>2024</v>
      </c>
      <c r="AE429" s="10">
        <f t="shared" si="6"/>
        <v>3.9999999999054126E-3</v>
      </c>
      <c r="AF429" t="s">
        <v>2804</v>
      </c>
      <c r="AG429" t="s">
        <v>2811</v>
      </c>
    </row>
    <row r="430" spans="1:33">
      <c r="A430" t="s">
        <v>2411</v>
      </c>
      <c r="B430" s="4">
        <v>45497</v>
      </c>
      <c r="C430" s="4">
        <v>45497</v>
      </c>
      <c r="D430">
        <f>_xlfn.DAYS(C430,B430)</f>
        <v>0</v>
      </c>
      <c r="E430" t="s">
        <v>2804</v>
      </c>
      <c r="F430" t="s">
        <v>2412</v>
      </c>
      <c r="G430" t="s">
        <v>23</v>
      </c>
      <c r="H430" t="s">
        <v>37</v>
      </c>
      <c r="I430" t="s">
        <v>25</v>
      </c>
      <c r="J430" t="s">
        <v>236</v>
      </c>
      <c r="K430" t="s">
        <v>237</v>
      </c>
      <c r="L430" t="s">
        <v>74</v>
      </c>
      <c r="M430" t="s">
        <v>80</v>
      </c>
      <c r="N430" t="s">
        <v>2413</v>
      </c>
      <c r="O430" t="s">
        <v>31</v>
      </c>
      <c r="P430">
        <v>4</v>
      </c>
      <c r="Q430">
        <v>1676.88</v>
      </c>
      <c r="R430">
        <v>0</v>
      </c>
      <c r="S430">
        <f>IF(ISNUMBER(SEARCH("%",R430)), VALUE(SUBSTITUTE(R430,"%",""))/100,IF(ISNUMBER(R430), R430, 0))</f>
        <v>0</v>
      </c>
      <c r="T430" t="str">
        <f>IF(S430&lt;0,"Negative discount (invalid)",IF(S430&gt;0.5,"Discount above allowed range (invalid)",IF(AND(R430="",S430=0),"Missing discount set to 0","OK")))</f>
        <v>OK</v>
      </c>
      <c r="U430">
        <v>6707.52</v>
      </c>
      <c r="V430">
        <v>5672.57</v>
      </c>
      <c r="W430">
        <v>1034.95</v>
      </c>
      <c r="X430" t="s">
        <v>32</v>
      </c>
      <c r="Y430" t="s">
        <v>33</v>
      </c>
      <c r="Z430">
        <f>IF(T430="OK",P430*Q430*(1-S430),"invalid")</f>
        <v>6707.52</v>
      </c>
      <c r="AA430">
        <f>IF(Z430="N/A","N/A",Z430-V430)</f>
        <v>1034.9500000000007</v>
      </c>
      <c r="AB430" s="8">
        <f>IF(Z430&lt;&gt;"N/A", AA430/Z430, "N/A")</f>
        <v>0.15429696817899918</v>
      </c>
      <c r="AC430">
        <f>MONTH(B430)</f>
        <v>7</v>
      </c>
      <c r="AD430">
        <f>YEAR(B430)</f>
        <v>2024</v>
      </c>
      <c r="AE430" s="10">
        <f t="shared" si="6"/>
        <v>0</v>
      </c>
      <c r="AF430" t="s">
        <v>2804</v>
      </c>
      <c r="AG430" t="s">
        <v>2811</v>
      </c>
    </row>
    <row r="431" spans="1:33">
      <c r="A431" t="s">
        <v>2414</v>
      </c>
      <c r="B431" s="4">
        <v>45306</v>
      </c>
      <c r="C431" s="4">
        <v>45311</v>
      </c>
      <c r="D431">
        <f>_xlfn.DAYS(C431,B431)</f>
        <v>5</v>
      </c>
      <c r="E431" t="s">
        <v>2804</v>
      </c>
      <c r="F431" t="s">
        <v>2415</v>
      </c>
      <c r="G431" t="s">
        <v>114</v>
      </c>
      <c r="H431" t="s">
        <v>37</v>
      </c>
      <c r="I431" t="s">
        <v>54</v>
      </c>
      <c r="J431" t="s">
        <v>84</v>
      </c>
      <c r="K431" t="s">
        <v>85</v>
      </c>
      <c r="L431" t="s">
        <v>41</v>
      </c>
      <c r="M431" t="s">
        <v>66</v>
      </c>
      <c r="N431" t="s">
        <v>2416</v>
      </c>
      <c r="O431" t="s">
        <v>59</v>
      </c>
      <c r="P431">
        <v>4</v>
      </c>
      <c r="Q431">
        <v>3153.54</v>
      </c>
      <c r="R431">
        <v>0.05</v>
      </c>
      <c r="S431">
        <f>IF(ISNUMBER(SEARCH("%",R431)), VALUE(SUBSTITUTE(R431,"%",""))/100,IF(ISNUMBER(R431), R431, 0))</f>
        <v>0.05</v>
      </c>
      <c r="T431" t="str">
        <f>IF(S431&lt;0,"Negative discount (invalid)",IF(S431&gt;0.5,"Discount above allowed range (invalid)",IF(AND(R431="",S431=0),"Missing discount set to 0","OK")))</f>
        <v>OK</v>
      </c>
      <c r="U431">
        <v>11983.45</v>
      </c>
      <c r="V431">
        <v>8572.9</v>
      </c>
      <c r="W431">
        <v>3410.55</v>
      </c>
      <c r="X431" t="s">
        <v>32</v>
      </c>
      <c r="Y431" t="s">
        <v>33</v>
      </c>
      <c r="Z431">
        <f>IF(T431="OK",P431*Q431*(1-S431),"invalid")</f>
        <v>11983.451999999999</v>
      </c>
      <c r="AA431">
        <f>IF(Z431="N/A","N/A",Z431-V431)</f>
        <v>3410.5519999999997</v>
      </c>
      <c r="AB431" s="8">
        <f>IF(Z431&lt;&gt;"N/A", AA431/Z431, "N/A")</f>
        <v>0.2846051371507976</v>
      </c>
      <c r="AC431">
        <f>MONTH(B431)</f>
        <v>1</v>
      </c>
      <c r="AD431">
        <f>YEAR(B431)</f>
        <v>2024</v>
      </c>
      <c r="AE431" s="10">
        <f t="shared" si="6"/>
        <v>1.9999999985884642E-3</v>
      </c>
      <c r="AF431" t="s">
        <v>2804</v>
      </c>
      <c r="AG431" t="s">
        <v>2811</v>
      </c>
    </row>
    <row r="432" spans="1:33">
      <c r="A432" t="s">
        <v>2417</v>
      </c>
      <c r="B432" s="4">
        <v>45508</v>
      </c>
      <c r="C432" s="4">
        <v>45514</v>
      </c>
      <c r="D432">
        <f>_xlfn.DAYS(C432,B432)</f>
        <v>6</v>
      </c>
      <c r="E432" t="s">
        <v>2804</v>
      </c>
      <c r="F432" t="s">
        <v>2418</v>
      </c>
      <c r="G432" t="s">
        <v>162</v>
      </c>
      <c r="H432" t="s">
        <v>37</v>
      </c>
      <c r="I432" t="s">
        <v>63</v>
      </c>
      <c r="J432" t="s">
        <v>26</v>
      </c>
      <c r="K432" t="s">
        <v>109</v>
      </c>
      <c r="L432" t="s">
        <v>41</v>
      </c>
      <c r="M432" t="s">
        <v>66</v>
      </c>
      <c r="N432" t="s">
        <v>2419</v>
      </c>
      <c r="O432" t="s">
        <v>44</v>
      </c>
      <c r="P432">
        <v>4</v>
      </c>
      <c r="Q432">
        <v>426.43</v>
      </c>
      <c r="R432">
        <v>0.2</v>
      </c>
      <c r="S432">
        <f>IF(ISNUMBER(SEARCH("%",R432)), VALUE(SUBSTITUTE(R432,"%",""))/100,IF(ISNUMBER(R432), R432, 0))</f>
        <v>0.2</v>
      </c>
      <c r="T432" t="str">
        <f>IF(S432&lt;0,"Negative discount (invalid)",IF(S432&gt;0.5,"Discount above allowed range (invalid)",IF(AND(R432="",S432=0),"Missing discount set to 0","OK")))</f>
        <v>OK</v>
      </c>
      <c r="U432">
        <v>1364.58</v>
      </c>
      <c r="V432">
        <v>978.16</v>
      </c>
      <c r="W432">
        <v>386.42</v>
      </c>
      <c r="X432" t="s">
        <v>32</v>
      </c>
      <c r="Y432" t="s">
        <v>33</v>
      </c>
      <c r="Z432">
        <f>IF(T432="OK",P432*Q432*(1-S432),"invalid")</f>
        <v>1364.576</v>
      </c>
      <c r="AA432">
        <f>IF(Z432="N/A","N/A",Z432-V432)</f>
        <v>386.41600000000005</v>
      </c>
      <c r="AB432" s="8">
        <f>IF(Z432&lt;&gt;"N/A", AA432/Z432, "N/A")</f>
        <v>0.28317660577351506</v>
      </c>
      <c r="AC432">
        <f>MONTH(B432)</f>
        <v>8</v>
      </c>
      <c r="AD432">
        <f>YEAR(B432)</f>
        <v>2024</v>
      </c>
      <c r="AE432" s="10">
        <f t="shared" si="6"/>
        <v>3.9999999999054126E-3</v>
      </c>
      <c r="AF432" t="s">
        <v>2804</v>
      </c>
      <c r="AG432" t="s">
        <v>2811</v>
      </c>
    </row>
    <row r="433" spans="1:33">
      <c r="A433" t="s">
        <v>2420</v>
      </c>
      <c r="B433" s="4">
        <v>45324</v>
      </c>
      <c r="C433" s="4">
        <v>45332</v>
      </c>
      <c r="D433">
        <f>_xlfn.DAYS(C433,B433)</f>
        <v>8</v>
      </c>
      <c r="E433" t="s">
        <v>2804</v>
      </c>
      <c r="F433" t="s">
        <v>2421</v>
      </c>
      <c r="G433" t="s">
        <v>23</v>
      </c>
      <c r="H433" t="s">
        <v>95</v>
      </c>
      <c r="I433" t="s">
        <v>63</v>
      </c>
      <c r="J433" t="s">
        <v>26</v>
      </c>
      <c r="K433" t="s">
        <v>109</v>
      </c>
      <c r="L433" t="s">
        <v>28</v>
      </c>
      <c r="M433" t="s">
        <v>91</v>
      </c>
      <c r="N433" t="s">
        <v>2422</v>
      </c>
      <c r="O433" t="s">
        <v>50</v>
      </c>
      <c r="P433">
        <v>3</v>
      </c>
      <c r="Q433">
        <v>383.4</v>
      </c>
      <c r="R433">
        <v>0.25</v>
      </c>
      <c r="S433">
        <f>IF(ISNUMBER(SEARCH("%",R433)), VALUE(SUBSTITUTE(R433,"%",""))/100,IF(ISNUMBER(R433), R433, 0))</f>
        <v>0.25</v>
      </c>
      <c r="T433" t="str">
        <f>IF(S433&lt;0,"Negative discount (invalid)",IF(S433&gt;0.5,"Discount above allowed range (invalid)",IF(AND(R433="",S433=0),"Missing discount set to 0","OK")))</f>
        <v>OK</v>
      </c>
      <c r="U433">
        <v>862.65</v>
      </c>
      <c r="V433">
        <v>603.73</v>
      </c>
      <c r="W433">
        <v>258.92</v>
      </c>
      <c r="X433" t="s">
        <v>111</v>
      </c>
      <c r="Y433" t="s">
        <v>103</v>
      </c>
      <c r="Z433">
        <f>IF(T433="OK",P433*Q433*(1-S433),"invalid")</f>
        <v>862.64999999999986</v>
      </c>
      <c r="AA433">
        <f>IF(Z433="N/A","N/A",Z433-V433)</f>
        <v>258.91999999999985</v>
      </c>
      <c r="AB433" s="8">
        <f>IF(Z433&lt;&gt;"N/A", AA433/Z433, "N/A")</f>
        <v>0.30014490233582553</v>
      </c>
      <c r="AC433">
        <f>MONTH(B433)</f>
        <v>2</v>
      </c>
      <c r="AD433">
        <f>YEAR(B433)</f>
        <v>2024</v>
      </c>
      <c r="AE433" s="10">
        <f t="shared" si="6"/>
        <v>1.1368683772161603E-13</v>
      </c>
      <c r="AF433" t="s">
        <v>2804</v>
      </c>
      <c r="AG433" t="s">
        <v>2811</v>
      </c>
    </row>
    <row r="434" spans="1:33">
      <c r="A434" t="s">
        <v>2426</v>
      </c>
      <c r="B434" s="4">
        <v>45450</v>
      </c>
      <c r="C434" s="4">
        <v>45450</v>
      </c>
      <c r="D434">
        <f>_xlfn.DAYS(C434,B434)</f>
        <v>0</v>
      </c>
      <c r="E434" t="s">
        <v>2804</v>
      </c>
      <c r="F434" t="s">
        <v>2427</v>
      </c>
      <c r="G434" t="s">
        <v>128</v>
      </c>
      <c r="H434" t="s">
        <v>37</v>
      </c>
      <c r="I434" t="s">
        <v>38</v>
      </c>
      <c r="J434" t="s">
        <v>145</v>
      </c>
      <c r="K434" t="s">
        <v>146</v>
      </c>
      <c r="L434" t="s">
        <v>28</v>
      </c>
      <c r="M434" t="s">
        <v>48</v>
      </c>
      <c r="N434" t="s">
        <v>2428</v>
      </c>
      <c r="O434" t="s">
        <v>31</v>
      </c>
      <c r="P434">
        <v>1</v>
      </c>
      <c r="Q434">
        <v>2581.9299999999998</v>
      </c>
      <c r="R434">
        <v>0.05</v>
      </c>
      <c r="S434">
        <f>IF(ISNUMBER(SEARCH("%",R434)), VALUE(SUBSTITUTE(R434,"%",""))/100,IF(ISNUMBER(R434), R434, 0))</f>
        <v>0.05</v>
      </c>
      <c r="T434" t="str">
        <f>IF(S434&lt;0,"Negative discount (invalid)",IF(S434&gt;0.5,"Discount above allowed range (invalid)",IF(AND(R434="",S434=0),"Missing discount set to 0","OK")))</f>
        <v>OK</v>
      </c>
      <c r="U434">
        <v>2452.83</v>
      </c>
      <c r="V434">
        <v>1906.7</v>
      </c>
      <c r="W434">
        <v>546.13</v>
      </c>
      <c r="X434" t="s">
        <v>32</v>
      </c>
      <c r="Y434" t="s">
        <v>33</v>
      </c>
      <c r="Z434">
        <f>IF(T434="OK",P434*Q434*(1-S434),"invalid")</f>
        <v>2452.8334999999997</v>
      </c>
      <c r="AA434">
        <f>IF(Z434="N/A","N/A",Z434-V434)</f>
        <v>546.13349999999969</v>
      </c>
      <c r="AB434" s="8">
        <f>IF(Z434&lt;&gt;"N/A", AA434/Z434, "N/A")</f>
        <v>0.22265412634000625</v>
      </c>
      <c r="AC434">
        <f>MONTH(B434)</f>
        <v>6</v>
      </c>
      <c r="AD434">
        <f>YEAR(B434)</f>
        <v>2024</v>
      </c>
      <c r="AE434" s="10">
        <f t="shared" si="6"/>
        <v>3.4999999998035491E-3</v>
      </c>
      <c r="AF434" t="s">
        <v>2804</v>
      </c>
      <c r="AG434" t="s">
        <v>2811</v>
      </c>
    </row>
    <row r="435" spans="1:33">
      <c r="A435" t="s">
        <v>2432</v>
      </c>
      <c r="B435" s="4">
        <v>45435</v>
      </c>
      <c r="C435" s="4">
        <v>45441</v>
      </c>
      <c r="D435">
        <f>_xlfn.DAYS(C435,B435)</f>
        <v>6</v>
      </c>
      <c r="E435" t="s">
        <v>2804</v>
      </c>
      <c r="F435" t="s">
        <v>2433</v>
      </c>
      <c r="G435" t="s">
        <v>162</v>
      </c>
      <c r="H435" t="s">
        <v>37</v>
      </c>
      <c r="I435" t="s">
        <v>25</v>
      </c>
      <c r="J435" t="s">
        <v>236</v>
      </c>
      <c r="K435" t="s">
        <v>237</v>
      </c>
      <c r="L435" t="s">
        <v>28</v>
      </c>
      <c r="M435" t="s">
        <v>124</v>
      </c>
      <c r="N435" t="s">
        <v>2434</v>
      </c>
      <c r="O435" t="s">
        <v>44</v>
      </c>
      <c r="P435">
        <v>2</v>
      </c>
      <c r="Q435">
        <v>3012.94</v>
      </c>
      <c r="R435">
        <v>0.25</v>
      </c>
      <c r="S435">
        <f>IF(ISNUMBER(SEARCH("%",R435)), VALUE(SUBSTITUTE(R435,"%",""))/100,IF(ISNUMBER(R435), R435, 0))</f>
        <v>0.25</v>
      </c>
      <c r="T435" t="str">
        <f>IF(S435&lt;0,"Negative discount (invalid)",IF(S435&gt;0.5,"Discount above allowed range (invalid)",IF(AND(R435="",S435=0),"Missing discount set to 0","OK")))</f>
        <v>OK</v>
      </c>
      <c r="U435">
        <v>4519.41</v>
      </c>
      <c r="V435">
        <v>3504.16</v>
      </c>
      <c r="W435">
        <v>1275.55</v>
      </c>
      <c r="X435" t="s">
        <v>155</v>
      </c>
      <c r="Y435" t="s">
        <v>68</v>
      </c>
      <c r="Z435">
        <f>IF(T435="OK",P435*Q435*(1-S435),"invalid")</f>
        <v>4519.41</v>
      </c>
      <c r="AA435">
        <f>IF(Z435="N/A","N/A",Z435-V435)</f>
        <v>1015.25</v>
      </c>
      <c r="AB435" s="8">
        <f>IF(Z435&lt;&gt;"N/A", AA435/Z435, "N/A")</f>
        <v>0.22464215461752751</v>
      </c>
      <c r="AC435">
        <f>MONTH(B435)</f>
        <v>5</v>
      </c>
      <c r="AD435">
        <f>YEAR(B435)</f>
        <v>2024</v>
      </c>
      <c r="AE435" s="10">
        <f t="shared" si="6"/>
        <v>0</v>
      </c>
      <c r="AF435" t="s">
        <v>2804</v>
      </c>
      <c r="AG435" t="s">
        <v>2811</v>
      </c>
    </row>
    <row r="436" spans="1:33">
      <c r="A436" t="s">
        <v>2438</v>
      </c>
      <c r="B436" s="4">
        <v>45547</v>
      </c>
      <c r="C436" s="4">
        <v>45553</v>
      </c>
      <c r="D436">
        <f>_xlfn.DAYS(C436,B436)</f>
        <v>6</v>
      </c>
      <c r="E436" t="s">
        <v>2804</v>
      </c>
      <c r="F436" t="s">
        <v>2439</v>
      </c>
      <c r="G436" t="s">
        <v>62</v>
      </c>
      <c r="H436" t="s">
        <v>95</v>
      </c>
      <c r="I436" t="s">
        <v>38</v>
      </c>
      <c r="J436" t="s">
        <v>145</v>
      </c>
      <c r="K436" t="s">
        <v>146</v>
      </c>
      <c r="L436" t="s">
        <v>28</v>
      </c>
      <c r="M436" t="s">
        <v>29</v>
      </c>
      <c r="N436" t="s">
        <v>2440</v>
      </c>
      <c r="O436" t="s">
        <v>31</v>
      </c>
      <c r="P436">
        <v>2</v>
      </c>
      <c r="Q436">
        <v>3718.77</v>
      </c>
      <c r="R436">
        <v>0.05</v>
      </c>
      <c r="S436">
        <f>IF(ISNUMBER(SEARCH("%",R436)), VALUE(SUBSTITUTE(R436,"%",""))/100,IF(ISNUMBER(R436), R436, 0))</f>
        <v>0.05</v>
      </c>
      <c r="T436" t="str">
        <f>IF(S436&lt;0,"Negative discount (invalid)",IF(S436&gt;0.5,"Discount above allowed range (invalid)",IF(AND(R436="",S436=0),"Missing discount set to 0","OK")))</f>
        <v>OK</v>
      </c>
      <c r="U436">
        <v>7065.66</v>
      </c>
      <c r="V436">
        <v>4915.2700000000004</v>
      </c>
      <c r="W436">
        <v>2150.39</v>
      </c>
      <c r="X436" t="s">
        <v>32</v>
      </c>
      <c r="Y436" t="s">
        <v>33</v>
      </c>
      <c r="Z436">
        <f>IF(T436="OK",P436*Q436*(1-S436),"invalid")</f>
        <v>7065.6629999999996</v>
      </c>
      <c r="AA436">
        <f>IF(Z436="N/A","N/A",Z436-V436)</f>
        <v>2150.3929999999991</v>
      </c>
      <c r="AB436" s="8">
        <f>IF(Z436&lt;&gt;"N/A", AA436/Z436, "N/A")</f>
        <v>0.30434412170521002</v>
      </c>
      <c r="AC436">
        <f>MONTH(B436)</f>
        <v>9</v>
      </c>
      <c r="AD436">
        <f>YEAR(B436)</f>
        <v>2024</v>
      </c>
      <c r="AE436" s="10">
        <f t="shared" si="6"/>
        <v>2.9999999997016857E-3</v>
      </c>
      <c r="AF436" t="s">
        <v>2804</v>
      </c>
      <c r="AG436" t="s">
        <v>2811</v>
      </c>
    </row>
    <row r="437" spans="1:33">
      <c r="A437" t="s">
        <v>2441</v>
      </c>
      <c r="B437" s="4">
        <v>45505</v>
      </c>
      <c r="C437" s="4">
        <v>45506</v>
      </c>
      <c r="D437">
        <f>_xlfn.DAYS(C437,B437)</f>
        <v>1</v>
      </c>
      <c r="E437" t="s">
        <v>2804</v>
      </c>
      <c r="F437" t="s">
        <v>2442</v>
      </c>
      <c r="G437" t="s">
        <v>47</v>
      </c>
      <c r="H437" t="s">
        <v>90</v>
      </c>
      <c r="I437" t="s">
        <v>25</v>
      </c>
      <c r="J437" t="s">
        <v>136</v>
      </c>
      <c r="K437" t="s">
        <v>137</v>
      </c>
      <c r="L437" t="s">
        <v>41</v>
      </c>
      <c r="M437" t="s">
        <v>66</v>
      </c>
      <c r="N437" t="s">
        <v>2443</v>
      </c>
      <c r="O437" t="s">
        <v>59</v>
      </c>
      <c r="P437">
        <v>8</v>
      </c>
      <c r="Q437">
        <v>2487.64</v>
      </c>
      <c r="R437">
        <v>0.1</v>
      </c>
      <c r="S437">
        <f>IF(ISNUMBER(SEARCH("%",R437)), VALUE(SUBSTITUTE(R437,"%",""))/100,IF(ISNUMBER(R437), R437, 0))</f>
        <v>0.1</v>
      </c>
      <c r="T437" t="str">
        <f>IF(S437&lt;0,"Negative discount (invalid)",IF(S437&gt;0.5,"Discount above allowed range (invalid)",IF(AND(R437="",S437=0),"Missing discount set to 0","OK")))</f>
        <v>OK</v>
      </c>
      <c r="U437">
        <v>17911.009999999998</v>
      </c>
      <c r="V437">
        <v>11546.05</v>
      </c>
      <c r="W437">
        <v>6364.96</v>
      </c>
      <c r="X437" t="s">
        <v>155</v>
      </c>
      <c r="Y437" t="s">
        <v>103</v>
      </c>
      <c r="Z437">
        <f>IF(T437="OK",P437*Q437*(1-S437),"invalid")</f>
        <v>17911.007999999998</v>
      </c>
      <c r="AA437">
        <f>IF(Z437="N/A","N/A",Z437-V437)</f>
        <v>6364.9579999999987</v>
      </c>
      <c r="AB437" s="8">
        <f>IF(Z437&lt;&gt;"N/A", AA437/Z437, "N/A")</f>
        <v>0.35536570582738836</v>
      </c>
      <c r="AC437">
        <f>MONTH(B437)</f>
        <v>8</v>
      </c>
      <c r="AD437">
        <f>YEAR(B437)</f>
        <v>2024</v>
      </c>
      <c r="AE437" s="10">
        <f t="shared" si="6"/>
        <v>2.0000000004074536E-3</v>
      </c>
      <c r="AF437" t="s">
        <v>2804</v>
      </c>
      <c r="AG437" t="s">
        <v>2811</v>
      </c>
    </row>
    <row r="438" spans="1:33">
      <c r="A438" t="s">
        <v>2447</v>
      </c>
      <c r="B438" s="4">
        <v>45443</v>
      </c>
      <c r="C438" s="4">
        <v>45445</v>
      </c>
      <c r="D438">
        <f>_xlfn.DAYS(C438,B438)</f>
        <v>2</v>
      </c>
      <c r="E438" t="s">
        <v>2804</v>
      </c>
      <c r="F438" t="s">
        <v>2448</v>
      </c>
      <c r="G438" t="s">
        <v>118</v>
      </c>
      <c r="H438" t="s">
        <v>90</v>
      </c>
      <c r="I438" t="s">
        <v>54</v>
      </c>
      <c r="J438" t="s">
        <v>84</v>
      </c>
      <c r="K438" t="s">
        <v>85</v>
      </c>
      <c r="L438" t="s">
        <v>28</v>
      </c>
      <c r="M438" t="s">
        <v>48</v>
      </c>
      <c r="N438" t="s">
        <v>2449</v>
      </c>
      <c r="O438" t="s">
        <v>59</v>
      </c>
      <c r="P438">
        <v>8</v>
      </c>
      <c r="Q438">
        <v>667.59</v>
      </c>
      <c r="R438">
        <v>0.2</v>
      </c>
      <c r="S438">
        <f>IF(ISNUMBER(SEARCH("%",R438)), VALUE(SUBSTITUTE(R438,"%",""))/100,IF(ISNUMBER(R438), R438, 0))</f>
        <v>0.2</v>
      </c>
      <c r="T438" t="str">
        <f>IF(S438&lt;0,"Negative discount (invalid)",IF(S438&gt;0.5,"Discount above allowed range (invalid)",IF(AND(R438="",S438=0),"Missing discount set to 0","OK")))</f>
        <v>OK</v>
      </c>
      <c r="U438">
        <v>4272.58</v>
      </c>
      <c r="V438">
        <v>3328.92</v>
      </c>
      <c r="W438">
        <v>943.66</v>
      </c>
      <c r="X438" t="s">
        <v>32</v>
      </c>
      <c r="Y438" t="s">
        <v>33</v>
      </c>
      <c r="Z438">
        <f>IF(T438="OK",P438*Q438*(1-S438),"invalid")</f>
        <v>4272.576</v>
      </c>
      <c r="AA438">
        <f>IF(Z438="N/A","N/A",Z438-V438)</f>
        <v>943.65599999999995</v>
      </c>
      <c r="AB438" s="8">
        <f>IF(Z438&lt;&gt;"N/A", AA438/Z438, "N/A")</f>
        <v>0.22086347908147214</v>
      </c>
      <c r="AC438">
        <f>MONTH(B438)</f>
        <v>5</v>
      </c>
      <c r="AD438">
        <f>YEAR(B438)</f>
        <v>2024</v>
      </c>
      <c r="AE438" s="10">
        <f t="shared" si="6"/>
        <v>3.9999999999054126E-3</v>
      </c>
      <c r="AF438" t="s">
        <v>2804</v>
      </c>
      <c r="AG438" t="s">
        <v>2811</v>
      </c>
    </row>
    <row r="439" spans="1:33">
      <c r="A439" t="s">
        <v>2450</v>
      </c>
      <c r="B439" s="4">
        <v>45567</v>
      </c>
      <c r="C439" s="4">
        <v>45571</v>
      </c>
      <c r="D439">
        <f>_xlfn.DAYS(C439,B439)</f>
        <v>4</v>
      </c>
      <c r="E439" t="s">
        <v>2804</v>
      </c>
      <c r="F439" t="s">
        <v>2451</v>
      </c>
      <c r="G439" t="s">
        <v>118</v>
      </c>
      <c r="H439" t="s">
        <v>95</v>
      </c>
      <c r="I439" t="s">
        <v>54</v>
      </c>
      <c r="J439" t="s">
        <v>175</v>
      </c>
      <c r="K439" t="s">
        <v>176</v>
      </c>
      <c r="L439" t="s">
        <v>41</v>
      </c>
      <c r="M439" t="s">
        <v>158</v>
      </c>
      <c r="N439" t="s">
        <v>2452</v>
      </c>
      <c r="O439" t="s">
        <v>44</v>
      </c>
      <c r="P439">
        <v>8</v>
      </c>
      <c r="Q439">
        <v>1558.77</v>
      </c>
      <c r="R439">
        <v>0.25</v>
      </c>
      <c r="S439">
        <f>IF(ISNUMBER(SEARCH("%",R439)), VALUE(SUBSTITUTE(R439,"%",""))/100,IF(ISNUMBER(R439), R439, 0))</f>
        <v>0.25</v>
      </c>
      <c r="T439" t="str">
        <f>IF(S439&lt;0,"Negative discount (invalid)",IF(S439&gt;0.5,"Discount above allowed range (invalid)",IF(AND(R439="",S439=0),"Missing discount set to 0","OK")))</f>
        <v>OK</v>
      </c>
      <c r="U439">
        <v>9352.6200000000008</v>
      </c>
      <c r="V439">
        <v>5269.41</v>
      </c>
      <c r="W439">
        <v>4083.21</v>
      </c>
      <c r="X439" t="s">
        <v>32</v>
      </c>
      <c r="Y439" t="s">
        <v>33</v>
      </c>
      <c r="Z439">
        <f>IF(T439="OK",P439*Q439*(1-S439),"invalid")</f>
        <v>9352.619999999999</v>
      </c>
      <c r="AA439">
        <f>IF(Z439="N/A","N/A",Z439-V439)</f>
        <v>4083.2099999999991</v>
      </c>
      <c r="AB439" s="8">
        <f>IF(Z439&lt;&gt;"N/A", AA439/Z439, "N/A")</f>
        <v>0.43658461479243243</v>
      </c>
      <c r="AC439">
        <f>MONTH(B439)</f>
        <v>10</v>
      </c>
      <c r="AD439">
        <f>YEAR(B439)</f>
        <v>2024</v>
      </c>
      <c r="AE439" s="10">
        <f t="shared" si="6"/>
        <v>1.8189894035458565E-12</v>
      </c>
      <c r="AF439" t="s">
        <v>2804</v>
      </c>
      <c r="AG439" t="s">
        <v>2811</v>
      </c>
    </row>
    <row r="440" spans="1:33">
      <c r="A440" t="s">
        <v>2456</v>
      </c>
      <c r="B440" s="4">
        <v>45440</v>
      </c>
      <c r="C440" s="4">
        <v>45446</v>
      </c>
      <c r="D440">
        <f>_xlfn.DAYS(C440,B440)</f>
        <v>6</v>
      </c>
      <c r="E440" t="s">
        <v>2804</v>
      </c>
      <c r="F440" t="s">
        <v>2457</v>
      </c>
      <c r="G440" t="s">
        <v>71</v>
      </c>
      <c r="H440" t="s">
        <v>90</v>
      </c>
      <c r="I440" t="s">
        <v>25</v>
      </c>
      <c r="J440" t="s">
        <v>26</v>
      </c>
      <c r="K440" t="s">
        <v>27</v>
      </c>
      <c r="L440" t="s">
        <v>74</v>
      </c>
      <c r="M440" t="s">
        <v>80</v>
      </c>
      <c r="N440" t="s">
        <v>2458</v>
      </c>
      <c r="O440" t="s">
        <v>31</v>
      </c>
      <c r="P440">
        <v>5</v>
      </c>
      <c r="Q440">
        <v>4302.32</v>
      </c>
      <c r="R440">
        <v>0</v>
      </c>
      <c r="S440">
        <f>IF(ISNUMBER(SEARCH("%",R440)), VALUE(SUBSTITUTE(R440,"%",""))/100,IF(ISNUMBER(R440), R440, 0))</f>
        <v>0</v>
      </c>
      <c r="T440" t="str">
        <f>IF(S440&lt;0,"Negative discount (invalid)",IF(S440&gt;0.5,"Discount above allowed range (invalid)",IF(AND(R440="",S440=0),"Missing discount set to 0","OK")))</f>
        <v>OK</v>
      </c>
      <c r="U440">
        <v>21511.599999999999</v>
      </c>
      <c r="V440">
        <v>15408.47</v>
      </c>
      <c r="W440">
        <v>6103.13</v>
      </c>
      <c r="X440" t="s">
        <v>32</v>
      </c>
      <c r="Y440" t="s">
        <v>33</v>
      </c>
      <c r="Z440">
        <f>IF(T440="OK",P440*Q440*(1-S440),"invalid")</f>
        <v>21511.599999999999</v>
      </c>
      <c r="AA440">
        <f>IF(Z440="N/A","N/A",Z440-V440)</f>
        <v>6103.1299999999992</v>
      </c>
      <c r="AB440" s="8">
        <f>IF(Z440&lt;&gt;"N/A", AA440/Z440, "N/A")</f>
        <v>0.28371343833094703</v>
      </c>
      <c r="AC440">
        <f>MONTH(B440)</f>
        <v>5</v>
      </c>
      <c r="AD440">
        <f>YEAR(B440)</f>
        <v>2024</v>
      </c>
      <c r="AE440" s="10">
        <f t="shared" si="6"/>
        <v>0</v>
      </c>
      <c r="AF440" t="s">
        <v>2804</v>
      </c>
      <c r="AG440" t="s">
        <v>2811</v>
      </c>
    </row>
    <row r="441" spans="1:33">
      <c r="A441" t="s">
        <v>2462</v>
      </c>
      <c r="B441" s="4">
        <v>45503</v>
      </c>
      <c r="C441" s="4">
        <v>45503</v>
      </c>
      <c r="D441">
        <f>_xlfn.DAYS(C441,B441)</f>
        <v>0</v>
      </c>
      <c r="E441" t="s">
        <v>2804</v>
      </c>
      <c r="F441" t="s">
        <v>2463</v>
      </c>
      <c r="G441" t="s">
        <v>162</v>
      </c>
      <c r="H441" t="s">
        <v>95</v>
      </c>
      <c r="I441" t="s">
        <v>38</v>
      </c>
      <c r="J441" t="s">
        <v>39</v>
      </c>
      <c r="K441" t="s">
        <v>40</v>
      </c>
      <c r="L441" t="s">
        <v>74</v>
      </c>
      <c r="M441" t="s">
        <v>80</v>
      </c>
      <c r="N441" t="s">
        <v>2464</v>
      </c>
      <c r="O441" t="s">
        <v>44</v>
      </c>
      <c r="P441">
        <v>9</v>
      </c>
      <c r="Q441">
        <v>2894.66</v>
      </c>
      <c r="R441">
        <v>0</v>
      </c>
      <c r="S441">
        <f>IF(ISNUMBER(SEARCH("%",R441)), VALUE(SUBSTITUTE(R441,"%",""))/100,IF(ISNUMBER(R441), R441, 0))</f>
        <v>0</v>
      </c>
      <c r="T441" t="str">
        <f>IF(S441&lt;0,"Negative discount (invalid)",IF(S441&gt;0.5,"Discount above allowed range (invalid)",IF(AND(R441="",S441=0),"Missing discount set to 0","OK")))</f>
        <v>OK</v>
      </c>
      <c r="U441">
        <v>26051.94</v>
      </c>
      <c r="V441">
        <v>16883.59</v>
      </c>
      <c r="W441">
        <v>9168.35</v>
      </c>
      <c r="X441" t="s">
        <v>102</v>
      </c>
      <c r="Y441" t="s">
        <v>68</v>
      </c>
      <c r="Z441">
        <f>IF(T441="OK",P441*Q441*(1-S441),"invalid")</f>
        <v>26051.94</v>
      </c>
      <c r="AA441">
        <f>IF(Z441="N/A","N/A",Z441-V441)</f>
        <v>9168.3499999999985</v>
      </c>
      <c r="AB441" s="8">
        <f>IF(Z441&lt;&gt;"N/A", AA441/Z441, "N/A")</f>
        <v>0.3519258066769691</v>
      </c>
      <c r="AC441">
        <f>MONTH(B441)</f>
        <v>7</v>
      </c>
      <c r="AD441">
        <f>YEAR(B441)</f>
        <v>2024</v>
      </c>
      <c r="AE441" s="10">
        <f t="shared" si="6"/>
        <v>0</v>
      </c>
      <c r="AF441" t="s">
        <v>2804</v>
      </c>
      <c r="AG441" t="s">
        <v>2811</v>
      </c>
    </row>
    <row r="442" spans="1:33">
      <c r="A442" t="s">
        <v>2465</v>
      </c>
      <c r="B442" s="4">
        <v>45374</v>
      </c>
      <c r="C442" s="4">
        <v>45381</v>
      </c>
      <c r="D442">
        <f>_xlfn.DAYS(C442,B442)</f>
        <v>7</v>
      </c>
      <c r="E442" t="s">
        <v>2804</v>
      </c>
      <c r="F442" t="s">
        <v>2466</v>
      </c>
      <c r="G442" t="s">
        <v>141</v>
      </c>
      <c r="H442" t="s">
        <v>37</v>
      </c>
      <c r="I442" t="s">
        <v>54</v>
      </c>
      <c r="J442" t="s">
        <v>84</v>
      </c>
      <c r="K442" t="s">
        <v>85</v>
      </c>
      <c r="L442" t="s">
        <v>74</v>
      </c>
      <c r="M442" t="s">
        <v>274</v>
      </c>
      <c r="N442" t="s">
        <v>2467</v>
      </c>
      <c r="O442" t="s">
        <v>50</v>
      </c>
      <c r="P442">
        <v>6</v>
      </c>
      <c r="Q442">
        <v>1894.44</v>
      </c>
      <c r="R442">
        <v>0.15</v>
      </c>
      <c r="S442">
        <f>IF(ISNUMBER(SEARCH("%",R442)), VALUE(SUBSTITUTE(R442,"%",""))/100,IF(ISNUMBER(R442), R442, 0))</f>
        <v>0.15</v>
      </c>
      <c r="T442" t="str">
        <f>IF(S442&lt;0,"Negative discount (invalid)",IF(S442&gt;0.5,"Discount above allowed range (invalid)",IF(AND(R442="",S442=0),"Missing discount set to 0","OK")))</f>
        <v>OK</v>
      </c>
      <c r="U442">
        <v>9661.64</v>
      </c>
      <c r="V442">
        <v>6303.77</v>
      </c>
      <c r="W442">
        <v>3357.87</v>
      </c>
      <c r="X442" t="s">
        <v>32</v>
      </c>
      <c r="Y442" t="s">
        <v>33</v>
      </c>
      <c r="Z442">
        <f>IF(T442="OK",P442*Q442*(1-S442),"invalid")</f>
        <v>9661.6439999999984</v>
      </c>
      <c r="AA442">
        <f>IF(Z442="N/A","N/A",Z442-V442)</f>
        <v>3357.873999999998</v>
      </c>
      <c r="AB442" s="8">
        <f>IF(Z442&lt;&gt;"N/A", AA442/Z442, "N/A")</f>
        <v>0.34754685641491223</v>
      </c>
      <c r="AC442">
        <f>MONTH(B442)</f>
        <v>3</v>
      </c>
      <c r="AD442">
        <f>YEAR(B442)</f>
        <v>2024</v>
      </c>
      <c r="AE442" s="10">
        <f t="shared" si="6"/>
        <v>3.9999999989959178E-3</v>
      </c>
      <c r="AF442" t="s">
        <v>2804</v>
      </c>
      <c r="AG442" t="s">
        <v>2811</v>
      </c>
    </row>
    <row r="443" spans="1:33">
      <c r="A443" t="s">
        <v>2468</v>
      </c>
      <c r="B443" s="4">
        <v>45400</v>
      </c>
      <c r="C443" s="4">
        <v>45404</v>
      </c>
      <c r="D443">
        <f>_xlfn.DAYS(C443,B443)</f>
        <v>4</v>
      </c>
      <c r="E443" t="s">
        <v>2804</v>
      </c>
      <c r="F443" t="s">
        <v>2469</v>
      </c>
      <c r="G443" t="s">
        <v>128</v>
      </c>
      <c r="H443" t="s">
        <v>24</v>
      </c>
      <c r="I443" t="s">
        <v>38</v>
      </c>
      <c r="J443" t="s">
        <v>39</v>
      </c>
      <c r="K443" t="s">
        <v>40</v>
      </c>
      <c r="L443" t="s">
        <v>28</v>
      </c>
      <c r="M443" t="s">
        <v>153</v>
      </c>
      <c r="N443" t="s">
        <v>2470</v>
      </c>
      <c r="O443" t="s">
        <v>50</v>
      </c>
      <c r="P443">
        <v>8</v>
      </c>
      <c r="Q443">
        <v>1714.37</v>
      </c>
      <c r="R443">
        <v>0</v>
      </c>
      <c r="S443">
        <f>IF(ISNUMBER(SEARCH("%",R443)), VALUE(SUBSTITUTE(R443,"%",""))/100,IF(ISNUMBER(R443), R443, 0))</f>
        <v>0</v>
      </c>
      <c r="T443" t="str">
        <f>IF(S443&lt;0,"Negative discount (invalid)",IF(S443&gt;0.5,"Discount above allowed range (invalid)",IF(AND(R443="",S443=0),"Missing discount set to 0","OK")))</f>
        <v>OK</v>
      </c>
      <c r="U443">
        <v>13714.96</v>
      </c>
      <c r="V443">
        <v>10550.47</v>
      </c>
      <c r="W443">
        <v>3164.49</v>
      </c>
      <c r="X443" t="s">
        <v>155</v>
      </c>
      <c r="Y443" t="s">
        <v>68</v>
      </c>
      <c r="Z443">
        <f>IF(T443="OK",P443*Q443*(1-S443),"invalid")</f>
        <v>13714.96</v>
      </c>
      <c r="AA443">
        <f>IF(Z443="N/A","N/A",Z443-V443)</f>
        <v>3164.49</v>
      </c>
      <c r="AB443" s="8">
        <f>IF(Z443&lt;&gt;"N/A", AA443/Z443, "N/A")</f>
        <v>0.23073271814135804</v>
      </c>
      <c r="AC443">
        <f>MONTH(B443)</f>
        <v>4</v>
      </c>
      <c r="AD443">
        <f>YEAR(B443)</f>
        <v>2024</v>
      </c>
      <c r="AE443" s="10">
        <f t="shared" si="6"/>
        <v>0</v>
      </c>
      <c r="AF443" t="s">
        <v>2804</v>
      </c>
      <c r="AG443" t="s">
        <v>2811</v>
      </c>
    </row>
    <row r="444" spans="1:33">
      <c r="A444" t="s">
        <v>2474</v>
      </c>
      <c r="B444" s="4">
        <v>45575</v>
      </c>
      <c r="C444" s="4">
        <v>45582</v>
      </c>
      <c r="D444">
        <f>_xlfn.DAYS(C444,B444)</f>
        <v>7</v>
      </c>
      <c r="E444" t="s">
        <v>2804</v>
      </c>
      <c r="F444" t="s">
        <v>2475</v>
      </c>
      <c r="G444" t="s">
        <v>47</v>
      </c>
      <c r="H444" t="s">
        <v>95</v>
      </c>
      <c r="I444" t="s">
        <v>25</v>
      </c>
      <c r="J444" t="s">
        <v>236</v>
      </c>
      <c r="K444" t="s">
        <v>237</v>
      </c>
      <c r="L444" t="s">
        <v>74</v>
      </c>
      <c r="M444" t="s">
        <v>75</v>
      </c>
      <c r="N444" t="s">
        <v>2476</v>
      </c>
      <c r="O444" t="s">
        <v>2785</v>
      </c>
      <c r="P444">
        <v>5</v>
      </c>
      <c r="Q444">
        <v>967.41</v>
      </c>
      <c r="R444">
        <v>0.05</v>
      </c>
      <c r="S444">
        <f>IF(ISNUMBER(SEARCH("%",R444)), VALUE(SUBSTITUTE(R444,"%",""))/100,IF(ISNUMBER(R444), R444, 0))</f>
        <v>0.05</v>
      </c>
      <c r="T444" t="str">
        <f>IF(S444&lt;0,"Negative discount (invalid)",IF(S444&gt;0.5,"Discount above allowed range (invalid)",IF(AND(R444="",S444=0),"Missing discount set to 0","OK")))</f>
        <v>OK</v>
      </c>
      <c r="U444">
        <v>4595.2</v>
      </c>
      <c r="V444">
        <v>3887.41</v>
      </c>
      <c r="W444">
        <v>707.79</v>
      </c>
      <c r="X444" t="s">
        <v>32</v>
      </c>
      <c r="Y444" t="s">
        <v>103</v>
      </c>
      <c r="Z444">
        <f>IF(T444="OK",P444*Q444*(1-S444),"invalid")</f>
        <v>4595.1975000000002</v>
      </c>
      <c r="AA444">
        <f>IF(Z444="N/A","N/A",Z444-V444)</f>
        <v>707.78750000000036</v>
      </c>
      <c r="AB444" s="8">
        <f>IF(Z444&lt;&gt;"N/A", AA444/Z444, "N/A")</f>
        <v>0.15402765604742785</v>
      </c>
      <c r="AC444">
        <f>MONTH(B444)</f>
        <v>10</v>
      </c>
      <c r="AD444">
        <f>YEAR(B444)</f>
        <v>2024</v>
      </c>
      <c r="AE444" s="10">
        <f t="shared" si="6"/>
        <v>2.4999999995998223E-3</v>
      </c>
      <c r="AF444" t="s">
        <v>2800</v>
      </c>
      <c r="AG444" t="s">
        <v>2798</v>
      </c>
    </row>
    <row r="445" spans="1:33">
      <c r="A445" t="s">
        <v>2477</v>
      </c>
      <c r="B445" s="4">
        <v>45352</v>
      </c>
      <c r="C445" s="4">
        <v>45358</v>
      </c>
      <c r="D445">
        <f>_xlfn.DAYS(C445,B445)</f>
        <v>6</v>
      </c>
      <c r="E445" t="s">
        <v>2804</v>
      </c>
      <c r="F445" t="s">
        <v>2478</v>
      </c>
      <c r="G445" t="s">
        <v>71</v>
      </c>
      <c r="H445" t="s">
        <v>37</v>
      </c>
      <c r="I445" t="s">
        <v>63</v>
      </c>
      <c r="J445" t="s">
        <v>64</v>
      </c>
      <c r="K445" t="s">
        <v>65</v>
      </c>
      <c r="L445" t="s">
        <v>28</v>
      </c>
      <c r="M445" t="s">
        <v>124</v>
      </c>
      <c r="N445" t="s">
        <v>2479</v>
      </c>
      <c r="O445" t="s">
        <v>31</v>
      </c>
      <c r="P445">
        <v>6</v>
      </c>
      <c r="Q445">
        <v>4163.72</v>
      </c>
      <c r="R445">
        <v>0.15</v>
      </c>
      <c r="S445">
        <f>IF(ISNUMBER(SEARCH("%",R445)), VALUE(SUBSTITUTE(R445,"%",""))/100,IF(ISNUMBER(R445), R445, 0))</f>
        <v>0.15</v>
      </c>
      <c r="T445" t="str">
        <f>IF(S445&lt;0,"Negative discount (invalid)",IF(S445&gt;0.5,"Discount above allowed range (invalid)",IF(AND(R445="",S445=0),"Missing discount set to 0","OK")))</f>
        <v>OK</v>
      </c>
      <c r="U445">
        <v>21234.97</v>
      </c>
      <c r="V445">
        <v>16736.09</v>
      </c>
      <c r="W445">
        <v>4498.88</v>
      </c>
      <c r="X445" t="s">
        <v>32</v>
      </c>
      <c r="Y445" t="s">
        <v>33</v>
      </c>
      <c r="Z445">
        <f>IF(T445="OK",P445*Q445*(1-S445),"invalid")</f>
        <v>21234.971999999998</v>
      </c>
      <c r="AA445">
        <f>IF(Z445="N/A","N/A",Z445-V445)</f>
        <v>4498.8819999999978</v>
      </c>
      <c r="AB445" s="8">
        <f>IF(Z445&lt;&gt;"N/A", AA445/Z445, "N/A")</f>
        <v>0.21186192286950029</v>
      </c>
      <c r="AC445">
        <f>MONTH(B445)</f>
        <v>3</v>
      </c>
      <c r="AD445">
        <f>YEAR(B445)</f>
        <v>2024</v>
      </c>
      <c r="AE445" s="10">
        <f t="shared" si="6"/>
        <v>1.9999999967694748E-3</v>
      </c>
      <c r="AF445" t="s">
        <v>2804</v>
      </c>
      <c r="AG445" t="s">
        <v>2811</v>
      </c>
    </row>
    <row r="446" spans="1:33">
      <c r="A446" t="s">
        <v>2486</v>
      </c>
      <c r="B446" s="4">
        <v>45635</v>
      </c>
      <c r="C446" s="4">
        <v>45639</v>
      </c>
      <c r="D446">
        <f>_xlfn.DAYS(C446,B446)</f>
        <v>4</v>
      </c>
      <c r="E446" t="s">
        <v>2804</v>
      </c>
      <c r="F446" t="s">
        <v>2487</v>
      </c>
      <c r="G446" t="s">
        <v>141</v>
      </c>
      <c r="H446" t="s">
        <v>24</v>
      </c>
      <c r="I446" t="s">
        <v>2785</v>
      </c>
      <c r="J446" t="s">
        <v>228</v>
      </c>
      <c r="K446" t="s">
        <v>229</v>
      </c>
      <c r="L446" t="s">
        <v>28</v>
      </c>
      <c r="M446" t="s">
        <v>91</v>
      </c>
      <c r="N446" t="s">
        <v>2488</v>
      </c>
      <c r="O446" t="s">
        <v>50</v>
      </c>
      <c r="P446">
        <v>1</v>
      </c>
      <c r="Q446">
        <v>4306.6499999999996</v>
      </c>
      <c r="R446">
        <v>0</v>
      </c>
      <c r="S446">
        <f>IF(ISNUMBER(SEARCH("%",R446)), VALUE(SUBSTITUTE(R446,"%",""))/100,IF(ISNUMBER(R446), R446, 0))</f>
        <v>0</v>
      </c>
      <c r="T446" t="str">
        <f>IF(S446&lt;0,"Negative discount (invalid)",IF(S446&gt;0.5,"Discount above allowed range (invalid)",IF(AND(R446="",S446=0),"Missing discount set to 0","OK")))</f>
        <v>OK</v>
      </c>
      <c r="U446">
        <v>4306.6499999999996</v>
      </c>
      <c r="V446">
        <v>2568.8200000000002</v>
      </c>
      <c r="W446">
        <v>1737.83</v>
      </c>
      <c r="X446" t="s">
        <v>32</v>
      </c>
      <c r="Y446" t="s">
        <v>33</v>
      </c>
      <c r="Z446">
        <f>IF(T446="OK",P446*Q446*(1-S446),"invalid")</f>
        <v>4306.6499999999996</v>
      </c>
      <c r="AA446">
        <f>IF(Z446="N/A","N/A",Z446-V446)</f>
        <v>1737.8299999999995</v>
      </c>
      <c r="AB446" s="8">
        <f>IF(Z446&lt;&gt;"N/A", AA446/Z446, "N/A")</f>
        <v>0.40352245945224235</v>
      </c>
      <c r="AC446">
        <f>MONTH(B446)</f>
        <v>12</v>
      </c>
      <c r="AD446">
        <f>YEAR(B446)</f>
        <v>2024</v>
      </c>
      <c r="AE446" s="10">
        <f t="shared" si="6"/>
        <v>0</v>
      </c>
      <c r="AF446" t="s">
        <v>2799</v>
      </c>
      <c r="AG446" t="s">
        <v>2798</v>
      </c>
    </row>
    <row r="447" spans="1:33">
      <c r="A447" t="s">
        <v>2494</v>
      </c>
      <c r="B447" s="4">
        <v>45605</v>
      </c>
      <c r="C447" s="4">
        <v>45611</v>
      </c>
      <c r="D447">
        <f>_xlfn.DAYS(C447,B447)</f>
        <v>6</v>
      </c>
      <c r="E447" t="s">
        <v>2804</v>
      </c>
      <c r="F447" t="s">
        <v>2495</v>
      </c>
      <c r="G447" t="s">
        <v>47</v>
      </c>
      <c r="H447" t="s">
        <v>95</v>
      </c>
      <c r="I447" t="s">
        <v>25</v>
      </c>
      <c r="J447" t="s">
        <v>26</v>
      </c>
      <c r="K447" t="s">
        <v>27</v>
      </c>
      <c r="L447" t="s">
        <v>74</v>
      </c>
      <c r="M447" t="s">
        <v>80</v>
      </c>
      <c r="N447" t="s">
        <v>2496</v>
      </c>
      <c r="O447" t="s">
        <v>59</v>
      </c>
      <c r="P447">
        <v>1</v>
      </c>
      <c r="Q447">
        <v>3665.97</v>
      </c>
      <c r="R447">
        <v>0.2</v>
      </c>
      <c r="S447">
        <f>IF(ISNUMBER(SEARCH("%",R447)), VALUE(SUBSTITUTE(R447,"%",""))/100,IF(ISNUMBER(R447), R447, 0))</f>
        <v>0.2</v>
      </c>
      <c r="T447" t="str">
        <f>IF(S447&lt;0,"Negative discount (invalid)",IF(S447&gt;0.5,"Discount above allowed range (invalid)",IF(AND(R447="",S447=0),"Missing discount set to 0","OK")))</f>
        <v>OK</v>
      </c>
      <c r="U447">
        <v>2932.78</v>
      </c>
      <c r="V447">
        <v>1900.35</v>
      </c>
      <c r="W447">
        <v>1032.43</v>
      </c>
      <c r="X447" t="s">
        <v>155</v>
      </c>
      <c r="Y447" t="s">
        <v>68</v>
      </c>
      <c r="Z447">
        <f>IF(T447="OK",P447*Q447*(1-S447),"invalid")</f>
        <v>2932.7759999999998</v>
      </c>
      <c r="AA447">
        <f>IF(Z447="N/A","N/A",Z447-V447)</f>
        <v>1032.4259999999999</v>
      </c>
      <c r="AB447" s="8">
        <f>IF(Z447&lt;&gt;"N/A", AA447/Z447, "N/A")</f>
        <v>0.35203029484692999</v>
      </c>
      <c r="AC447">
        <f>MONTH(B447)</f>
        <v>11</v>
      </c>
      <c r="AD447">
        <f>YEAR(B447)</f>
        <v>2024</v>
      </c>
      <c r="AE447" s="10">
        <f t="shared" si="6"/>
        <v>4.0000000003601599E-3</v>
      </c>
      <c r="AF447" t="s">
        <v>2804</v>
      </c>
      <c r="AG447" t="s">
        <v>2811</v>
      </c>
    </row>
    <row r="448" spans="1:33">
      <c r="A448" t="s">
        <v>2506</v>
      </c>
      <c r="B448" s="4">
        <v>45385</v>
      </c>
      <c r="C448" s="4">
        <v>45390</v>
      </c>
      <c r="D448">
        <f>_xlfn.DAYS(C448,B448)</f>
        <v>5</v>
      </c>
      <c r="E448" t="s">
        <v>2804</v>
      </c>
      <c r="F448" t="s">
        <v>1670</v>
      </c>
      <c r="G448" t="s">
        <v>264</v>
      </c>
      <c r="H448" t="s">
        <v>95</v>
      </c>
      <c r="I448" t="s">
        <v>63</v>
      </c>
      <c r="J448" t="s">
        <v>180</v>
      </c>
      <c r="K448" t="s">
        <v>181</v>
      </c>
      <c r="L448" t="s">
        <v>74</v>
      </c>
      <c r="M448" t="s">
        <v>80</v>
      </c>
      <c r="N448" t="s">
        <v>2507</v>
      </c>
      <c r="O448" t="s">
        <v>50</v>
      </c>
      <c r="P448">
        <v>1</v>
      </c>
      <c r="Q448">
        <v>3151.85</v>
      </c>
      <c r="R448">
        <v>0.25</v>
      </c>
      <c r="S448">
        <f>IF(ISNUMBER(SEARCH("%",R448)), VALUE(SUBSTITUTE(R448,"%",""))/100,IF(ISNUMBER(R448), R448, 0))</f>
        <v>0.25</v>
      </c>
      <c r="T448" t="str">
        <f>IF(S448&lt;0,"Negative discount (invalid)",IF(S448&gt;0.5,"Discount above allowed range (invalid)",IF(AND(R448="",S448=0),"Missing discount set to 0","OK")))</f>
        <v>OK</v>
      </c>
      <c r="U448">
        <v>2363.89</v>
      </c>
      <c r="V448">
        <v>1471.51</v>
      </c>
      <c r="W448">
        <v>892.38</v>
      </c>
      <c r="X448" t="s">
        <v>32</v>
      </c>
      <c r="Y448" t="s">
        <v>33</v>
      </c>
      <c r="Z448">
        <f>IF(T448="OK",P448*Q448*(1-S448),"invalid")</f>
        <v>2363.8874999999998</v>
      </c>
      <c r="AA448">
        <f>IF(Z448="N/A","N/A",Z448-V448)</f>
        <v>892.37749999999983</v>
      </c>
      <c r="AB448" s="8">
        <f>IF(Z448&lt;&gt;"N/A", AA448/Z448, "N/A")</f>
        <v>0.37750421710000998</v>
      </c>
      <c r="AC448">
        <f>MONTH(B448)</f>
        <v>4</v>
      </c>
      <c r="AD448">
        <f>YEAR(B448)</f>
        <v>2024</v>
      </c>
      <c r="AE448" s="10">
        <f t="shared" si="6"/>
        <v>2.5000000000545697E-3</v>
      </c>
      <c r="AF448" t="s">
        <v>2804</v>
      </c>
      <c r="AG448" t="s">
        <v>2811</v>
      </c>
    </row>
    <row r="449" spans="1:33">
      <c r="A449" t="s">
        <v>2508</v>
      </c>
      <c r="B449" s="4">
        <v>45638</v>
      </c>
      <c r="C449" s="4">
        <v>45645</v>
      </c>
      <c r="D449">
        <f>_xlfn.DAYS(C449,B449)</f>
        <v>7</v>
      </c>
      <c r="E449" t="s">
        <v>2804</v>
      </c>
      <c r="F449" t="s">
        <v>2509</v>
      </c>
      <c r="G449" t="s">
        <v>141</v>
      </c>
      <c r="H449" t="s">
        <v>95</v>
      </c>
      <c r="I449" t="s">
        <v>25</v>
      </c>
      <c r="J449" t="s">
        <v>236</v>
      </c>
      <c r="K449" t="s">
        <v>237</v>
      </c>
      <c r="L449" t="s">
        <v>74</v>
      </c>
      <c r="M449" t="s">
        <v>75</v>
      </c>
      <c r="N449" t="s">
        <v>2510</v>
      </c>
      <c r="O449" t="s">
        <v>50</v>
      </c>
      <c r="P449">
        <v>2</v>
      </c>
      <c r="Q449">
        <v>1610.75</v>
      </c>
      <c r="R449">
        <v>0.2</v>
      </c>
      <c r="S449">
        <f>IF(ISNUMBER(SEARCH("%",R449)), VALUE(SUBSTITUTE(R449,"%",""))/100,IF(ISNUMBER(R449), R449, 0))</f>
        <v>0.2</v>
      </c>
      <c r="T449" t="str">
        <f>IF(S449&lt;0,"Negative discount (invalid)",IF(S449&gt;0.5,"Discount above allowed range (invalid)",IF(AND(R449="",S449=0),"Missing discount set to 0","OK")))</f>
        <v>OK</v>
      </c>
      <c r="U449">
        <v>2577.1999999999998</v>
      </c>
      <c r="V449">
        <v>1475.87</v>
      </c>
      <c r="W449">
        <v>1101.33</v>
      </c>
      <c r="X449" t="s">
        <v>32</v>
      </c>
      <c r="Y449" t="s">
        <v>33</v>
      </c>
      <c r="Z449">
        <f>IF(T449="OK",P449*Q449*(1-S449),"invalid")</f>
        <v>2577.2000000000003</v>
      </c>
      <c r="AA449">
        <f>IF(Z449="N/A","N/A",Z449-V449)</f>
        <v>1101.3300000000004</v>
      </c>
      <c r="AB449" s="8">
        <f>IF(Z449&lt;&gt;"N/A", AA449/Z449, "N/A")</f>
        <v>0.42733586838429316</v>
      </c>
      <c r="AC449">
        <f>MONTH(B449)</f>
        <v>12</v>
      </c>
      <c r="AD449">
        <f>YEAR(B449)</f>
        <v>2024</v>
      </c>
      <c r="AE449" s="10">
        <f t="shared" si="6"/>
        <v>4.5474735088646412E-13</v>
      </c>
      <c r="AF449" t="s">
        <v>2804</v>
      </c>
      <c r="AG449" t="s">
        <v>2811</v>
      </c>
    </row>
    <row r="450" spans="1:33">
      <c r="A450" t="s">
        <v>2511</v>
      </c>
      <c r="B450" s="4">
        <v>45458</v>
      </c>
      <c r="C450" s="4">
        <v>45463</v>
      </c>
      <c r="D450">
        <f>_xlfn.DAYS(C450,B450)</f>
        <v>5</v>
      </c>
      <c r="E450" t="s">
        <v>2804</v>
      </c>
      <c r="F450" t="s">
        <v>2512</v>
      </c>
      <c r="G450" t="s">
        <v>132</v>
      </c>
      <c r="H450" t="s">
        <v>37</v>
      </c>
      <c r="I450" t="s">
        <v>38</v>
      </c>
      <c r="J450" t="s">
        <v>228</v>
      </c>
      <c r="K450" t="s">
        <v>229</v>
      </c>
      <c r="L450" t="s">
        <v>41</v>
      </c>
      <c r="M450" t="s">
        <v>42</v>
      </c>
      <c r="N450" t="s">
        <v>2513</v>
      </c>
      <c r="O450" t="s">
        <v>50</v>
      </c>
      <c r="P450">
        <v>8</v>
      </c>
      <c r="Q450">
        <v>2228.4699999999998</v>
      </c>
      <c r="R450">
        <v>0</v>
      </c>
      <c r="S450">
        <f>IF(ISNUMBER(SEARCH("%",R450)), VALUE(SUBSTITUTE(R450,"%",""))/100,IF(ISNUMBER(R450), R450, 0))</f>
        <v>0</v>
      </c>
      <c r="T450" t="str">
        <f>IF(S450&lt;0,"Negative discount (invalid)",IF(S450&gt;0.5,"Discount above allowed range (invalid)",IF(AND(R450="",S450=0),"Missing discount set to 0","OK")))</f>
        <v>OK</v>
      </c>
      <c r="U450">
        <v>17827.759999999998</v>
      </c>
      <c r="V450">
        <v>14122.13</v>
      </c>
      <c r="W450">
        <v>3705.63</v>
      </c>
      <c r="X450" t="s">
        <v>32</v>
      </c>
      <c r="Y450" t="s">
        <v>33</v>
      </c>
      <c r="Z450">
        <f>IF(T450="OK",P450*Q450*(1-S450),"invalid")</f>
        <v>17827.759999999998</v>
      </c>
      <c r="AA450">
        <f>IF(Z450="N/A","N/A",Z450-V450)</f>
        <v>3705.6299999999992</v>
      </c>
      <c r="AB450" s="8">
        <f>IF(Z450&lt;&gt;"N/A", AA450/Z450, "N/A")</f>
        <v>0.20785729671029896</v>
      </c>
      <c r="AC450">
        <f>MONTH(B450)</f>
        <v>6</v>
      </c>
      <c r="AD450">
        <f>YEAR(B450)</f>
        <v>2024</v>
      </c>
      <c r="AE450" s="10">
        <f t="shared" si="6"/>
        <v>0</v>
      </c>
      <c r="AF450" t="s">
        <v>2804</v>
      </c>
      <c r="AG450" t="s">
        <v>2811</v>
      </c>
    </row>
    <row r="451" spans="1:33">
      <c r="A451" t="s">
        <v>2519</v>
      </c>
      <c r="B451" s="4">
        <v>45383</v>
      </c>
      <c r="C451" s="4">
        <v>45390</v>
      </c>
      <c r="D451">
        <f>_xlfn.DAYS(C451,B451)</f>
        <v>7</v>
      </c>
      <c r="E451" t="s">
        <v>2804</v>
      </c>
      <c r="F451" t="s">
        <v>2520</v>
      </c>
      <c r="G451" t="s">
        <v>162</v>
      </c>
      <c r="H451" t="s">
        <v>24</v>
      </c>
      <c r="I451" t="s">
        <v>38</v>
      </c>
      <c r="J451" t="s">
        <v>39</v>
      </c>
      <c r="K451" t="s">
        <v>40</v>
      </c>
      <c r="L451" t="s">
        <v>74</v>
      </c>
      <c r="M451" t="s">
        <v>274</v>
      </c>
      <c r="N451" t="s">
        <v>2521</v>
      </c>
      <c r="O451" t="s">
        <v>59</v>
      </c>
      <c r="P451">
        <v>7</v>
      </c>
      <c r="Q451">
        <v>715.81</v>
      </c>
      <c r="R451">
        <v>0.15</v>
      </c>
      <c r="S451">
        <f>IF(ISNUMBER(SEARCH("%",R451)), VALUE(SUBSTITUTE(R451,"%",""))/100,IF(ISNUMBER(R451), R451, 0))</f>
        <v>0.15</v>
      </c>
      <c r="T451" t="str">
        <f>IF(S451&lt;0,"Negative discount (invalid)",IF(S451&gt;0.5,"Discount above allowed range (invalid)",IF(AND(R451="",S451=0),"Missing discount set to 0","OK")))</f>
        <v>OK</v>
      </c>
      <c r="U451">
        <v>4259.07</v>
      </c>
      <c r="V451">
        <v>3130.32</v>
      </c>
      <c r="W451">
        <v>1128.75</v>
      </c>
      <c r="X451" t="s">
        <v>111</v>
      </c>
      <c r="Y451" t="s">
        <v>68</v>
      </c>
      <c r="Z451">
        <f>IF(T451="OK",P451*Q451*(1-S451),"invalid")</f>
        <v>4259.0694999999996</v>
      </c>
      <c r="AA451">
        <f>IF(Z451="N/A","N/A",Z451-V451)</f>
        <v>1128.7494999999994</v>
      </c>
      <c r="AB451" s="8">
        <f>IF(Z451&lt;&gt;"N/A", AA451/Z451, "N/A")</f>
        <v>0.26502255950507486</v>
      </c>
      <c r="AC451">
        <f>MONTH(B451)</f>
        <v>4</v>
      </c>
      <c r="AD451">
        <f>YEAR(B451)</f>
        <v>2024</v>
      </c>
      <c r="AE451" s="10">
        <f t="shared" ref="AE451:AE514" si="7">IF(Z451&lt;&gt;"N/A",ABS(Z451-U451),"N/A")</f>
        <v>5.0000000010186341E-4</v>
      </c>
      <c r="AF451" t="s">
        <v>2804</v>
      </c>
      <c r="AG451" t="s">
        <v>2811</v>
      </c>
    </row>
    <row r="452" spans="1:33">
      <c r="A452" t="s">
        <v>2522</v>
      </c>
      <c r="B452" s="4">
        <v>45623</v>
      </c>
      <c r="C452" s="4">
        <v>45626</v>
      </c>
      <c r="D452">
        <f>_xlfn.DAYS(C452,B452)</f>
        <v>3</v>
      </c>
      <c r="E452" t="s">
        <v>2804</v>
      </c>
      <c r="F452" t="s">
        <v>2523</v>
      </c>
      <c r="G452" t="s">
        <v>118</v>
      </c>
      <c r="H452" t="s">
        <v>37</v>
      </c>
      <c r="I452" t="s">
        <v>38</v>
      </c>
      <c r="J452" t="s">
        <v>228</v>
      </c>
      <c r="K452" t="s">
        <v>229</v>
      </c>
      <c r="L452" t="s">
        <v>41</v>
      </c>
      <c r="M452" t="s">
        <v>57</v>
      </c>
      <c r="N452" t="s">
        <v>2524</v>
      </c>
      <c r="O452" t="s">
        <v>50</v>
      </c>
      <c r="P452">
        <v>1</v>
      </c>
      <c r="Q452">
        <v>874.3</v>
      </c>
      <c r="R452">
        <v>0.1</v>
      </c>
      <c r="S452">
        <f>IF(ISNUMBER(SEARCH("%",R452)), VALUE(SUBSTITUTE(R452,"%",""))/100,IF(ISNUMBER(R452), R452, 0))</f>
        <v>0.1</v>
      </c>
      <c r="T452" t="str">
        <f>IF(S452&lt;0,"Negative discount (invalid)",IF(S452&gt;0.5,"Discount above allowed range (invalid)",IF(AND(R452="",S452=0),"Missing discount set to 0","OK")))</f>
        <v>OK</v>
      </c>
      <c r="U452">
        <v>786.87</v>
      </c>
      <c r="V452">
        <v>498.5</v>
      </c>
      <c r="W452">
        <v>288.37</v>
      </c>
      <c r="X452" t="s">
        <v>32</v>
      </c>
      <c r="Y452" t="s">
        <v>33</v>
      </c>
      <c r="Z452">
        <f>IF(T452="OK",P452*Q452*(1-S452),"invalid")</f>
        <v>786.87</v>
      </c>
      <c r="AA452">
        <f>IF(Z452="N/A","N/A",Z452-V452)</f>
        <v>288.37</v>
      </c>
      <c r="AB452" s="8">
        <f>IF(Z452&lt;&gt;"N/A", AA452/Z452, "N/A")</f>
        <v>0.36647730883119195</v>
      </c>
      <c r="AC452">
        <f>MONTH(B452)</f>
        <v>11</v>
      </c>
      <c r="AD452">
        <f>YEAR(B452)</f>
        <v>2024</v>
      </c>
      <c r="AE452" s="10">
        <f t="shared" si="7"/>
        <v>0</v>
      </c>
      <c r="AF452" t="s">
        <v>2804</v>
      </c>
      <c r="AG452" t="s">
        <v>2811</v>
      </c>
    </row>
    <row r="453" spans="1:33">
      <c r="A453" t="s">
        <v>2528</v>
      </c>
      <c r="B453" s="4">
        <v>45564</v>
      </c>
      <c r="C453" s="4">
        <v>45570</v>
      </c>
      <c r="D453">
        <f>_xlfn.DAYS(C453,B453)</f>
        <v>6</v>
      </c>
      <c r="E453" t="s">
        <v>2804</v>
      </c>
      <c r="F453" t="s">
        <v>2529</v>
      </c>
      <c r="G453" t="s">
        <v>114</v>
      </c>
      <c r="H453" t="s">
        <v>37</v>
      </c>
      <c r="I453" t="s">
        <v>63</v>
      </c>
      <c r="J453" t="s">
        <v>64</v>
      </c>
      <c r="K453" t="s">
        <v>65</v>
      </c>
      <c r="L453" t="s">
        <v>28</v>
      </c>
      <c r="M453" t="s">
        <v>91</v>
      </c>
      <c r="N453" t="s">
        <v>2530</v>
      </c>
      <c r="O453" t="s">
        <v>50</v>
      </c>
      <c r="P453">
        <v>8</v>
      </c>
      <c r="Q453">
        <v>1981.04</v>
      </c>
      <c r="R453">
        <v>-0.14000000000000001</v>
      </c>
      <c r="S453">
        <f>IF(ISNUMBER(SEARCH("%",R453)), VALUE(SUBSTITUTE(R453,"%",""))/100,IF(ISNUMBER(R453), R453, 0))</f>
        <v>-0.14000000000000001</v>
      </c>
      <c r="T453" t="str">
        <f>IF(S453&lt;0,"Negative discount (invalid)",IF(S453&gt;0.5,"Discount above allowed range (invalid)",IF(AND(R453="",S453=0),"Missing discount set to 0","OK")))</f>
        <v>Negative discount (invalid)</v>
      </c>
      <c r="U453">
        <v>12678.66</v>
      </c>
      <c r="V453">
        <v>10088.65</v>
      </c>
      <c r="W453">
        <v>2590.0100000000002</v>
      </c>
      <c r="X453" t="s">
        <v>32</v>
      </c>
      <c r="Y453" t="s">
        <v>33</v>
      </c>
      <c r="Z453" t="s">
        <v>2793</v>
      </c>
      <c r="AA453" t="str">
        <f>IF(Z453="N/A","N/A",Z453-V453)</f>
        <v>N/A</v>
      </c>
      <c r="AB453" s="8" t="str">
        <f>IF(Z453&lt;&gt;"N/A", AA453/Z453, "N/A")</f>
        <v>N/A</v>
      </c>
      <c r="AC453">
        <f>MONTH(B453)</f>
        <v>9</v>
      </c>
      <c r="AD453">
        <f>YEAR(B453)</f>
        <v>2024</v>
      </c>
      <c r="AE453" s="10" t="str">
        <f t="shared" si="7"/>
        <v>N/A</v>
      </c>
      <c r="AF453" t="s">
        <v>2802</v>
      </c>
      <c r="AG453" t="s">
        <v>2789</v>
      </c>
    </row>
    <row r="454" spans="1:33">
      <c r="A454" t="s">
        <v>2531</v>
      </c>
      <c r="B454" s="4">
        <v>45504</v>
      </c>
      <c r="C454" s="4">
        <v>45504</v>
      </c>
      <c r="D454">
        <f>_xlfn.DAYS(C454,B454)</f>
        <v>0</v>
      </c>
      <c r="E454" t="s">
        <v>2804</v>
      </c>
      <c r="F454" t="s">
        <v>2532</v>
      </c>
      <c r="G454" t="s">
        <v>23</v>
      </c>
      <c r="H454" t="s">
        <v>95</v>
      </c>
      <c r="I454" t="s">
        <v>54</v>
      </c>
      <c r="J454" t="s">
        <v>185</v>
      </c>
      <c r="K454" t="s">
        <v>186</v>
      </c>
      <c r="L454" t="s">
        <v>74</v>
      </c>
      <c r="M454" t="s">
        <v>274</v>
      </c>
      <c r="N454" t="s">
        <v>2533</v>
      </c>
      <c r="O454" t="s">
        <v>59</v>
      </c>
      <c r="P454">
        <v>8</v>
      </c>
      <c r="Q454">
        <v>4246.01</v>
      </c>
      <c r="R454">
        <v>0</v>
      </c>
      <c r="S454">
        <f>IF(ISNUMBER(SEARCH("%",R454)), VALUE(SUBSTITUTE(R454,"%",""))/100,IF(ISNUMBER(R454), R454, 0))</f>
        <v>0</v>
      </c>
      <c r="T454" t="str">
        <f>IF(S454&lt;0,"Negative discount (invalid)",IF(S454&gt;0.5,"Discount above allowed range (invalid)",IF(AND(R454="",S454=0),"Missing discount set to 0","OK")))</f>
        <v>OK</v>
      </c>
      <c r="U454">
        <v>33968.080000000002</v>
      </c>
      <c r="V454">
        <v>26902.44</v>
      </c>
      <c r="W454">
        <v>7065.64</v>
      </c>
      <c r="X454" t="s">
        <v>155</v>
      </c>
      <c r="Y454" t="s">
        <v>68</v>
      </c>
      <c r="Z454">
        <f>IF(T454="OK",P454*Q454*(1-S454),"invalid")</f>
        <v>33968.080000000002</v>
      </c>
      <c r="AA454">
        <f>IF(Z454="N/A","N/A",Z454-V454)</f>
        <v>7065.6400000000031</v>
      </c>
      <c r="AB454" s="8">
        <f>IF(Z454&lt;&gt;"N/A", AA454/Z454, "N/A")</f>
        <v>0.20800822419165294</v>
      </c>
      <c r="AC454">
        <f>MONTH(B454)</f>
        <v>7</v>
      </c>
      <c r="AD454">
        <f>YEAR(B454)</f>
        <v>2024</v>
      </c>
      <c r="AE454" s="10">
        <f t="shared" si="7"/>
        <v>0</v>
      </c>
      <c r="AF454" t="s">
        <v>2804</v>
      </c>
      <c r="AG454" t="s">
        <v>2811</v>
      </c>
    </row>
    <row r="455" spans="1:33">
      <c r="A455" t="s">
        <v>2537</v>
      </c>
      <c r="B455" s="4">
        <v>45476</v>
      </c>
      <c r="C455" s="4">
        <v>45479</v>
      </c>
      <c r="D455">
        <f>_xlfn.DAYS(C455,B455)</f>
        <v>3</v>
      </c>
      <c r="E455" t="s">
        <v>2804</v>
      </c>
      <c r="F455" t="s">
        <v>2538</v>
      </c>
      <c r="G455" t="s">
        <v>128</v>
      </c>
      <c r="H455" t="s">
        <v>90</v>
      </c>
      <c r="I455" t="s">
        <v>54</v>
      </c>
      <c r="J455" t="s">
        <v>175</v>
      </c>
      <c r="K455" t="s">
        <v>176</v>
      </c>
      <c r="L455" t="s">
        <v>74</v>
      </c>
      <c r="M455" t="s">
        <v>75</v>
      </c>
      <c r="N455" t="s">
        <v>2539</v>
      </c>
      <c r="O455" t="s">
        <v>50</v>
      </c>
      <c r="P455">
        <v>7</v>
      </c>
      <c r="Q455">
        <v>1942.49</v>
      </c>
      <c r="R455">
        <v>0.2</v>
      </c>
      <c r="S455">
        <f>IF(ISNUMBER(SEARCH("%",R455)), VALUE(SUBSTITUTE(R455,"%",""))/100,IF(ISNUMBER(R455), R455, 0))</f>
        <v>0.2</v>
      </c>
      <c r="T455" t="str">
        <f>IF(S455&lt;0,"Negative discount (invalid)",IF(S455&gt;0.5,"Discount above allowed range (invalid)",IF(AND(R455="",S455=0),"Missing discount set to 0","OK")))</f>
        <v>OK</v>
      </c>
      <c r="U455">
        <v>10877.94</v>
      </c>
      <c r="V455">
        <v>9110.14</v>
      </c>
      <c r="W455">
        <v>1767.8</v>
      </c>
      <c r="X455" t="s">
        <v>32</v>
      </c>
      <c r="Y455" t="s">
        <v>33</v>
      </c>
      <c r="Z455">
        <f>IF(T455="OK",P455*Q455*(1-S455),"invalid")</f>
        <v>10877.944000000001</v>
      </c>
      <c r="AA455">
        <f>IF(Z455="N/A","N/A",Z455-V455)</f>
        <v>1767.8040000000019</v>
      </c>
      <c r="AB455" s="8">
        <f>IF(Z455&lt;&gt;"N/A", AA455/Z455, "N/A")</f>
        <v>0.16251269541376584</v>
      </c>
      <c r="AC455">
        <f>MONTH(B455)</f>
        <v>7</v>
      </c>
      <c r="AD455">
        <f>YEAR(B455)</f>
        <v>2024</v>
      </c>
      <c r="AE455" s="10">
        <f t="shared" si="7"/>
        <v>4.0000000008149073E-3</v>
      </c>
      <c r="AF455" t="s">
        <v>2804</v>
      </c>
      <c r="AG455" t="s">
        <v>2811</v>
      </c>
    </row>
    <row r="456" spans="1:33">
      <c r="A456" t="s">
        <v>2540</v>
      </c>
      <c r="B456" s="4">
        <v>45577</v>
      </c>
      <c r="C456" s="4">
        <v>45573</v>
      </c>
      <c r="D456">
        <f>_xlfn.DAYS(C456,B456)</f>
        <v>-4</v>
      </c>
      <c r="E456" t="str">
        <f>IF(B456="INVALID","Missing/Invalid order_date", IF(C456="INVALID","Missing/Invalid ship_date",IF(AND(B456&lt;&gt;"",C456&lt;&gt;"",C456&lt;B456),"Ship date before order date","")))</f>
        <v>Ship date before order date</v>
      </c>
      <c r="F456" t="s">
        <v>2541</v>
      </c>
      <c r="G456" t="s">
        <v>36</v>
      </c>
      <c r="H456" t="s">
        <v>90</v>
      </c>
      <c r="I456" t="s">
        <v>38</v>
      </c>
      <c r="J456" t="s">
        <v>166</v>
      </c>
      <c r="K456" t="s">
        <v>167</v>
      </c>
      <c r="L456" t="s">
        <v>41</v>
      </c>
      <c r="M456" t="s">
        <v>57</v>
      </c>
      <c r="N456" t="s">
        <v>2542</v>
      </c>
      <c r="O456" t="s">
        <v>31</v>
      </c>
      <c r="P456">
        <v>4</v>
      </c>
      <c r="Q456">
        <v>3202.04</v>
      </c>
      <c r="R456">
        <v>0.2</v>
      </c>
      <c r="S456">
        <f>IF(ISNUMBER(SEARCH("%",R456)), VALUE(SUBSTITUTE(R456,"%",""))/100,IF(ISNUMBER(R456), R456, 0))</f>
        <v>0.2</v>
      </c>
      <c r="T456" t="str">
        <f>IF(S456&lt;0,"Negative discount (invalid)",IF(S456&gt;0.5,"Discount above allowed range (invalid)",IF(AND(R456="",S456=0),"Missing discount set to 0","OK")))</f>
        <v>OK</v>
      </c>
      <c r="U456">
        <v>10246.530000000001</v>
      </c>
      <c r="V456">
        <v>8634.42</v>
      </c>
      <c r="W456">
        <v>1612.11</v>
      </c>
      <c r="X456" t="s">
        <v>111</v>
      </c>
      <c r="Y456" t="s">
        <v>103</v>
      </c>
      <c r="Z456">
        <f>IF(T456="OK",P456*Q456*(1-S456),"invalid")</f>
        <v>10246.528</v>
      </c>
      <c r="AA456">
        <f>IF(Z456="N/A","N/A",Z456-V456)</f>
        <v>1612.1080000000002</v>
      </c>
      <c r="AB456" s="8">
        <f>IF(Z456&lt;&gt;"N/A", AA456/Z456, "N/A")</f>
        <v>0.15733212264681268</v>
      </c>
      <c r="AC456">
        <f>MONTH(B456)</f>
        <v>10</v>
      </c>
      <c r="AD456">
        <f>YEAR(B456)</f>
        <v>2024</v>
      </c>
      <c r="AE456" s="10">
        <f t="shared" si="7"/>
        <v>2.0000000004074536E-3</v>
      </c>
      <c r="AF456" t="s">
        <v>2806</v>
      </c>
      <c r="AG456" t="s">
        <v>2789</v>
      </c>
    </row>
    <row r="457" spans="1:33">
      <c r="A457" t="s">
        <v>2555</v>
      </c>
      <c r="B457" s="4">
        <v>45620</v>
      </c>
      <c r="C457" s="4">
        <v>45627</v>
      </c>
      <c r="D457">
        <f>_xlfn.DAYS(C457,B457)</f>
        <v>7</v>
      </c>
      <c r="E457" t="s">
        <v>2804</v>
      </c>
      <c r="F457" t="s">
        <v>2556</v>
      </c>
      <c r="G457" t="s">
        <v>114</v>
      </c>
      <c r="H457" t="s">
        <v>95</v>
      </c>
      <c r="I457" t="s">
        <v>54</v>
      </c>
      <c r="J457" t="s">
        <v>247</v>
      </c>
      <c r="K457" t="s">
        <v>248</v>
      </c>
      <c r="L457" t="s">
        <v>28</v>
      </c>
      <c r="M457" t="s">
        <v>29</v>
      </c>
      <c r="N457" t="s">
        <v>2557</v>
      </c>
      <c r="O457" t="s">
        <v>44</v>
      </c>
      <c r="P457">
        <v>1</v>
      </c>
      <c r="Q457">
        <v>844.89</v>
      </c>
      <c r="R457">
        <v>0.25</v>
      </c>
      <c r="S457">
        <f>IF(ISNUMBER(SEARCH("%",R457)), VALUE(SUBSTITUTE(R457,"%",""))/100,IF(ISNUMBER(R457), R457, 0))</f>
        <v>0.25</v>
      </c>
      <c r="T457" t="str">
        <f>IF(S457&lt;0,"Negative discount (invalid)",IF(S457&gt;0.5,"Discount above allowed range (invalid)",IF(AND(R457="",S457=0),"Missing discount set to 0","OK")))</f>
        <v>OK</v>
      </c>
      <c r="U457">
        <v>633.66999999999996</v>
      </c>
      <c r="V457">
        <v>520.47</v>
      </c>
      <c r="W457">
        <v>113.2</v>
      </c>
      <c r="X457" t="s">
        <v>32</v>
      </c>
      <c r="Y457" t="s">
        <v>68</v>
      </c>
      <c r="Z457">
        <f>IF(T457="OK",P457*Q457*(1-S457),"invalid")</f>
        <v>633.66750000000002</v>
      </c>
      <c r="AA457">
        <f>IF(Z457="N/A","N/A",Z457-V457)</f>
        <v>113.19749999999999</v>
      </c>
      <c r="AB457" s="8">
        <f>IF(Z457&lt;&gt;"N/A", AA457/Z457, "N/A")</f>
        <v>0.17863863934950111</v>
      </c>
      <c r="AC457">
        <f>MONTH(B457)</f>
        <v>11</v>
      </c>
      <c r="AD457">
        <f>YEAR(B457)</f>
        <v>2024</v>
      </c>
      <c r="AE457" s="10">
        <f t="shared" si="7"/>
        <v>2.4999999999408828E-3</v>
      </c>
      <c r="AF457" t="s">
        <v>2804</v>
      </c>
      <c r="AG457" t="s">
        <v>2811</v>
      </c>
    </row>
    <row r="458" spans="1:33">
      <c r="A458" t="s">
        <v>2561</v>
      </c>
      <c r="B458" s="4">
        <v>45348</v>
      </c>
      <c r="C458" s="4">
        <v>45350</v>
      </c>
      <c r="D458">
        <f>_xlfn.DAYS(C458,B458)</f>
        <v>2</v>
      </c>
      <c r="E458" t="s">
        <v>2804</v>
      </c>
      <c r="F458" t="s">
        <v>2562</v>
      </c>
      <c r="G458" t="s">
        <v>89</v>
      </c>
      <c r="H458" t="s">
        <v>37</v>
      </c>
      <c r="I458" t="s">
        <v>63</v>
      </c>
      <c r="J458" t="s">
        <v>190</v>
      </c>
      <c r="K458" t="s">
        <v>191</v>
      </c>
      <c r="L458" t="s">
        <v>41</v>
      </c>
      <c r="M458" t="s">
        <v>57</v>
      </c>
      <c r="N458" t="s">
        <v>2563</v>
      </c>
      <c r="O458" t="s">
        <v>31</v>
      </c>
      <c r="P458">
        <v>7</v>
      </c>
      <c r="Q458">
        <v>1035.1400000000001</v>
      </c>
      <c r="R458">
        <v>0.1</v>
      </c>
      <c r="S458">
        <f>IF(ISNUMBER(SEARCH("%",R458)), VALUE(SUBSTITUTE(R458,"%",""))/100,IF(ISNUMBER(R458), R458, 0))</f>
        <v>0.1</v>
      </c>
      <c r="T458" t="str">
        <f>IF(S458&lt;0,"Negative discount (invalid)",IF(S458&gt;0.5,"Discount above allowed range (invalid)",IF(AND(R458="",S458=0),"Missing discount set to 0","OK")))</f>
        <v>OK</v>
      </c>
      <c r="U458">
        <v>6521.38</v>
      </c>
      <c r="V458">
        <v>4511.1000000000004</v>
      </c>
      <c r="W458">
        <v>2010.28</v>
      </c>
      <c r="X458" t="s">
        <v>32</v>
      </c>
      <c r="Y458" t="s">
        <v>33</v>
      </c>
      <c r="Z458">
        <f>IF(T458="OK",P458*Q458*(1-S458),"invalid")</f>
        <v>6521.3820000000005</v>
      </c>
      <c r="AA458">
        <f>IF(Z458="N/A","N/A",Z458-V458)</f>
        <v>2010.2820000000002</v>
      </c>
      <c r="AB458" s="8">
        <f>IF(Z458&lt;&gt;"N/A", AA458/Z458, "N/A")</f>
        <v>0.30826012032418892</v>
      </c>
      <c r="AC458">
        <f>MONTH(B458)</f>
        <v>2</v>
      </c>
      <c r="AD458">
        <f>YEAR(B458)</f>
        <v>2024</v>
      </c>
      <c r="AE458" s="10">
        <f t="shared" si="7"/>
        <v>2.0000000004074536E-3</v>
      </c>
      <c r="AF458" t="s">
        <v>2804</v>
      </c>
      <c r="AG458" t="s">
        <v>2811</v>
      </c>
    </row>
    <row r="459" spans="1:33">
      <c r="A459" t="s">
        <v>2573</v>
      </c>
      <c r="B459" s="4">
        <v>45447</v>
      </c>
      <c r="C459" s="4">
        <v>45447</v>
      </c>
      <c r="D459">
        <f>_xlfn.DAYS(C459,B459)</f>
        <v>0</v>
      </c>
      <c r="E459" t="s">
        <v>2804</v>
      </c>
      <c r="F459" t="s">
        <v>2574</v>
      </c>
      <c r="G459" t="s">
        <v>118</v>
      </c>
      <c r="H459" t="s">
        <v>95</v>
      </c>
      <c r="I459" t="s">
        <v>38</v>
      </c>
      <c r="J459" t="s">
        <v>99</v>
      </c>
      <c r="K459" t="s">
        <v>100</v>
      </c>
      <c r="L459" t="s">
        <v>41</v>
      </c>
      <c r="M459" t="s">
        <v>158</v>
      </c>
      <c r="N459" t="s">
        <v>2575</v>
      </c>
      <c r="O459" t="s">
        <v>50</v>
      </c>
      <c r="P459">
        <v>6</v>
      </c>
      <c r="Q459">
        <v>3949.4</v>
      </c>
      <c r="R459">
        <v>0</v>
      </c>
      <c r="S459">
        <f>IF(ISNUMBER(SEARCH("%",R459)), VALUE(SUBSTITUTE(R459,"%",""))/100,IF(ISNUMBER(R459), R459, 0))</f>
        <v>0</v>
      </c>
      <c r="T459" t="str">
        <f>IF(S459&lt;0,"Negative discount (invalid)",IF(S459&gt;0.5,"Discount above allowed range (invalid)",IF(AND(R459="",S459=0),"Missing discount set to 0","OK")))</f>
        <v>OK</v>
      </c>
      <c r="U459">
        <v>23696.400000000001</v>
      </c>
      <c r="V459">
        <v>18109.77</v>
      </c>
      <c r="W459">
        <v>5586.63</v>
      </c>
      <c r="X459" t="s">
        <v>32</v>
      </c>
      <c r="Y459" t="s">
        <v>33</v>
      </c>
      <c r="Z459">
        <f>IF(T459="OK",P459*Q459*(1-S459),"invalid")</f>
        <v>23696.400000000001</v>
      </c>
      <c r="AA459">
        <f>IF(Z459="N/A","N/A",Z459-V459)</f>
        <v>5586.630000000001</v>
      </c>
      <c r="AB459" s="8">
        <f>IF(Z459&lt;&gt;"N/A", AA459/Z459, "N/A")</f>
        <v>0.23575859624246723</v>
      </c>
      <c r="AC459">
        <f>MONTH(B459)</f>
        <v>6</v>
      </c>
      <c r="AD459">
        <f>YEAR(B459)</f>
        <v>2024</v>
      </c>
      <c r="AE459" s="10">
        <f t="shared" si="7"/>
        <v>0</v>
      </c>
      <c r="AF459" t="s">
        <v>2804</v>
      </c>
      <c r="AG459" t="s">
        <v>2811</v>
      </c>
    </row>
    <row r="460" spans="1:33">
      <c r="A460" t="s">
        <v>2576</v>
      </c>
      <c r="B460" s="4">
        <v>45583</v>
      </c>
      <c r="C460" s="4">
        <v>45587</v>
      </c>
      <c r="D460">
        <f>_xlfn.DAYS(C460,B460)</f>
        <v>4</v>
      </c>
      <c r="E460" t="s">
        <v>2804</v>
      </c>
      <c r="F460" t="s">
        <v>2577</v>
      </c>
      <c r="G460" t="s">
        <v>128</v>
      </c>
      <c r="H460" t="s">
        <v>95</v>
      </c>
      <c r="I460" t="s">
        <v>54</v>
      </c>
      <c r="J460" t="s">
        <v>55</v>
      </c>
      <c r="K460" t="s">
        <v>56</v>
      </c>
      <c r="L460" t="s">
        <v>28</v>
      </c>
      <c r="M460" t="s">
        <v>48</v>
      </c>
      <c r="N460" t="s">
        <v>2578</v>
      </c>
      <c r="O460" t="s">
        <v>50</v>
      </c>
      <c r="P460">
        <v>6</v>
      </c>
      <c r="Q460">
        <v>674.61</v>
      </c>
      <c r="R460">
        <v>0</v>
      </c>
      <c r="S460">
        <f>IF(ISNUMBER(SEARCH("%",R460)), VALUE(SUBSTITUTE(R460,"%",""))/100,IF(ISNUMBER(R460), R460, 0))</f>
        <v>0</v>
      </c>
      <c r="T460" t="str">
        <f>IF(S460&lt;0,"Negative discount (invalid)",IF(S460&gt;0.5,"Discount above allowed range (invalid)",IF(AND(R460="",S460=0),"Missing discount set to 0","OK")))</f>
        <v>OK</v>
      </c>
      <c r="U460">
        <v>4047.66</v>
      </c>
      <c r="V460">
        <v>3078.93</v>
      </c>
      <c r="W460">
        <v>1279.79</v>
      </c>
      <c r="X460" t="s">
        <v>32</v>
      </c>
      <c r="Y460" t="s">
        <v>33</v>
      </c>
      <c r="Z460">
        <f>IF(T460="OK",P460*Q460*(1-S460),"invalid")</f>
        <v>4047.66</v>
      </c>
      <c r="AA460">
        <f>IF(Z460="N/A","N/A",Z460-V460)</f>
        <v>968.73</v>
      </c>
      <c r="AB460" s="8">
        <f>IF(Z460&lt;&gt;"N/A", AA460/Z460, "N/A")</f>
        <v>0.23933087265234729</v>
      </c>
      <c r="AC460">
        <f>MONTH(B460)</f>
        <v>10</v>
      </c>
      <c r="AD460">
        <f>YEAR(B460)</f>
        <v>2024</v>
      </c>
      <c r="AE460" s="10">
        <f t="shared" si="7"/>
        <v>0</v>
      </c>
      <c r="AF460" t="s">
        <v>2804</v>
      </c>
      <c r="AG460" t="s">
        <v>2811</v>
      </c>
    </row>
    <row r="461" spans="1:33">
      <c r="A461" t="s">
        <v>2582</v>
      </c>
      <c r="B461" s="4">
        <v>45641</v>
      </c>
      <c r="C461" s="4">
        <v>45644</v>
      </c>
      <c r="D461">
        <f>_xlfn.DAYS(C461,B461)</f>
        <v>3</v>
      </c>
      <c r="E461" t="s">
        <v>2804</v>
      </c>
      <c r="F461" t="s">
        <v>2583</v>
      </c>
      <c r="G461" t="s">
        <v>47</v>
      </c>
      <c r="H461" t="s">
        <v>37</v>
      </c>
      <c r="I461" t="s">
        <v>25</v>
      </c>
      <c r="J461" t="s">
        <v>26</v>
      </c>
      <c r="K461" t="s">
        <v>27</v>
      </c>
      <c r="L461" t="s">
        <v>28</v>
      </c>
      <c r="M461" t="s">
        <v>91</v>
      </c>
      <c r="N461" t="s">
        <v>2584</v>
      </c>
      <c r="O461" t="s">
        <v>31</v>
      </c>
      <c r="P461">
        <v>2</v>
      </c>
      <c r="Q461">
        <v>537.11</v>
      </c>
      <c r="R461">
        <v>0</v>
      </c>
      <c r="S461">
        <f>IF(ISNUMBER(SEARCH("%",R461)), VALUE(SUBSTITUTE(R461,"%",""))/100,IF(ISNUMBER(R461), R461, 0))</f>
        <v>0</v>
      </c>
      <c r="T461" t="str">
        <f>IF(S461&lt;0,"Negative discount (invalid)",IF(S461&gt;0.5,"Discount above allowed range (invalid)",IF(AND(R461="",S461=0),"Missing discount set to 0","OK")))</f>
        <v>OK</v>
      </c>
      <c r="U461">
        <v>1074.22</v>
      </c>
      <c r="V461">
        <v>850.86</v>
      </c>
      <c r="W461">
        <v>223.36</v>
      </c>
      <c r="X461" t="s">
        <v>32</v>
      </c>
      <c r="Y461" t="s">
        <v>33</v>
      </c>
      <c r="Z461">
        <f>IF(T461="OK",P461*Q461*(1-S461),"invalid")</f>
        <v>1074.22</v>
      </c>
      <c r="AA461">
        <f>IF(Z461="N/A","N/A",Z461-V461)</f>
        <v>223.36</v>
      </c>
      <c r="AB461" s="8">
        <f>IF(Z461&lt;&gt;"N/A", AA461/Z461, "N/A")</f>
        <v>0.20792761259332354</v>
      </c>
      <c r="AC461">
        <f>MONTH(B461)</f>
        <v>12</v>
      </c>
      <c r="AD461">
        <f>YEAR(B461)</f>
        <v>2024</v>
      </c>
      <c r="AE461" s="10">
        <f t="shared" si="7"/>
        <v>0</v>
      </c>
      <c r="AF461" t="s">
        <v>2804</v>
      </c>
      <c r="AG461" t="s">
        <v>2811</v>
      </c>
    </row>
    <row r="462" spans="1:33">
      <c r="A462" t="s">
        <v>2591</v>
      </c>
      <c r="B462" s="4">
        <v>45555</v>
      </c>
      <c r="C462" s="4">
        <v>45557</v>
      </c>
      <c r="D462">
        <f>_xlfn.DAYS(C462,B462)</f>
        <v>2</v>
      </c>
      <c r="E462" t="s">
        <v>2804</v>
      </c>
      <c r="F462" t="s">
        <v>2592</v>
      </c>
      <c r="G462" t="s">
        <v>141</v>
      </c>
      <c r="H462" t="s">
        <v>95</v>
      </c>
      <c r="I462" t="s">
        <v>38</v>
      </c>
      <c r="J462" t="s">
        <v>39</v>
      </c>
      <c r="K462" t="s">
        <v>40</v>
      </c>
      <c r="L462" t="s">
        <v>74</v>
      </c>
      <c r="M462" t="s">
        <v>171</v>
      </c>
      <c r="N462" t="s">
        <v>2593</v>
      </c>
      <c r="O462" t="s">
        <v>59</v>
      </c>
      <c r="P462">
        <v>8</v>
      </c>
      <c r="Q462">
        <v>531.42999999999995</v>
      </c>
      <c r="R462">
        <v>0.1</v>
      </c>
      <c r="S462">
        <f>IF(ISNUMBER(SEARCH("%",R462)), VALUE(SUBSTITUTE(R462,"%",""))/100,IF(ISNUMBER(R462), R462, 0))</f>
        <v>0.1</v>
      </c>
      <c r="T462" t="str">
        <f>IF(S462&lt;0,"Negative discount (invalid)",IF(S462&gt;0.5,"Discount above allowed range (invalid)",IF(AND(R462="",S462=0),"Missing discount set to 0","OK")))</f>
        <v>OK</v>
      </c>
      <c r="U462">
        <v>3826.3</v>
      </c>
      <c r="V462">
        <v>2194.12</v>
      </c>
      <c r="W462">
        <v>1632.18</v>
      </c>
      <c r="X462" t="s">
        <v>32</v>
      </c>
      <c r="Y462" t="s">
        <v>33</v>
      </c>
      <c r="Z462">
        <f>IF(T462="OK",P462*Q462*(1-S462),"invalid")</f>
        <v>3826.2959999999998</v>
      </c>
      <c r="AA462">
        <f>IF(Z462="N/A","N/A",Z462-V462)</f>
        <v>1632.1759999999999</v>
      </c>
      <c r="AB462" s="8">
        <f>IF(Z462&lt;&gt;"N/A", AA462/Z462, "N/A")</f>
        <v>0.42656814841298218</v>
      </c>
      <c r="AC462">
        <f>MONTH(B462)</f>
        <v>9</v>
      </c>
      <c r="AD462">
        <f>YEAR(B462)</f>
        <v>2024</v>
      </c>
      <c r="AE462" s="10">
        <f t="shared" si="7"/>
        <v>4.0000000003601599E-3</v>
      </c>
      <c r="AF462" t="s">
        <v>2804</v>
      </c>
      <c r="AG462" t="s">
        <v>2811</v>
      </c>
    </row>
    <row r="463" spans="1:33">
      <c r="A463" t="s">
        <v>2600</v>
      </c>
      <c r="B463" s="4">
        <v>45382</v>
      </c>
      <c r="C463" s="4">
        <v>45381</v>
      </c>
      <c r="D463">
        <f>_xlfn.DAYS(C463,B463)</f>
        <v>-1</v>
      </c>
      <c r="E463" t="str">
        <f>IF(B463="INVALID","Missing/Invalid order_date", IF(C463="INVALID","Missing/Invalid ship_date",IF(AND(B463&lt;&gt;"",C463&lt;&gt;"",C463&lt;B463),"Ship date before order date","")))</f>
        <v>Ship date before order date</v>
      </c>
      <c r="F463" t="s">
        <v>2601</v>
      </c>
      <c r="G463" t="s">
        <v>264</v>
      </c>
      <c r="H463" t="s">
        <v>24</v>
      </c>
      <c r="I463" t="s">
        <v>25</v>
      </c>
      <c r="J463" t="s">
        <v>236</v>
      </c>
      <c r="K463" t="s">
        <v>237</v>
      </c>
      <c r="L463" t="s">
        <v>74</v>
      </c>
      <c r="M463" t="s">
        <v>274</v>
      </c>
      <c r="N463" t="s">
        <v>2602</v>
      </c>
      <c r="O463" t="s">
        <v>50</v>
      </c>
      <c r="P463">
        <v>4</v>
      </c>
      <c r="Q463">
        <v>2192.08</v>
      </c>
      <c r="R463">
        <v>0.15</v>
      </c>
      <c r="S463">
        <f>IF(ISNUMBER(SEARCH("%",R463)), VALUE(SUBSTITUTE(R463,"%",""))/100,IF(ISNUMBER(R463), R463, 0))</f>
        <v>0.15</v>
      </c>
      <c r="T463" t="str">
        <f>IF(S463&lt;0,"Negative discount (invalid)",IF(S463&gt;0.5,"Discount above allowed range (invalid)",IF(AND(R463="",S463=0),"Missing discount set to 0","OK")))</f>
        <v>OK</v>
      </c>
      <c r="U463">
        <v>7453.07</v>
      </c>
      <c r="V463">
        <v>5133.78</v>
      </c>
      <c r="W463">
        <v>2319.29</v>
      </c>
      <c r="X463" t="s">
        <v>32</v>
      </c>
      <c r="Y463" t="s">
        <v>103</v>
      </c>
      <c r="Z463">
        <f>IF(T463="OK",P463*Q463*(1-S463),"invalid")</f>
        <v>7453.0719999999992</v>
      </c>
      <c r="AA463">
        <f>IF(Z463="N/A","N/A",Z463-V463)</f>
        <v>2319.2919999999995</v>
      </c>
      <c r="AB463" s="8">
        <f>IF(Z463&lt;&gt;"N/A", AA463/Z463, "N/A")</f>
        <v>0.31118604516365866</v>
      </c>
      <c r="AC463">
        <f>MONTH(B463)</f>
        <v>3</v>
      </c>
      <c r="AD463">
        <f>YEAR(B463)</f>
        <v>2024</v>
      </c>
      <c r="AE463" s="10">
        <f t="shared" si="7"/>
        <v>1.9999999994979589E-3</v>
      </c>
      <c r="AF463" t="s">
        <v>2806</v>
      </c>
      <c r="AG463" t="s">
        <v>2789</v>
      </c>
    </row>
    <row r="464" spans="1:33">
      <c r="A464" t="s">
        <v>2609</v>
      </c>
      <c r="B464" s="4">
        <v>45345</v>
      </c>
      <c r="C464" s="4">
        <v>45349</v>
      </c>
      <c r="D464">
        <f>_xlfn.DAYS(C464,B464)</f>
        <v>4</v>
      </c>
      <c r="E464" t="s">
        <v>2804</v>
      </c>
      <c r="F464" t="s">
        <v>594</v>
      </c>
      <c r="G464" t="s">
        <v>23</v>
      </c>
      <c r="H464" t="s">
        <v>24</v>
      </c>
      <c r="I464" t="s">
        <v>38</v>
      </c>
      <c r="J464" t="s">
        <v>39</v>
      </c>
      <c r="K464" t="s">
        <v>40</v>
      </c>
      <c r="L464" t="s">
        <v>41</v>
      </c>
      <c r="M464" t="s">
        <v>42</v>
      </c>
      <c r="N464" t="s">
        <v>2610</v>
      </c>
      <c r="O464" t="s">
        <v>50</v>
      </c>
      <c r="P464">
        <v>9</v>
      </c>
      <c r="Q464">
        <v>3616.23</v>
      </c>
      <c r="R464">
        <v>0.25</v>
      </c>
      <c r="S464">
        <f>IF(ISNUMBER(SEARCH("%",R464)), VALUE(SUBSTITUTE(R464,"%",""))/100,IF(ISNUMBER(R464), R464, 0))</f>
        <v>0.25</v>
      </c>
      <c r="T464" t="str">
        <f>IF(S464&lt;0,"Negative discount (invalid)",IF(S464&gt;0.5,"Discount above allowed range (invalid)",IF(AND(R464="",S464=0),"Missing discount set to 0","OK")))</f>
        <v>OK</v>
      </c>
      <c r="U464">
        <v>24409.55</v>
      </c>
      <c r="V464">
        <v>17157.580000000002</v>
      </c>
      <c r="W464">
        <v>7251.97</v>
      </c>
      <c r="X464" t="s">
        <v>111</v>
      </c>
      <c r="Y464" t="s">
        <v>103</v>
      </c>
      <c r="Z464">
        <f>IF(T464="OK",P464*Q464*(1-S464),"invalid")</f>
        <v>24409.552499999998</v>
      </c>
      <c r="AA464">
        <f>IF(Z464="N/A","N/A",Z464-V464)</f>
        <v>7251.9724999999962</v>
      </c>
      <c r="AB464" s="8">
        <f>IF(Z464&lt;&gt;"N/A", AA464/Z464, "N/A")</f>
        <v>0.29709567596538267</v>
      </c>
      <c r="AC464">
        <f>MONTH(B464)</f>
        <v>2</v>
      </c>
      <c r="AD464">
        <f>YEAR(B464)</f>
        <v>2024</v>
      </c>
      <c r="AE464" s="10">
        <f t="shared" si="7"/>
        <v>2.4999999986903276E-3</v>
      </c>
      <c r="AF464" t="s">
        <v>2804</v>
      </c>
      <c r="AG464" t="s">
        <v>2811</v>
      </c>
    </row>
    <row r="465" spans="1:33">
      <c r="A465" t="s">
        <v>2611</v>
      </c>
      <c r="B465" s="4">
        <v>45396</v>
      </c>
      <c r="C465" s="4">
        <v>45404</v>
      </c>
      <c r="D465">
        <f>_xlfn.DAYS(C465,B465)</f>
        <v>8</v>
      </c>
      <c r="E465" t="s">
        <v>2804</v>
      </c>
      <c r="F465" t="s">
        <v>2612</v>
      </c>
      <c r="G465" t="s">
        <v>114</v>
      </c>
      <c r="H465" t="s">
        <v>37</v>
      </c>
      <c r="I465" t="s">
        <v>63</v>
      </c>
      <c r="J465" t="s">
        <v>180</v>
      </c>
      <c r="K465" t="s">
        <v>181</v>
      </c>
      <c r="L465" t="s">
        <v>41</v>
      </c>
      <c r="M465" t="s">
        <v>158</v>
      </c>
      <c r="N465" t="s">
        <v>2613</v>
      </c>
      <c r="O465" t="s">
        <v>59</v>
      </c>
      <c r="P465">
        <v>2</v>
      </c>
      <c r="Q465">
        <v>3977.52</v>
      </c>
      <c r="R465">
        <v>0</v>
      </c>
      <c r="S465">
        <f>IF(ISNUMBER(SEARCH("%",R465)), VALUE(SUBSTITUTE(R465,"%",""))/100,IF(ISNUMBER(R465), R465, 0))</f>
        <v>0</v>
      </c>
      <c r="T465" t="str">
        <f>IF(S465&lt;0,"Negative discount (invalid)",IF(S465&gt;0.5,"Discount above allowed range (invalid)",IF(AND(R465="",S465=0),"Missing discount set to 0","OK")))</f>
        <v>OK</v>
      </c>
      <c r="U465">
        <v>7955.04</v>
      </c>
      <c r="V465">
        <v>5580.68</v>
      </c>
      <c r="W465">
        <v>2374.36</v>
      </c>
      <c r="X465" t="s">
        <v>111</v>
      </c>
      <c r="Y465" t="s">
        <v>103</v>
      </c>
      <c r="Z465">
        <f>IF(T465="OK",P465*Q465*(1-S465),"invalid")</f>
        <v>7955.04</v>
      </c>
      <c r="AA465">
        <f>IF(Z465="N/A","N/A",Z465-V465)</f>
        <v>2374.3599999999997</v>
      </c>
      <c r="AB465" s="8">
        <f>IF(Z465&lt;&gt;"N/A", AA465/Z465, "N/A")</f>
        <v>0.29847241497214339</v>
      </c>
      <c r="AC465">
        <f>MONTH(B465)</f>
        <v>4</v>
      </c>
      <c r="AD465">
        <f>YEAR(B465)</f>
        <v>2024</v>
      </c>
      <c r="AE465" s="10">
        <f t="shared" si="7"/>
        <v>0</v>
      </c>
      <c r="AF465" t="s">
        <v>2804</v>
      </c>
      <c r="AG465" t="s">
        <v>2811</v>
      </c>
    </row>
    <row r="466" spans="1:33">
      <c r="A466" t="s">
        <v>2620</v>
      </c>
      <c r="B466" s="4">
        <v>45357</v>
      </c>
      <c r="C466" s="4">
        <v>45363</v>
      </c>
      <c r="D466">
        <f>_xlfn.DAYS(C466,B466)</f>
        <v>6</v>
      </c>
      <c r="E466" t="s">
        <v>2804</v>
      </c>
      <c r="F466" t="s">
        <v>2621</v>
      </c>
      <c r="G466" t="s">
        <v>47</v>
      </c>
      <c r="H466" t="s">
        <v>95</v>
      </c>
      <c r="I466" t="s">
        <v>63</v>
      </c>
      <c r="J466" t="s">
        <v>180</v>
      </c>
      <c r="K466" t="s">
        <v>181</v>
      </c>
      <c r="L466" t="s">
        <v>41</v>
      </c>
      <c r="M466" t="s">
        <v>158</v>
      </c>
      <c r="N466" t="s">
        <v>2622</v>
      </c>
      <c r="O466" t="s">
        <v>59</v>
      </c>
      <c r="P466">
        <v>3</v>
      </c>
      <c r="Q466">
        <v>679.63</v>
      </c>
      <c r="R466">
        <v>0.2</v>
      </c>
      <c r="S466">
        <f>IF(ISNUMBER(SEARCH("%",R466)), VALUE(SUBSTITUTE(R466,"%",""))/100,IF(ISNUMBER(R466), R466, 0))</f>
        <v>0.2</v>
      </c>
      <c r="T466" t="str">
        <f>IF(S466&lt;0,"Negative discount (invalid)",IF(S466&gt;0.5,"Discount above allowed range (invalid)",IF(AND(R466="",S466=0),"Missing discount set to 0","OK")))</f>
        <v>OK</v>
      </c>
      <c r="U466">
        <v>1631.11</v>
      </c>
      <c r="V466">
        <v>898.73</v>
      </c>
      <c r="W466">
        <v>396.58</v>
      </c>
      <c r="X466" t="s">
        <v>32</v>
      </c>
      <c r="Y466" t="s">
        <v>33</v>
      </c>
      <c r="Z466">
        <f>IF(T466="OK",P466*Q466*(1-S466),"invalid")</f>
        <v>1631.1120000000001</v>
      </c>
      <c r="AA466">
        <f>IF(Z466="N/A","N/A",Z466-V466)</f>
        <v>732.38200000000006</v>
      </c>
      <c r="AB466" s="8">
        <f>IF(Z466&lt;&gt;"N/A", AA466/Z466, "N/A")</f>
        <v>0.44900779345624336</v>
      </c>
      <c r="AC466">
        <f>MONTH(B466)</f>
        <v>3</v>
      </c>
      <c r="AD466">
        <f>YEAR(B466)</f>
        <v>2024</v>
      </c>
      <c r="AE466" s="10">
        <f t="shared" si="7"/>
        <v>2.00000000018008E-3</v>
      </c>
      <c r="AF466" t="s">
        <v>2804</v>
      </c>
      <c r="AG466" t="s">
        <v>2811</v>
      </c>
    </row>
    <row r="467" spans="1:33">
      <c r="A467" t="s">
        <v>2623</v>
      </c>
      <c r="B467" s="4">
        <v>45473</v>
      </c>
      <c r="C467" s="4">
        <v>45476</v>
      </c>
      <c r="D467">
        <f>_xlfn.DAYS(C467,B467)</f>
        <v>3</v>
      </c>
      <c r="E467" t="s">
        <v>2804</v>
      </c>
      <c r="F467" t="s">
        <v>2624</v>
      </c>
      <c r="G467" t="s">
        <v>114</v>
      </c>
      <c r="H467" t="s">
        <v>95</v>
      </c>
      <c r="I467" t="s">
        <v>38</v>
      </c>
      <c r="J467" t="s">
        <v>99</v>
      </c>
      <c r="K467" t="s">
        <v>100</v>
      </c>
      <c r="L467" t="s">
        <v>28</v>
      </c>
      <c r="M467" t="s">
        <v>29</v>
      </c>
      <c r="N467" t="s">
        <v>2625</v>
      </c>
      <c r="O467" t="s">
        <v>50</v>
      </c>
      <c r="P467">
        <v>6</v>
      </c>
      <c r="Q467">
        <v>1211.01</v>
      </c>
      <c r="R467">
        <v>0</v>
      </c>
      <c r="S467">
        <f>IF(ISNUMBER(SEARCH("%",R467)), VALUE(SUBSTITUTE(R467,"%",""))/100,IF(ISNUMBER(R467), R467, 0))</f>
        <v>0</v>
      </c>
      <c r="T467" t="str">
        <f>IF(S467&lt;0,"Negative discount (invalid)",IF(S467&gt;0.5,"Discount above allowed range (invalid)",IF(AND(R467="",S467=0),"Missing discount set to 0","OK")))</f>
        <v>OK</v>
      </c>
      <c r="U467">
        <v>7266.06</v>
      </c>
      <c r="V467">
        <v>6216.89</v>
      </c>
      <c r="W467">
        <v>1049.17</v>
      </c>
      <c r="X467" t="s">
        <v>32</v>
      </c>
      <c r="Y467" t="s">
        <v>33</v>
      </c>
      <c r="Z467">
        <f>IF(T467="OK",P467*Q467*(1-S467),"invalid")</f>
        <v>7266.0599999999995</v>
      </c>
      <c r="AA467">
        <f>IF(Z467="N/A","N/A",Z467-V467)</f>
        <v>1049.1699999999992</v>
      </c>
      <c r="AB467" s="8">
        <f>IF(Z467&lt;&gt;"N/A", AA467/Z467, "N/A")</f>
        <v>0.14439324750965438</v>
      </c>
      <c r="AC467">
        <f>MONTH(B467)</f>
        <v>6</v>
      </c>
      <c r="AD467">
        <f>YEAR(B467)</f>
        <v>2024</v>
      </c>
      <c r="AE467" s="10">
        <f t="shared" si="7"/>
        <v>9.0949470177292824E-13</v>
      </c>
      <c r="AF467" t="s">
        <v>2804</v>
      </c>
      <c r="AG467" t="s">
        <v>2811</v>
      </c>
    </row>
    <row r="468" spans="1:33">
      <c r="A468" t="s">
        <v>2626</v>
      </c>
      <c r="B468" s="4">
        <v>45377</v>
      </c>
      <c r="C468" s="4">
        <v>45383</v>
      </c>
      <c r="D468">
        <f>_xlfn.DAYS(C468,B468)</f>
        <v>6</v>
      </c>
      <c r="E468" t="s">
        <v>2804</v>
      </c>
      <c r="F468" t="s">
        <v>2627</v>
      </c>
      <c r="G468" t="s">
        <v>23</v>
      </c>
      <c r="H468" t="s">
        <v>37</v>
      </c>
      <c r="I468" t="s">
        <v>63</v>
      </c>
      <c r="J468" t="s">
        <v>180</v>
      </c>
      <c r="K468" t="s">
        <v>181</v>
      </c>
      <c r="L468" t="s">
        <v>74</v>
      </c>
      <c r="M468" t="s">
        <v>75</v>
      </c>
      <c r="N468" t="s">
        <v>2628</v>
      </c>
      <c r="O468" t="s">
        <v>50</v>
      </c>
      <c r="P468">
        <v>2</v>
      </c>
      <c r="Q468">
        <v>1161.3</v>
      </c>
      <c r="R468">
        <v>0.2</v>
      </c>
      <c r="S468">
        <f>IF(ISNUMBER(SEARCH("%",R468)), VALUE(SUBSTITUTE(R468,"%",""))/100,IF(ISNUMBER(R468), R468, 0))</f>
        <v>0.2</v>
      </c>
      <c r="T468" t="str">
        <f>IF(S468&lt;0,"Negative discount (invalid)",IF(S468&gt;0.5,"Discount above allowed range (invalid)",IF(AND(R468="",S468=0),"Missing discount set to 0","OK")))</f>
        <v>OK</v>
      </c>
      <c r="U468">
        <v>1858.08</v>
      </c>
      <c r="V468">
        <v>1590.75</v>
      </c>
      <c r="W468">
        <v>267.33</v>
      </c>
      <c r="X468" t="s">
        <v>32</v>
      </c>
      <c r="Y468" t="s">
        <v>33</v>
      </c>
      <c r="Z468">
        <f>IF(T468="OK",P468*Q468*(1-S468),"invalid")</f>
        <v>1858.08</v>
      </c>
      <c r="AA468">
        <f>IF(Z468="N/A","N/A",Z468-V468)</f>
        <v>267.32999999999993</v>
      </c>
      <c r="AB468" s="8">
        <f>IF(Z468&lt;&gt;"N/A", AA468/Z468, "N/A")</f>
        <v>0.14387432188065097</v>
      </c>
      <c r="AC468">
        <f>MONTH(B468)</f>
        <v>3</v>
      </c>
      <c r="AD468">
        <f>YEAR(B468)</f>
        <v>2024</v>
      </c>
      <c r="AE468" s="10">
        <f t="shared" si="7"/>
        <v>0</v>
      </c>
      <c r="AF468" t="s">
        <v>2804</v>
      </c>
      <c r="AG468" t="s">
        <v>2811</v>
      </c>
    </row>
    <row r="469" spans="1:33">
      <c r="A469" t="s">
        <v>2629</v>
      </c>
      <c r="B469" s="4">
        <v>45383</v>
      </c>
      <c r="C469" s="4">
        <v>45390</v>
      </c>
      <c r="D469">
        <f>_xlfn.DAYS(C469,B469)</f>
        <v>7</v>
      </c>
      <c r="E469" t="s">
        <v>2804</v>
      </c>
      <c r="F469" t="s">
        <v>2630</v>
      </c>
      <c r="G469" t="s">
        <v>62</v>
      </c>
      <c r="H469" t="s">
        <v>24</v>
      </c>
      <c r="I469" t="s">
        <v>38</v>
      </c>
      <c r="J469" t="s">
        <v>166</v>
      </c>
      <c r="K469" t="s">
        <v>167</v>
      </c>
      <c r="L469" t="s">
        <v>41</v>
      </c>
      <c r="M469" t="s">
        <v>42</v>
      </c>
      <c r="N469" t="s">
        <v>2631</v>
      </c>
      <c r="O469" t="s">
        <v>31</v>
      </c>
      <c r="P469">
        <v>7</v>
      </c>
      <c r="Q469">
        <v>4205.3500000000004</v>
      </c>
      <c r="R469">
        <v>0.15</v>
      </c>
      <c r="S469">
        <f>IF(ISNUMBER(SEARCH("%",R469)), VALUE(SUBSTITUTE(R469,"%",""))/100,IF(ISNUMBER(R469), R469, 0))</f>
        <v>0.15</v>
      </c>
      <c r="T469" t="str">
        <f>IF(S469&lt;0,"Negative discount (invalid)",IF(S469&gt;0.5,"Discount above allowed range (invalid)",IF(AND(R469="",S469=0),"Missing discount set to 0","OK")))</f>
        <v>OK</v>
      </c>
      <c r="U469">
        <v>25021.83</v>
      </c>
      <c r="V469">
        <v>15544.44</v>
      </c>
      <c r="W469">
        <v>9477.39</v>
      </c>
      <c r="X469" t="s">
        <v>111</v>
      </c>
      <c r="Y469" t="s">
        <v>68</v>
      </c>
      <c r="Z469">
        <f>IF(T469="OK",P469*Q469*(1-S469),"invalid")</f>
        <v>25021.832500000004</v>
      </c>
      <c r="AA469">
        <f>IF(Z469="N/A","N/A",Z469-V469)</f>
        <v>9477.3925000000036</v>
      </c>
      <c r="AB469" s="8">
        <f>IF(Z469&lt;&gt;"N/A", AA469/Z469, "N/A")</f>
        <v>0.37876492459135447</v>
      </c>
      <c r="AC469">
        <f>MONTH(B469)</f>
        <v>4</v>
      </c>
      <c r="AD469">
        <f>YEAR(B469)</f>
        <v>2024</v>
      </c>
      <c r="AE469" s="10">
        <f t="shared" si="7"/>
        <v>2.5000000023283064E-3</v>
      </c>
      <c r="AF469" t="s">
        <v>2804</v>
      </c>
      <c r="AG469" t="s">
        <v>2811</v>
      </c>
    </row>
    <row r="470" spans="1:33">
      <c r="A470" t="s">
        <v>2638</v>
      </c>
      <c r="B470" s="4">
        <v>45498</v>
      </c>
      <c r="C470" s="4">
        <v>45506</v>
      </c>
      <c r="D470">
        <f>_xlfn.DAYS(C470,B470)</f>
        <v>8</v>
      </c>
      <c r="E470" t="s">
        <v>2804</v>
      </c>
      <c r="F470" t="s">
        <v>1123</v>
      </c>
      <c r="G470" t="s">
        <v>118</v>
      </c>
      <c r="H470" t="s">
        <v>24</v>
      </c>
      <c r="I470" t="s">
        <v>25</v>
      </c>
      <c r="J470" t="s">
        <v>26</v>
      </c>
      <c r="K470" t="s">
        <v>27</v>
      </c>
      <c r="L470" t="s">
        <v>28</v>
      </c>
      <c r="M470" t="s">
        <v>91</v>
      </c>
      <c r="N470" t="s">
        <v>2639</v>
      </c>
      <c r="O470" t="s">
        <v>31</v>
      </c>
      <c r="P470">
        <v>2</v>
      </c>
      <c r="Q470">
        <v>2073.5300000000002</v>
      </c>
      <c r="R470">
        <v>0.25</v>
      </c>
      <c r="S470">
        <f>IF(ISNUMBER(SEARCH("%",R470)), VALUE(SUBSTITUTE(R470,"%",""))/100,IF(ISNUMBER(R470), R470, 0))</f>
        <v>0.25</v>
      </c>
      <c r="T470" t="str">
        <f>IF(S470&lt;0,"Negative discount (invalid)",IF(S470&gt;0.5,"Discount above allowed range (invalid)",IF(AND(R470="",S470=0),"Missing discount set to 0","OK")))</f>
        <v>OK</v>
      </c>
      <c r="U470">
        <v>3110.3</v>
      </c>
      <c r="V470">
        <v>2101.0300000000002</v>
      </c>
      <c r="W470">
        <v>1009.27</v>
      </c>
      <c r="X470" t="s">
        <v>32</v>
      </c>
      <c r="Y470" t="s">
        <v>33</v>
      </c>
      <c r="Z470">
        <f>IF(T470="OK",P470*Q470*(1-S470),"invalid")</f>
        <v>3110.2950000000001</v>
      </c>
      <c r="AA470">
        <f>IF(Z470="N/A","N/A",Z470-V470)</f>
        <v>1009.2649999999999</v>
      </c>
      <c r="AB470" s="8">
        <f>IF(Z470&lt;&gt;"N/A", AA470/Z470, "N/A")</f>
        <v>0.32449172827657824</v>
      </c>
      <c r="AC470">
        <f>MONTH(B470)</f>
        <v>7</v>
      </c>
      <c r="AD470">
        <f>YEAR(B470)</f>
        <v>2024</v>
      </c>
      <c r="AE470" s="10">
        <f t="shared" si="7"/>
        <v>5.0000000001091394E-3</v>
      </c>
      <c r="AF470" t="s">
        <v>2804</v>
      </c>
      <c r="AG470" t="s">
        <v>2811</v>
      </c>
    </row>
    <row r="471" spans="1:33">
      <c r="A471" t="s">
        <v>2640</v>
      </c>
      <c r="B471" s="4">
        <v>45455</v>
      </c>
      <c r="C471" s="4">
        <v>45462</v>
      </c>
      <c r="D471">
        <f>_xlfn.DAYS(C471,B471)</f>
        <v>7</v>
      </c>
      <c r="E471" t="s">
        <v>2804</v>
      </c>
      <c r="F471" t="s">
        <v>1301</v>
      </c>
      <c r="G471" t="s">
        <v>141</v>
      </c>
      <c r="H471" t="s">
        <v>95</v>
      </c>
      <c r="I471" t="s">
        <v>54</v>
      </c>
      <c r="J471" t="s">
        <v>247</v>
      </c>
      <c r="K471" t="s">
        <v>248</v>
      </c>
      <c r="L471" t="s">
        <v>28</v>
      </c>
      <c r="M471" t="s">
        <v>124</v>
      </c>
      <c r="N471" t="s">
        <v>2641</v>
      </c>
      <c r="O471" t="s">
        <v>59</v>
      </c>
      <c r="P471">
        <v>4</v>
      </c>
      <c r="Q471">
        <v>395.1</v>
      </c>
      <c r="R471">
        <v>-0.16</v>
      </c>
      <c r="S471">
        <f>IF(ISNUMBER(SEARCH("%",R471)), VALUE(SUBSTITUTE(R471,"%",""))/100,IF(ISNUMBER(R471), R471, 0))</f>
        <v>-0.16</v>
      </c>
      <c r="T471" t="str">
        <f>IF(S471&lt;0,"Negative discount (invalid)",IF(S471&gt;0.5,"Discount above allowed range (invalid)",IF(AND(R471="",S471=0),"Missing discount set to 0","OK")))</f>
        <v>Negative discount (invalid)</v>
      </c>
      <c r="U471">
        <v>1185.3</v>
      </c>
      <c r="V471">
        <v>966.55</v>
      </c>
      <c r="W471">
        <v>218.75</v>
      </c>
      <c r="X471" t="s">
        <v>155</v>
      </c>
      <c r="Y471" t="s">
        <v>68</v>
      </c>
      <c r="Z471" t="s">
        <v>2793</v>
      </c>
      <c r="AA471" t="str">
        <f>IF(Z471="N/A","N/A",Z471-V471)</f>
        <v>N/A</v>
      </c>
      <c r="AB471" s="8" t="str">
        <f>IF(Z471&lt;&gt;"N/A", AA471/Z471, "N/A")</f>
        <v>N/A</v>
      </c>
      <c r="AC471">
        <f>MONTH(B471)</f>
        <v>6</v>
      </c>
      <c r="AD471">
        <f>YEAR(B471)</f>
        <v>2024</v>
      </c>
      <c r="AE471" s="10" t="str">
        <f t="shared" si="7"/>
        <v>N/A</v>
      </c>
      <c r="AF471" t="s">
        <v>2802</v>
      </c>
      <c r="AG471" t="s">
        <v>2789</v>
      </c>
    </row>
    <row r="472" spans="1:33">
      <c r="A472" t="s">
        <v>2642</v>
      </c>
      <c r="B472" s="4">
        <v>45447</v>
      </c>
      <c r="C472" s="4">
        <v>45447</v>
      </c>
      <c r="D472">
        <f>_xlfn.DAYS(C472,B472)</f>
        <v>0</v>
      </c>
      <c r="E472" t="s">
        <v>2804</v>
      </c>
      <c r="F472" t="s">
        <v>2149</v>
      </c>
      <c r="G472" t="s">
        <v>132</v>
      </c>
      <c r="H472" t="s">
        <v>95</v>
      </c>
      <c r="I472" t="s">
        <v>54</v>
      </c>
      <c r="J472" t="s">
        <v>185</v>
      </c>
      <c r="K472" t="s">
        <v>186</v>
      </c>
      <c r="L472" t="s">
        <v>28</v>
      </c>
      <c r="M472" t="s">
        <v>124</v>
      </c>
      <c r="N472" t="s">
        <v>2643</v>
      </c>
      <c r="O472" t="s">
        <v>50</v>
      </c>
      <c r="P472">
        <v>6</v>
      </c>
      <c r="Q472">
        <v>2708.97</v>
      </c>
      <c r="R472">
        <v>0.25</v>
      </c>
      <c r="S472">
        <f>IF(ISNUMBER(SEARCH("%",R472)), VALUE(SUBSTITUTE(R472,"%",""))/100,IF(ISNUMBER(R472), R472, 0))</f>
        <v>0.25</v>
      </c>
      <c r="T472" t="str">
        <f>IF(S472&lt;0,"Negative discount (invalid)",IF(S472&gt;0.5,"Discount above allowed range (invalid)",IF(AND(R472="",S472=0),"Missing discount set to 0","OK")))</f>
        <v>OK</v>
      </c>
      <c r="U472">
        <v>12190.36</v>
      </c>
      <c r="V472">
        <v>10176.99</v>
      </c>
      <c r="W472">
        <v>2013.37</v>
      </c>
      <c r="X472" t="s">
        <v>32</v>
      </c>
      <c r="Y472" t="s">
        <v>33</v>
      </c>
      <c r="Z472">
        <f>IF(T472="OK",P472*Q472*(1-S472),"invalid")</f>
        <v>12190.365</v>
      </c>
      <c r="AA472">
        <f>IF(Z472="N/A","N/A",Z472-V472)</f>
        <v>2013.375</v>
      </c>
      <c r="AB472" s="8">
        <f>IF(Z472&lt;&gt;"N/A", AA472/Z472, "N/A")</f>
        <v>0.16516117441930575</v>
      </c>
      <c r="AC472">
        <f>MONTH(B472)</f>
        <v>6</v>
      </c>
      <c r="AD472">
        <f>YEAR(B472)</f>
        <v>2024</v>
      </c>
      <c r="AE472" s="10">
        <f t="shared" si="7"/>
        <v>4.9999999991996447E-3</v>
      </c>
      <c r="AF472" t="s">
        <v>2804</v>
      </c>
      <c r="AG472" t="s">
        <v>2811</v>
      </c>
    </row>
    <row r="473" spans="1:33">
      <c r="A473" t="s">
        <v>2644</v>
      </c>
      <c r="B473" s="4">
        <v>45414</v>
      </c>
      <c r="C473" s="4">
        <v>45421</v>
      </c>
      <c r="D473">
        <f>_xlfn.DAYS(C473,B473)</f>
        <v>7</v>
      </c>
      <c r="E473" t="s">
        <v>2804</v>
      </c>
      <c r="F473" t="s">
        <v>2645</v>
      </c>
      <c r="G473" t="s">
        <v>53</v>
      </c>
      <c r="H473" t="s">
        <v>24</v>
      </c>
      <c r="I473" t="s">
        <v>38</v>
      </c>
      <c r="J473" t="s">
        <v>39</v>
      </c>
      <c r="K473" t="s">
        <v>40</v>
      </c>
      <c r="L473" t="s">
        <v>74</v>
      </c>
      <c r="M473" t="s">
        <v>75</v>
      </c>
      <c r="N473" t="s">
        <v>2646</v>
      </c>
      <c r="O473" t="s">
        <v>31</v>
      </c>
      <c r="P473">
        <v>4</v>
      </c>
      <c r="Q473">
        <v>2904.86</v>
      </c>
      <c r="R473">
        <v>0</v>
      </c>
      <c r="S473">
        <f>IF(ISNUMBER(SEARCH("%",R473)), VALUE(SUBSTITUTE(R473,"%",""))/100,IF(ISNUMBER(R473), R473, 0))</f>
        <v>0</v>
      </c>
      <c r="T473" t="str">
        <f>IF(S473&lt;0,"Negative discount (invalid)",IF(S473&gt;0.5,"Discount above allowed range (invalid)",IF(AND(R473="",S473=0),"Missing discount set to 0","OK")))</f>
        <v>OK</v>
      </c>
      <c r="U473">
        <v>11619.44</v>
      </c>
      <c r="V473">
        <v>7184.32</v>
      </c>
      <c r="W473">
        <v>4494.6400000000003</v>
      </c>
      <c r="X473" t="s">
        <v>32</v>
      </c>
      <c r="Y473" t="s">
        <v>33</v>
      </c>
      <c r="Z473">
        <f>IF(T473="OK",P473*Q473*(1-S473),"invalid")</f>
        <v>11619.44</v>
      </c>
      <c r="AA473">
        <f>IF(Z473="N/A","N/A",Z473-V473)</f>
        <v>4435.1200000000008</v>
      </c>
      <c r="AB473" s="8">
        <f>IF(Z473&lt;&gt;"N/A", AA473/Z473, "N/A")</f>
        <v>0.3816982574031107</v>
      </c>
      <c r="AC473">
        <f>MONTH(B473)</f>
        <v>5</v>
      </c>
      <c r="AD473">
        <f>YEAR(B473)</f>
        <v>2024</v>
      </c>
      <c r="AE473" s="10">
        <f t="shared" si="7"/>
        <v>0</v>
      </c>
      <c r="AF473" t="s">
        <v>2804</v>
      </c>
      <c r="AG473" t="s">
        <v>2811</v>
      </c>
    </row>
    <row r="474" spans="1:33">
      <c r="A474" t="s">
        <v>2647</v>
      </c>
      <c r="B474" s="4">
        <v>45592</v>
      </c>
      <c r="C474" s="4">
        <v>45597</v>
      </c>
      <c r="D474">
        <f>_xlfn.DAYS(C474,B474)</f>
        <v>5</v>
      </c>
      <c r="E474" t="s">
        <v>2804</v>
      </c>
      <c r="F474" t="s">
        <v>2648</v>
      </c>
      <c r="G474" t="s">
        <v>89</v>
      </c>
      <c r="H474" t="s">
        <v>90</v>
      </c>
      <c r="I474" t="s">
        <v>54</v>
      </c>
      <c r="J474" t="s">
        <v>247</v>
      </c>
      <c r="K474" t="s">
        <v>248</v>
      </c>
      <c r="L474" t="s">
        <v>74</v>
      </c>
      <c r="M474" t="s">
        <v>171</v>
      </c>
      <c r="N474" t="s">
        <v>2649</v>
      </c>
      <c r="O474" t="s">
        <v>59</v>
      </c>
      <c r="P474">
        <v>6</v>
      </c>
      <c r="Q474">
        <v>4399.2</v>
      </c>
      <c r="R474">
        <v>0.05</v>
      </c>
      <c r="S474">
        <f>IF(ISNUMBER(SEARCH("%",R474)), VALUE(SUBSTITUTE(R474,"%",""))/100,IF(ISNUMBER(R474), R474, 0))</f>
        <v>0.05</v>
      </c>
      <c r="T474" t="str">
        <f>IF(S474&lt;0,"Negative discount (invalid)",IF(S474&gt;0.5,"Discount above allowed range (invalid)",IF(AND(R474="",S474=0),"Missing discount set to 0","OK")))</f>
        <v>OK</v>
      </c>
      <c r="U474">
        <v>25075.439999999999</v>
      </c>
      <c r="V474">
        <v>16282.74</v>
      </c>
      <c r="W474">
        <v>8792.7000000000007</v>
      </c>
      <c r="X474" t="s">
        <v>32</v>
      </c>
      <c r="Y474" t="s">
        <v>33</v>
      </c>
      <c r="Z474">
        <f>IF(T474="OK",P474*Q474*(1-S474),"invalid")</f>
        <v>25075.439999999995</v>
      </c>
      <c r="AA474">
        <f>IF(Z474="N/A","N/A",Z474-V474)</f>
        <v>8792.6999999999953</v>
      </c>
      <c r="AB474" s="8">
        <f>IF(Z474&lt;&gt;"N/A", AA474/Z474, "N/A")</f>
        <v>0.35064987892535471</v>
      </c>
      <c r="AC474">
        <f>MONTH(B474)</f>
        <v>10</v>
      </c>
      <c r="AD474">
        <f>YEAR(B474)</f>
        <v>2024</v>
      </c>
      <c r="AE474" s="10">
        <f t="shared" si="7"/>
        <v>3.637978807091713E-12</v>
      </c>
      <c r="AF474" t="s">
        <v>2804</v>
      </c>
      <c r="AG474" t="s">
        <v>2811</v>
      </c>
    </row>
    <row r="475" spans="1:33">
      <c r="A475" t="s">
        <v>2650</v>
      </c>
      <c r="B475" s="4">
        <v>45324</v>
      </c>
      <c r="C475" s="4">
        <v>45326</v>
      </c>
      <c r="D475">
        <f>_xlfn.DAYS(C475,B475)</f>
        <v>2</v>
      </c>
      <c r="E475" t="s">
        <v>2804</v>
      </c>
      <c r="F475" t="s">
        <v>2651</v>
      </c>
      <c r="G475" t="s">
        <v>71</v>
      </c>
      <c r="H475" t="s">
        <v>95</v>
      </c>
      <c r="I475" t="s">
        <v>25</v>
      </c>
      <c r="J475" t="s">
        <v>136</v>
      </c>
      <c r="K475" t="s">
        <v>137</v>
      </c>
      <c r="L475" t="s">
        <v>28</v>
      </c>
      <c r="M475" t="s">
        <v>124</v>
      </c>
      <c r="N475" t="s">
        <v>2652</v>
      </c>
      <c r="O475" t="s">
        <v>31</v>
      </c>
      <c r="P475">
        <v>1</v>
      </c>
      <c r="Q475">
        <v>4397.32</v>
      </c>
      <c r="R475">
        <v>0.05</v>
      </c>
      <c r="S475">
        <f>IF(ISNUMBER(SEARCH("%",R475)), VALUE(SUBSTITUTE(R475,"%",""))/100,IF(ISNUMBER(R475), R475, 0))</f>
        <v>0.05</v>
      </c>
      <c r="T475" t="str">
        <f>IF(S475&lt;0,"Negative discount (invalid)",IF(S475&gt;0.5,"Discount above allowed range (invalid)",IF(AND(R475="",S475=0),"Missing discount set to 0","OK")))</f>
        <v>OK</v>
      </c>
      <c r="U475">
        <v>4177.45</v>
      </c>
      <c r="V475">
        <v>2299.5</v>
      </c>
      <c r="W475">
        <v>1877.95</v>
      </c>
      <c r="X475" t="s">
        <v>32</v>
      </c>
      <c r="Y475" t="s">
        <v>33</v>
      </c>
      <c r="Z475">
        <f>IF(T475="OK",P475*Q475*(1-S475),"invalid")</f>
        <v>4177.4539999999997</v>
      </c>
      <c r="AA475">
        <f>IF(Z475="N/A","N/A",Z475-V475)</f>
        <v>1877.9539999999997</v>
      </c>
      <c r="AB475" s="8">
        <f>IF(Z475&lt;&gt;"N/A", AA475/Z475, "N/A")</f>
        <v>0.44954510570313877</v>
      </c>
      <c r="AC475">
        <f>MONTH(B475)</f>
        <v>2</v>
      </c>
      <c r="AD475">
        <f>YEAR(B475)</f>
        <v>2024</v>
      </c>
      <c r="AE475" s="10">
        <f t="shared" si="7"/>
        <v>3.9999999999054126E-3</v>
      </c>
      <c r="AF475" t="s">
        <v>2804</v>
      </c>
      <c r="AG475" t="s">
        <v>2811</v>
      </c>
    </row>
    <row r="476" spans="1:33">
      <c r="A476" t="s">
        <v>2671</v>
      </c>
      <c r="B476" s="4">
        <v>45617</v>
      </c>
      <c r="C476" s="4">
        <v>45618</v>
      </c>
      <c r="D476">
        <f>_xlfn.DAYS(C476,B476)</f>
        <v>1</v>
      </c>
      <c r="E476" t="s">
        <v>2804</v>
      </c>
      <c r="F476" t="s">
        <v>2672</v>
      </c>
      <c r="G476" t="s">
        <v>118</v>
      </c>
      <c r="H476" t="s">
        <v>95</v>
      </c>
      <c r="I476" t="s">
        <v>54</v>
      </c>
      <c r="J476" t="s">
        <v>84</v>
      </c>
      <c r="K476" t="s">
        <v>85</v>
      </c>
      <c r="L476" t="s">
        <v>74</v>
      </c>
      <c r="M476" t="s">
        <v>75</v>
      </c>
      <c r="N476" t="s">
        <v>2673</v>
      </c>
      <c r="O476" t="s">
        <v>44</v>
      </c>
      <c r="P476">
        <v>6</v>
      </c>
      <c r="Q476">
        <v>1043.49</v>
      </c>
      <c r="R476">
        <v>0.25</v>
      </c>
      <c r="S476">
        <f>IF(ISNUMBER(SEARCH("%",R476)), VALUE(SUBSTITUTE(R476,"%",""))/100,IF(ISNUMBER(R476), R476, 0))</f>
        <v>0.25</v>
      </c>
      <c r="T476" t="str">
        <f>IF(S476&lt;0,"Negative discount (invalid)",IF(S476&gt;0.5,"Discount above allowed range (invalid)",IF(AND(R476="",S476=0),"Missing discount set to 0","OK")))</f>
        <v>OK</v>
      </c>
      <c r="U476">
        <v>4695.7</v>
      </c>
      <c r="V476">
        <v>3871.69</v>
      </c>
      <c r="W476">
        <v>824.01</v>
      </c>
      <c r="X476" t="s">
        <v>155</v>
      </c>
      <c r="Y476" t="s">
        <v>68</v>
      </c>
      <c r="Z476">
        <f>IF(T476="OK",P476*Q476*(1-S476),"invalid")</f>
        <v>4695.7049999999999</v>
      </c>
      <c r="AA476">
        <f>IF(Z476="N/A","N/A",Z476-V476)</f>
        <v>824.01499999999987</v>
      </c>
      <c r="AB476" s="8">
        <f>IF(Z476&lt;&gt;"N/A", AA476/Z476, "N/A")</f>
        <v>0.17548270174553127</v>
      </c>
      <c r="AC476">
        <f>MONTH(B476)</f>
        <v>11</v>
      </c>
      <c r="AD476">
        <f>YEAR(B476)</f>
        <v>2024</v>
      </c>
      <c r="AE476" s="10">
        <f t="shared" si="7"/>
        <v>5.0000000001091394E-3</v>
      </c>
      <c r="AF476" t="s">
        <v>2804</v>
      </c>
      <c r="AG476" t="s">
        <v>2811</v>
      </c>
    </row>
    <row r="477" spans="1:33">
      <c r="A477" t="s">
        <v>2682</v>
      </c>
      <c r="B477" s="4">
        <v>45342</v>
      </c>
      <c r="C477" s="4">
        <v>45344</v>
      </c>
      <c r="D477">
        <f>_xlfn.DAYS(C477,B477)</f>
        <v>2</v>
      </c>
      <c r="E477" t="s">
        <v>2804</v>
      </c>
      <c r="F477" t="s">
        <v>2553</v>
      </c>
      <c r="G477" t="s">
        <v>79</v>
      </c>
      <c r="H477" t="s">
        <v>37</v>
      </c>
      <c r="I477" t="s">
        <v>54</v>
      </c>
      <c r="J477" t="s">
        <v>55</v>
      </c>
      <c r="K477" t="s">
        <v>56</v>
      </c>
      <c r="L477" t="s">
        <v>74</v>
      </c>
      <c r="M477" t="s">
        <v>75</v>
      </c>
      <c r="N477" t="s">
        <v>2683</v>
      </c>
      <c r="O477" t="s">
        <v>50</v>
      </c>
      <c r="P477">
        <v>9</v>
      </c>
      <c r="Q477">
        <v>2186.23</v>
      </c>
      <c r="R477">
        <v>0</v>
      </c>
      <c r="S477">
        <f>IF(ISNUMBER(SEARCH("%",R477)), VALUE(SUBSTITUTE(R477,"%",""))/100,IF(ISNUMBER(R477), R477, 0))</f>
        <v>0</v>
      </c>
      <c r="T477" t="str">
        <f>IF(S477&lt;0,"Negative discount (invalid)",IF(S477&gt;0.5,"Discount above allowed range (invalid)",IF(AND(R477="",S477=0),"Missing discount set to 0","OK")))</f>
        <v>OK</v>
      </c>
      <c r="U477">
        <v>19676.07</v>
      </c>
      <c r="V477">
        <v>12458.62</v>
      </c>
      <c r="W477">
        <v>7217.45</v>
      </c>
      <c r="X477" t="s">
        <v>102</v>
      </c>
      <c r="Y477" t="s">
        <v>68</v>
      </c>
      <c r="Z477">
        <f>IF(T477="OK",P477*Q477*(1-S477),"invalid")</f>
        <v>19676.07</v>
      </c>
      <c r="AA477">
        <f>IF(Z477="N/A","N/A",Z477-V477)</f>
        <v>7217.4499999999989</v>
      </c>
      <c r="AB477" s="8">
        <f>IF(Z477&lt;&gt;"N/A", AA477/Z477, "N/A")</f>
        <v>0.36681359641432454</v>
      </c>
      <c r="AC477">
        <f>MONTH(B477)</f>
        <v>2</v>
      </c>
      <c r="AD477">
        <f>YEAR(B477)</f>
        <v>2024</v>
      </c>
      <c r="AE477" s="10">
        <f t="shared" si="7"/>
        <v>0</v>
      </c>
      <c r="AF477" t="s">
        <v>2804</v>
      </c>
      <c r="AG477" t="s">
        <v>2811</v>
      </c>
    </row>
    <row r="478" spans="1:33">
      <c r="A478" t="s">
        <v>2684</v>
      </c>
      <c r="B478" s="4">
        <v>45597</v>
      </c>
      <c r="C478" s="4">
        <v>45598</v>
      </c>
      <c r="D478">
        <f>_xlfn.DAYS(C478,B478)</f>
        <v>1</v>
      </c>
      <c r="E478" t="s">
        <v>2804</v>
      </c>
      <c r="F478" t="s">
        <v>1962</v>
      </c>
      <c r="G478" t="s">
        <v>23</v>
      </c>
      <c r="H478" t="s">
        <v>90</v>
      </c>
      <c r="I478" t="s">
        <v>38</v>
      </c>
      <c r="J478" t="s">
        <v>99</v>
      </c>
      <c r="K478" t="s">
        <v>100</v>
      </c>
      <c r="L478" t="s">
        <v>41</v>
      </c>
      <c r="M478" t="s">
        <v>57</v>
      </c>
      <c r="N478" t="s">
        <v>2685</v>
      </c>
      <c r="O478" t="s">
        <v>59</v>
      </c>
      <c r="P478">
        <v>5</v>
      </c>
      <c r="Q478">
        <v>2212.02</v>
      </c>
      <c r="R478">
        <v>0.2</v>
      </c>
      <c r="S478">
        <f>IF(ISNUMBER(SEARCH("%",R478)), VALUE(SUBSTITUTE(R478,"%",""))/100,IF(ISNUMBER(R478), R478, 0))</f>
        <v>0.2</v>
      </c>
      <c r="T478" t="str">
        <f>IF(S478&lt;0,"Negative discount (invalid)",IF(S478&gt;0.5,"Discount above allowed range (invalid)",IF(AND(R478="",S478=0),"Missing discount set to 0","OK")))</f>
        <v>OK</v>
      </c>
      <c r="U478">
        <v>8848.08</v>
      </c>
      <c r="V478">
        <v>5691.56</v>
      </c>
      <c r="W478">
        <v>3156.52</v>
      </c>
      <c r="X478" t="s">
        <v>32</v>
      </c>
      <c r="Y478" t="s">
        <v>33</v>
      </c>
      <c r="Z478">
        <f>IF(T478="OK",P478*Q478*(1-S478),"invalid")</f>
        <v>8848.08</v>
      </c>
      <c r="AA478">
        <f>IF(Z478="N/A","N/A",Z478-V478)</f>
        <v>3156.5199999999995</v>
      </c>
      <c r="AB478" s="8">
        <f>IF(Z478&lt;&gt;"N/A", AA478/Z478, "N/A")</f>
        <v>0.35674632236598219</v>
      </c>
      <c r="AC478">
        <f>MONTH(B478)</f>
        <v>11</v>
      </c>
      <c r="AD478">
        <f>YEAR(B478)</f>
        <v>2024</v>
      </c>
      <c r="AE478" s="10">
        <f t="shared" si="7"/>
        <v>0</v>
      </c>
      <c r="AF478" t="s">
        <v>2804</v>
      </c>
      <c r="AG478" t="s">
        <v>2811</v>
      </c>
    </row>
    <row r="479" spans="1:33">
      <c r="A479" t="s">
        <v>2692</v>
      </c>
      <c r="B479" s="4">
        <v>45514</v>
      </c>
      <c r="C479" s="4">
        <v>45515</v>
      </c>
      <c r="D479">
        <f>_xlfn.DAYS(C479,B479)</f>
        <v>1</v>
      </c>
      <c r="E479" t="s">
        <v>2804</v>
      </c>
      <c r="F479" t="s">
        <v>2693</v>
      </c>
      <c r="G479" t="s">
        <v>36</v>
      </c>
      <c r="H479" t="s">
        <v>90</v>
      </c>
      <c r="I479" t="s">
        <v>63</v>
      </c>
      <c r="J479" t="s">
        <v>64</v>
      </c>
      <c r="K479" t="s">
        <v>65</v>
      </c>
      <c r="L479" t="s">
        <v>74</v>
      </c>
      <c r="M479" t="s">
        <v>80</v>
      </c>
      <c r="N479" t="s">
        <v>2694</v>
      </c>
      <c r="O479" t="s">
        <v>50</v>
      </c>
      <c r="P479">
        <v>7</v>
      </c>
      <c r="Q479">
        <v>3852.62</v>
      </c>
      <c r="R479">
        <v>0.2</v>
      </c>
      <c r="S479">
        <f>IF(ISNUMBER(SEARCH("%",R479)), VALUE(SUBSTITUTE(R479,"%",""))/100,IF(ISNUMBER(R479), R479, 0))</f>
        <v>0.2</v>
      </c>
      <c r="T479" t="str">
        <f>IF(S479&lt;0,"Negative discount (invalid)",IF(S479&gt;0.5,"Discount above allowed range (invalid)",IF(AND(R479="",S479=0),"Missing discount set to 0","OK")))</f>
        <v>OK</v>
      </c>
      <c r="U479">
        <v>21574.67</v>
      </c>
      <c r="V479">
        <v>14672.83</v>
      </c>
      <c r="W479">
        <v>6901.84</v>
      </c>
      <c r="X479" t="s">
        <v>32</v>
      </c>
      <c r="Y479" t="s">
        <v>33</v>
      </c>
      <c r="Z479">
        <f>IF(T479="OK",P479*Q479*(1-S479),"invalid")</f>
        <v>21574.672000000002</v>
      </c>
      <c r="AA479">
        <f>IF(Z479="N/A","N/A",Z479-V479)</f>
        <v>6901.8420000000024</v>
      </c>
      <c r="AB479" s="8">
        <f>IF(Z479&lt;&gt;"N/A", AA479/Z479, "N/A")</f>
        <v>0.31990484026825539</v>
      </c>
      <c r="AC479">
        <f>MONTH(B479)</f>
        <v>8</v>
      </c>
      <c r="AD479">
        <f>YEAR(B479)</f>
        <v>2024</v>
      </c>
      <c r="AE479" s="10">
        <f t="shared" si="7"/>
        <v>2.0000000040454324E-3</v>
      </c>
      <c r="AF479" t="s">
        <v>2804</v>
      </c>
      <c r="AG479" t="s">
        <v>2811</v>
      </c>
    </row>
    <row r="480" spans="1:33">
      <c r="A480" t="s">
        <v>2695</v>
      </c>
      <c r="B480" s="4">
        <v>45614</v>
      </c>
      <c r="C480" s="4">
        <v>45616</v>
      </c>
      <c r="D480">
        <f>_xlfn.DAYS(C480,B480)</f>
        <v>2</v>
      </c>
      <c r="E480" t="s">
        <v>2804</v>
      </c>
      <c r="F480" t="s">
        <v>2696</v>
      </c>
      <c r="G480" t="s">
        <v>114</v>
      </c>
      <c r="H480" t="s">
        <v>24</v>
      </c>
      <c r="I480" t="s">
        <v>63</v>
      </c>
      <c r="J480" t="s">
        <v>26</v>
      </c>
      <c r="K480" t="s">
        <v>109</v>
      </c>
      <c r="L480" t="s">
        <v>41</v>
      </c>
      <c r="M480" t="s">
        <v>66</v>
      </c>
      <c r="N480" t="s">
        <v>846</v>
      </c>
      <c r="O480" t="s">
        <v>50</v>
      </c>
      <c r="P480">
        <v>6</v>
      </c>
      <c r="Q480">
        <v>3790.22</v>
      </c>
      <c r="R480">
        <v>0</v>
      </c>
      <c r="S480">
        <f>IF(ISNUMBER(SEARCH("%",R480)), VALUE(SUBSTITUTE(R480,"%",""))/100,IF(ISNUMBER(R480), R480, 0))</f>
        <v>0</v>
      </c>
      <c r="T480" t="str">
        <f>IF(S480&lt;0,"Negative discount (invalid)",IF(S480&gt;0.5,"Discount above allowed range (invalid)",IF(AND(R480="",S480=0),"Missing discount set to 0","OK")))</f>
        <v>OK</v>
      </c>
      <c r="U480">
        <v>22741.32</v>
      </c>
      <c r="V480">
        <v>16388.57</v>
      </c>
      <c r="W480">
        <v>6352.75</v>
      </c>
      <c r="X480" t="s">
        <v>32</v>
      </c>
      <c r="Y480" t="s">
        <v>33</v>
      </c>
      <c r="Z480">
        <f>IF(T480="OK",P480*Q480*(1-S480),"invalid")</f>
        <v>22741.32</v>
      </c>
      <c r="AA480">
        <f>IF(Z480="N/A","N/A",Z480-V480)</f>
        <v>6352.75</v>
      </c>
      <c r="AB480" s="8">
        <f>IF(Z480&lt;&gt;"N/A", AA480/Z480, "N/A")</f>
        <v>0.27934834037777928</v>
      </c>
      <c r="AC480">
        <f>MONTH(B480)</f>
        <v>11</v>
      </c>
      <c r="AD480">
        <f>YEAR(B480)</f>
        <v>2024</v>
      </c>
      <c r="AE480" s="10">
        <f t="shared" si="7"/>
        <v>0</v>
      </c>
      <c r="AF480" t="s">
        <v>2804</v>
      </c>
      <c r="AG480" t="s">
        <v>2811</v>
      </c>
    </row>
    <row r="481" spans="1:33">
      <c r="A481" t="s">
        <v>2700</v>
      </c>
      <c r="B481" s="4">
        <v>45313</v>
      </c>
      <c r="C481" s="4">
        <v>45313</v>
      </c>
      <c r="D481">
        <f>_xlfn.DAYS(C481,B481)</f>
        <v>0</v>
      </c>
      <c r="E481" t="s">
        <v>2804</v>
      </c>
      <c r="F481" t="s">
        <v>2701</v>
      </c>
      <c r="G481" t="s">
        <v>23</v>
      </c>
      <c r="H481" t="s">
        <v>90</v>
      </c>
      <c r="I481" t="s">
        <v>38</v>
      </c>
      <c r="J481" t="s">
        <v>99</v>
      </c>
      <c r="K481" t="s">
        <v>100</v>
      </c>
      <c r="L481" t="s">
        <v>28</v>
      </c>
      <c r="M481" t="s">
        <v>29</v>
      </c>
      <c r="N481" t="s">
        <v>2702</v>
      </c>
      <c r="O481" t="s">
        <v>50</v>
      </c>
      <c r="P481">
        <v>8</v>
      </c>
      <c r="Q481">
        <v>1557.21</v>
      </c>
      <c r="R481">
        <v>0.05</v>
      </c>
      <c r="S481">
        <f>IF(ISNUMBER(SEARCH("%",R481)), VALUE(SUBSTITUTE(R481,"%",""))/100,IF(ISNUMBER(R481), R481, 0))</f>
        <v>0.05</v>
      </c>
      <c r="T481" t="str">
        <f>IF(S481&lt;0,"Negative discount (invalid)",IF(S481&gt;0.5,"Discount above allowed range (invalid)",IF(AND(R481="",S481=0),"Missing discount set to 0","OK")))</f>
        <v>OK</v>
      </c>
      <c r="U481">
        <v>11834.8</v>
      </c>
      <c r="V481">
        <v>9322.36</v>
      </c>
      <c r="W481">
        <v>2512.44</v>
      </c>
      <c r="X481" t="s">
        <v>32</v>
      </c>
      <c r="Y481" t="s">
        <v>33</v>
      </c>
      <c r="Z481">
        <f>IF(T481="OK",P481*Q481*(1-S481),"invalid")</f>
        <v>11834.796</v>
      </c>
      <c r="AA481">
        <f>IF(Z481="N/A","N/A",Z481-V481)</f>
        <v>2512.4359999999997</v>
      </c>
      <c r="AB481" s="8">
        <f>IF(Z481&lt;&gt;"N/A", AA481/Z481, "N/A")</f>
        <v>0.21229229468763125</v>
      </c>
      <c r="AC481">
        <f>MONTH(B481)</f>
        <v>1</v>
      </c>
      <c r="AD481">
        <f>YEAR(B481)</f>
        <v>2024</v>
      </c>
      <c r="AE481" s="10">
        <f t="shared" si="7"/>
        <v>3.9999999989959178E-3</v>
      </c>
      <c r="AF481" t="s">
        <v>2804</v>
      </c>
      <c r="AG481" t="s">
        <v>2811</v>
      </c>
    </row>
    <row r="482" spans="1:33">
      <c r="A482" t="s">
        <v>2706</v>
      </c>
      <c r="B482" s="4">
        <v>45359</v>
      </c>
      <c r="C482" s="4">
        <v>45366</v>
      </c>
      <c r="D482">
        <f>_xlfn.DAYS(C482,B482)</f>
        <v>7</v>
      </c>
      <c r="E482" t="s">
        <v>2804</v>
      </c>
      <c r="F482" t="s">
        <v>2707</v>
      </c>
      <c r="G482" t="s">
        <v>128</v>
      </c>
      <c r="H482" t="s">
        <v>37</v>
      </c>
      <c r="I482" t="s">
        <v>2785</v>
      </c>
      <c r="J482" t="s">
        <v>122</v>
      </c>
      <c r="K482" t="s">
        <v>123</v>
      </c>
      <c r="L482" t="s">
        <v>41</v>
      </c>
      <c r="M482" t="s">
        <v>66</v>
      </c>
      <c r="N482" t="s">
        <v>2708</v>
      </c>
      <c r="O482" t="s">
        <v>50</v>
      </c>
      <c r="P482">
        <v>5</v>
      </c>
      <c r="Q482">
        <v>3234.77</v>
      </c>
      <c r="R482">
        <v>0</v>
      </c>
      <c r="S482">
        <f>IF(ISNUMBER(SEARCH("%",R482)), VALUE(SUBSTITUTE(R482,"%",""))/100,IF(ISNUMBER(R482), R482, 0))</f>
        <v>0</v>
      </c>
      <c r="T482" t="str">
        <f>IF(S482&lt;0,"Negative discount (invalid)",IF(S482&gt;0.5,"Discount above allowed range (invalid)",IF(AND(R482="",S482=0),"Missing discount set to 0","OK")))</f>
        <v>OK</v>
      </c>
      <c r="U482">
        <v>16173.85</v>
      </c>
      <c r="V482">
        <v>13636.34</v>
      </c>
      <c r="W482">
        <v>2537.5100000000002</v>
      </c>
      <c r="X482" t="s">
        <v>32</v>
      </c>
      <c r="Y482" t="s">
        <v>33</v>
      </c>
      <c r="Z482">
        <f>IF(T482="OK",P482*Q482*(1-S482),"invalid")</f>
        <v>16173.85</v>
      </c>
      <c r="AA482">
        <f>IF(Z482="N/A","N/A",Z482-V482)</f>
        <v>2537.5100000000002</v>
      </c>
      <c r="AB482" s="8">
        <f>IF(Z482&lt;&gt;"N/A", AA482/Z482, "N/A")</f>
        <v>0.15688967067210344</v>
      </c>
      <c r="AC482">
        <f>MONTH(B482)</f>
        <v>3</v>
      </c>
      <c r="AD482">
        <f>YEAR(B482)</f>
        <v>2024</v>
      </c>
      <c r="AE482" s="10">
        <f t="shared" si="7"/>
        <v>0</v>
      </c>
      <c r="AF482" t="s">
        <v>2799</v>
      </c>
      <c r="AG482" t="s">
        <v>2798</v>
      </c>
    </row>
    <row r="483" spans="1:33">
      <c r="A483" t="s">
        <v>2709</v>
      </c>
      <c r="B483" s="4">
        <v>45627</v>
      </c>
      <c r="C483" s="4">
        <v>45631</v>
      </c>
      <c r="D483">
        <f>_xlfn.DAYS(C483,B483)</f>
        <v>4</v>
      </c>
      <c r="E483" t="s">
        <v>2804</v>
      </c>
      <c r="F483" t="s">
        <v>2710</v>
      </c>
      <c r="G483" t="s">
        <v>62</v>
      </c>
      <c r="H483" t="s">
        <v>37</v>
      </c>
      <c r="I483" t="s">
        <v>54</v>
      </c>
      <c r="J483" t="s">
        <v>84</v>
      </c>
      <c r="K483" t="s">
        <v>85</v>
      </c>
      <c r="L483" t="s">
        <v>74</v>
      </c>
      <c r="M483" t="s">
        <v>80</v>
      </c>
      <c r="N483" t="s">
        <v>2711</v>
      </c>
      <c r="O483" t="s">
        <v>31</v>
      </c>
      <c r="P483">
        <v>9</v>
      </c>
      <c r="Q483">
        <v>3726.75</v>
      </c>
      <c r="R483">
        <v>0.25</v>
      </c>
      <c r="S483">
        <f>IF(ISNUMBER(SEARCH("%",R483)), VALUE(SUBSTITUTE(R483,"%",""))/100,IF(ISNUMBER(R483), R483, 0))</f>
        <v>0.25</v>
      </c>
      <c r="T483" t="str">
        <f>IF(S483&lt;0,"Negative discount (invalid)",IF(S483&gt;0.5,"Discount above allowed range (invalid)",IF(AND(R483="",S483=0),"Missing discount set to 0","OK")))</f>
        <v>OK</v>
      </c>
      <c r="U483">
        <v>25155.56</v>
      </c>
      <c r="V483">
        <v>17592.689999999999</v>
      </c>
      <c r="W483">
        <v>7562.87</v>
      </c>
      <c r="X483" t="s">
        <v>32</v>
      </c>
      <c r="Y483" t="s">
        <v>33</v>
      </c>
      <c r="Z483">
        <f>IF(T483="OK",P483*Q483*(1-S483),"invalid")</f>
        <v>25155.5625</v>
      </c>
      <c r="AA483">
        <f>IF(Z483="N/A","N/A",Z483-V483)</f>
        <v>7562.8725000000013</v>
      </c>
      <c r="AB483" s="8">
        <f>IF(Z483&lt;&gt;"N/A", AA483/Z483, "N/A")</f>
        <v>0.30064414182747856</v>
      </c>
      <c r="AC483">
        <f>MONTH(B483)</f>
        <v>12</v>
      </c>
      <c r="AD483">
        <f>YEAR(B483)</f>
        <v>2024</v>
      </c>
      <c r="AE483" s="10">
        <f t="shared" si="7"/>
        <v>2.4999999986903276E-3</v>
      </c>
      <c r="AF483" t="s">
        <v>2804</v>
      </c>
      <c r="AG483" t="s">
        <v>2811</v>
      </c>
    </row>
    <row r="484" spans="1:33">
      <c r="A484" t="s">
        <v>2721</v>
      </c>
      <c r="B484" s="4">
        <v>45296</v>
      </c>
      <c r="C484" s="4">
        <v>45296</v>
      </c>
      <c r="D484">
        <f>_xlfn.DAYS(C484,B484)</f>
        <v>0</v>
      </c>
      <c r="E484" t="s">
        <v>2804</v>
      </c>
      <c r="F484" t="s">
        <v>2722</v>
      </c>
      <c r="G484" t="s">
        <v>162</v>
      </c>
      <c r="H484" t="s">
        <v>24</v>
      </c>
      <c r="I484" t="s">
        <v>25</v>
      </c>
      <c r="J484" t="s">
        <v>26</v>
      </c>
      <c r="K484" t="s">
        <v>27</v>
      </c>
      <c r="L484" t="s">
        <v>41</v>
      </c>
      <c r="M484" t="s">
        <v>42</v>
      </c>
      <c r="N484" t="s">
        <v>2723</v>
      </c>
      <c r="O484" t="s">
        <v>59</v>
      </c>
      <c r="P484">
        <v>1</v>
      </c>
      <c r="Q484">
        <v>2167.08</v>
      </c>
      <c r="R484">
        <v>0.25</v>
      </c>
      <c r="S484">
        <f>IF(ISNUMBER(SEARCH("%",R484)), VALUE(SUBSTITUTE(R484,"%",""))/100,IF(ISNUMBER(R484), R484, 0))</f>
        <v>0.25</v>
      </c>
      <c r="T484" t="str">
        <f>IF(S484&lt;0,"Negative discount (invalid)",IF(S484&gt;0.5,"Discount above allowed range (invalid)",IF(AND(R484="",S484=0),"Missing discount set to 0","OK")))</f>
        <v>OK</v>
      </c>
      <c r="U484">
        <v>1625.31</v>
      </c>
      <c r="V484">
        <v>1157.8900000000001</v>
      </c>
      <c r="W484">
        <v>467.42</v>
      </c>
      <c r="X484" t="s">
        <v>32</v>
      </c>
      <c r="Y484" t="s">
        <v>33</v>
      </c>
      <c r="Z484">
        <f>IF(T484="OK",P484*Q484*(1-S484),"invalid")</f>
        <v>1625.31</v>
      </c>
      <c r="AA484">
        <f>IF(Z484="N/A","N/A",Z484-V484)</f>
        <v>467.41999999999985</v>
      </c>
      <c r="AB484" s="8">
        <f>IF(Z484&lt;&gt;"N/A", AA484/Z484, "N/A")</f>
        <v>0.28758821394072509</v>
      </c>
      <c r="AC484">
        <f>MONTH(B484)</f>
        <v>1</v>
      </c>
      <c r="AD484">
        <f>YEAR(B484)</f>
        <v>2024</v>
      </c>
      <c r="AE484" s="10">
        <f t="shared" si="7"/>
        <v>0</v>
      </c>
      <c r="AF484" t="s">
        <v>2804</v>
      </c>
      <c r="AG484" t="s">
        <v>2811</v>
      </c>
    </row>
    <row r="485" spans="1:33">
      <c r="A485" t="s">
        <v>2727</v>
      </c>
      <c r="B485" s="4">
        <v>45455</v>
      </c>
      <c r="C485" s="4">
        <v>45461</v>
      </c>
      <c r="D485">
        <f>_xlfn.DAYS(C485,B485)</f>
        <v>6</v>
      </c>
      <c r="E485" t="s">
        <v>2804</v>
      </c>
      <c r="F485" t="s">
        <v>2728</v>
      </c>
      <c r="G485" t="s">
        <v>128</v>
      </c>
      <c r="H485" t="s">
        <v>37</v>
      </c>
      <c r="I485" t="s">
        <v>54</v>
      </c>
      <c r="J485" t="s">
        <v>84</v>
      </c>
      <c r="K485" t="s">
        <v>85</v>
      </c>
      <c r="L485" t="s">
        <v>28</v>
      </c>
      <c r="M485" t="s">
        <v>48</v>
      </c>
      <c r="N485" t="s">
        <v>2729</v>
      </c>
      <c r="O485" t="s">
        <v>59</v>
      </c>
      <c r="P485">
        <v>4</v>
      </c>
      <c r="Q485">
        <v>4176.13</v>
      </c>
      <c r="R485">
        <v>0</v>
      </c>
      <c r="S485">
        <f>IF(ISNUMBER(SEARCH("%",R485)), VALUE(SUBSTITUTE(R485,"%",""))/100,IF(ISNUMBER(R485), R485, 0))</f>
        <v>0</v>
      </c>
      <c r="T485" t="str">
        <f>IF(S485&lt;0,"Negative discount (invalid)",IF(S485&gt;0.5,"Discount above allowed range (invalid)",IF(AND(R485="",S485=0),"Missing discount set to 0","OK")))</f>
        <v>OK</v>
      </c>
      <c r="U485">
        <v>16704.52</v>
      </c>
      <c r="V485">
        <v>10158.280000000001</v>
      </c>
      <c r="W485">
        <v>6546.24</v>
      </c>
      <c r="X485" t="s">
        <v>32</v>
      </c>
      <c r="Y485" t="s">
        <v>33</v>
      </c>
      <c r="Z485">
        <f>IF(T485="OK",P485*Q485*(1-S485),"invalid")</f>
        <v>16704.52</v>
      </c>
      <c r="AA485">
        <f>IF(Z485="N/A","N/A",Z485-V485)</f>
        <v>6546.24</v>
      </c>
      <c r="AB485" s="8">
        <f>IF(Z485&lt;&gt;"N/A", AA485/Z485, "N/A")</f>
        <v>0.39188435225914897</v>
      </c>
      <c r="AC485">
        <f>MONTH(B485)</f>
        <v>6</v>
      </c>
      <c r="AD485">
        <f>YEAR(B485)</f>
        <v>2024</v>
      </c>
      <c r="AE485" s="10">
        <f t="shared" si="7"/>
        <v>0</v>
      </c>
      <c r="AF485" t="s">
        <v>2804</v>
      </c>
      <c r="AG485" t="s">
        <v>2811</v>
      </c>
    </row>
    <row r="486" spans="1:33">
      <c r="A486" t="s">
        <v>2735</v>
      </c>
      <c r="B486" s="4">
        <v>45427</v>
      </c>
      <c r="C486" s="4">
        <v>45433</v>
      </c>
      <c r="D486">
        <f>_xlfn.DAYS(C486,B486)</f>
        <v>6</v>
      </c>
      <c r="E486" t="s">
        <v>2804</v>
      </c>
      <c r="F486" t="s">
        <v>2736</v>
      </c>
      <c r="G486" t="s">
        <v>23</v>
      </c>
      <c r="H486" t="s">
        <v>24</v>
      </c>
      <c r="I486" t="s">
        <v>63</v>
      </c>
      <c r="J486" t="s">
        <v>190</v>
      </c>
      <c r="K486" t="s">
        <v>191</v>
      </c>
      <c r="L486" t="s">
        <v>28</v>
      </c>
      <c r="M486" t="s">
        <v>124</v>
      </c>
      <c r="N486" t="s">
        <v>2737</v>
      </c>
      <c r="O486" t="s">
        <v>59</v>
      </c>
      <c r="P486">
        <v>6</v>
      </c>
      <c r="Q486">
        <v>2909.56</v>
      </c>
      <c r="R486">
        <v>0.2</v>
      </c>
      <c r="S486">
        <f>IF(ISNUMBER(SEARCH("%",R486)), VALUE(SUBSTITUTE(R486,"%",""))/100,IF(ISNUMBER(R486), R486, 0))</f>
        <v>0.2</v>
      </c>
      <c r="T486" t="str">
        <f>IF(S486&lt;0,"Negative discount (invalid)",IF(S486&gt;0.5,"Discount above allowed range (invalid)",IF(AND(R486="",S486=0),"Missing discount set to 0","OK")))</f>
        <v>OK</v>
      </c>
      <c r="U486">
        <v>13965.89</v>
      </c>
      <c r="V486">
        <v>11646.12</v>
      </c>
      <c r="W486">
        <v>2319.77</v>
      </c>
      <c r="X486" t="s">
        <v>32</v>
      </c>
      <c r="Y486" t="s">
        <v>33</v>
      </c>
      <c r="Z486">
        <f>IF(T486="OK",P486*Q486*(1-S486),"invalid")</f>
        <v>13965.888000000001</v>
      </c>
      <c r="AA486">
        <f>IF(Z486="N/A","N/A",Z486-V486)</f>
        <v>2319.768</v>
      </c>
      <c r="AB486" s="8">
        <f>IF(Z486&lt;&gt;"N/A", AA486/Z486, "N/A")</f>
        <v>0.16610243473239938</v>
      </c>
      <c r="AC486">
        <f>MONTH(B486)</f>
        <v>5</v>
      </c>
      <c r="AD486">
        <f>YEAR(B486)</f>
        <v>2024</v>
      </c>
      <c r="AE486" s="10">
        <f t="shared" si="7"/>
        <v>1.9999999985884642E-3</v>
      </c>
      <c r="AF486" t="s">
        <v>2804</v>
      </c>
      <c r="AG486" t="s">
        <v>2811</v>
      </c>
    </row>
    <row r="487" spans="1:33">
      <c r="A487" t="s">
        <v>2738</v>
      </c>
      <c r="B487" s="4">
        <v>45573</v>
      </c>
      <c r="C487" s="4">
        <v>45574</v>
      </c>
      <c r="D487">
        <f>_xlfn.DAYS(C487,B487)</f>
        <v>1</v>
      </c>
      <c r="E487" t="s">
        <v>2804</v>
      </c>
      <c r="F487" t="s">
        <v>2739</v>
      </c>
      <c r="G487" t="s">
        <v>264</v>
      </c>
      <c r="H487" t="s">
        <v>90</v>
      </c>
      <c r="I487" t="s">
        <v>54</v>
      </c>
      <c r="J487" t="s">
        <v>247</v>
      </c>
      <c r="K487" t="s">
        <v>248</v>
      </c>
      <c r="L487" t="s">
        <v>74</v>
      </c>
      <c r="M487" t="s">
        <v>274</v>
      </c>
      <c r="N487" t="s">
        <v>2740</v>
      </c>
      <c r="O487" t="s">
        <v>44</v>
      </c>
      <c r="P487">
        <v>5</v>
      </c>
      <c r="Q487">
        <v>2407.9699999999998</v>
      </c>
      <c r="R487">
        <v>0.1</v>
      </c>
      <c r="S487">
        <f>IF(ISNUMBER(SEARCH("%",R487)), VALUE(SUBSTITUTE(R487,"%",""))/100,IF(ISNUMBER(R487), R487, 0))</f>
        <v>0.1</v>
      </c>
      <c r="T487" t="str">
        <f>IF(S487&lt;0,"Negative discount (invalid)",IF(S487&gt;0.5,"Discount above allowed range (invalid)",IF(AND(R487="",S487=0),"Missing discount set to 0","OK")))</f>
        <v>OK</v>
      </c>
      <c r="U487">
        <v>10835.86</v>
      </c>
      <c r="V487">
        <v>6419.92</v>
      </c>
      <c r="W487">
        <v>4415.9399999999996</v>
      </c>
      <c r="X487" t="s">
        <v>155</v>
      </c>
      <c r="Y487" t="s">
        <v>68</v>
      </c>
      <c r="Z487">
        <f>IF(T487="OK",P487*Q487*(1-S487),"invalid")</f>
        <v>10835.865</v>
      </c>
      <c r="AA487">
        <f>IF(Z487="N/A","N/A",Z487-V487)</f>
        <v>4415.9449999999997</v>
      </c>
      <c r="AB487" s="8">
        <f>IF(Z487&lt;&gt;"N/A", AA487/Z487, "N/A")</f>
        <v>0.40753045557507406</v>
      </c>
      <c r="AC487">
        <f>MONTH(B487)</f>
        <v>10</v>
      </c>
      <c r="AD487">
        <f>YEAR(B487)</f>
        <v>2024</v>
      </c>
      <c r="AE487" s="10">
        <f t="shared" si="7"/>
        <v>4.9999999991996447E-3</v>
      </c>
      <c r="AF487" t="s">
        <v>2804</v>
      </c>
      <c r="AG487" t="s">
        <v>2811</v>
      </c>
    </row>
    <row r="488" spans="1:33">
      <c r="A488" t="s">
        <v>2744</v>
      </c>
      <c r="B488" s="4">
        <v>45449</v>
      </c>
      <c r="C488" s="4">
        <v>45451</v>
      </c>
      <c r="D488">
        <f>_xlfn.DAYS(C488,B488)</f>
        <v>2</v>
      </c>
      <c r="E488" t="s">
        <v>2804</v>
      </c>
      <c r="F488" t="s">
        <v>2745</v>
      </c>
      <c r="G488" t="s">
        <v>128</v>
      </c>
      <c r="H488" t="s">
        <v>90</v>
      </c>
      <c r="I488" t="s">
        <v>54</v>
      </c>
      <c r="J488" t="s">
        <v>175</v>
      </c>
      <c r="K488" t="s">
        <v>176</v>
      </c>
      <c r="L488" t="s">
        <v>41</v>
      </c>
      <c r="M488" t="s">
        <v>42</v>
      </c>
      <c r="N488" t="s">
        <v>2746</v>
      </c>
      <c r="O488" t="s">
        <v>31</v>
      </c>
      <c r="P488">
        <v>3</v>
      </c>
      <c r="Q488">
        <v>395.49</v>
      </c>
      <c r="R488">
        <v>0.05</v>
      </c>
      <c r="S488">
        <f>IF(ISNUMBER(SEARCH("%",R488)), VALUE(SUBSTITUTE(R488,"%",""))/100,IF(ISNUMBER(R488), R488, 0))</f>
        <v>0.05</v>
      </c>
      <c r="T488" t="str">
        <f>IF(S488&lt;0,"Negative discount (invalid)",IF(S488&gt;0.5,"Discount above allowed range (invalid)",IF(AND(R488="",S488=0),"Missing discount set to 0","OK")))</f>
        <v>OK</v>
      </c>
      <c r="U488">
        <v>1127.1500000000001</v>
      </c>
      <c r="V488">
        <v>845.62</v>
      </c>
      <c r="W488">
        <v>281.52999999999997</v>
      </c>
      <c r="X488" t="s">
        <v>32</v>
      </c>
      <c r="Y488" t="s">
        <v>103</v>
      </c>
      <c r="Z488">
        <f>IF(T488="OK",P488*Q488*(1-S488),"invalid")</f>
        <v>1127.1465000000001</v>
      </c>
      <c r="AA488">
        <f>IF(Z488="N/A","N/A",Z488-V488)</f>
        <v>281.52650000000006</v>
      </c>
      <c r="AB488" s="8">
        <f>IF(Z488&lt;&gt;"N/A", AA488/Z488, "N/A")</f>
        <v>0.24976921810962466</v>
      </c>
      <c r="AC488">
        <f>MONTH(B488)</f>
        <v>6</v>
      </c>
      <c r="AD488">
        <f>YEAR(B488)</f>
        <v>2024</v>
      </c>
      <c r="AE488" s="10">
        <f t="shared" si="7"/>
        <v>3.5000000000309228E-3</v>
      </c>
      <c r="AF488" t="s">
        <v>2804</v>
      </c>
      <c r="AG488" t="s">
        <v>2811</v>
      </c>
    </row>
    <row r="489" spans="1:33">
      <c r="A489" t="s">
        <v>2747</v>
      </c>
      <c r="B489" s="4">
        <v>45344</v>
      </c>
      <c r="C489" s="4">
        <v>45351</v>
      </c>
      <c r="D489">
        <f>_xlfn.DAYS(C489,B489)</f>
        <v>7</v>
      </c>
      <c r="E489" t="s">
        <v>2804</v>
      </c>
      <c r="F489" t="s">
        <v>2748</v>
      </c>
      <c r="G489" t="s">
        <v>47</v>
      </c>
      <c r="H489" t="s">
        <v>95</v>
      </c>
      <c r="I489" t="s">
        <v>54</v>
      </c>
      <c r="J489" t="s">
        <v>55</v>
      </c>
      <c r="K489" t="s">
        <v>56</v>
      </c>
      <c r="L489" t="s">
        <v>41</v>
      </c>
      <c r="M489" t="s">
        <v>42</v>
      </c>
      <c r="N489" t="s">
        <v>2749</v>
      </c>
      <c r="O489" t="s">
        <v>50</v>
      </c>
      <c r="P489">
        <v>6</v>
      </c>
      <c r="Q489">
        <v>4254.05</v>
      </c>
      <c r="R489">
        <v>0</v>
      </c>
      <c r="S489">
        <f>IF(ISNUMBER(SEARCH("%",R489)), VALUE(SUBSTITUTE(R489,"%",""))/100,IF(ISNUMBER(R489), R489, 0))</f>
        <v>0</v>
      </c>
      <c r="T489" t="str">
        <f>IF(S489&lt;0,"Negative discount (invalid)",IF(S489&gt;0.5,"Discount above allowed range (invalid)",IF(AND(R489="",S489=0),"Missing discount set to 0","OK")))</f>
        <v>OK</v>
      </c>
      <c r="U489">
        <v>25524.3</v>
      </c>
      <c r="V489">
        <v>16711.93</v>
      </c>
      <c r="W489">
        <v>8812.3700000000008</v>
      </c>
      <c r="X489" t="s">
        <v>32</v>
      </c>
      <c r="Y489" t="s">
        <v>33</v>
      </c>
      <c r="Z489">
        <f>IF(T489="OK",P489*Q489*(1-S489),"invalid")</f>
        <v>25524.300000000003</v>
      </c>
      <c r="AA489">
        <f>IF(Z489="N/A","N/A",Z489-V489)</f>
        <v>8812.3700000000026</v>
      </c>
      <c r="AB489" s="8">
        <f>IF(Z489&lt;&gt;"N/A", AA489/Z489, "N/A")</f>
        <v>0.34525413037771857</v>
      </c>
      <c r="AC489">
        <f>MONTH(B489)</f>
        <v>2</v>
      </c>
      <c r="AD489">
        <f>YEAR(B489)</f>
        <v>2024</v>
      </c>
      <c r="AE489" s="10">
        <f t="shared" si="7"/>
        <v>3.637978807091713E-12</v>
      </c>
      <c r="AF489" t="s">
        <v>2804</v>
      </c>
      <c r="AG489" t="s">
        <v>2811</v>
      </c>
    </row>
    <row r="490" spans="1:33">
      <c r="A490" t="s">
        <v>2750</v>
      </c>
      <c r="B490" s="4">
        <v>45601</v>
      </c>
      <c r="C490" s="4">
        <v>45606</v>
      </c>
      <c r="D490">
        <f>_xlfn.DAYS(C490,B490)</f>
        <v>5</v>
      </c>
      <c r="E490" t="s">
        <v>2804</v>
      </c>
      <c r="F490" t="s">
        <v>2751</v>
      </c>
      <c r="G490" t="s">
        <v>53</v>
      </c>
      <c r="H490" t="s">
        <v>24</v>
      </c>
      <c r="I490" t="s">
        <v>54</v>
      </c>
      <c r="J490" t="s">
        <v>185</v>
      </c>
      <c r="K490" t="s">
        <v>186</v>
      </c>
      <c r="L490" t="s">
        <v>41</v>
      </c>
      <c r="M490" t="s">
        <v>66</v>
      </c>
      <c r="N490" t="s">
        <v>2752</v>
      </c>
      <c r="O490" t="s">
        <v>44</v>
      </c>
      <c r="P490">
        <v>4</v>
      </c>
      <c r="Q490">
        <v>711.18</v>
      </c>
      <c r="R490">
        <v>0.15</v>
      </c>
      <c r="S490">
        <f>IF(ISNUMBER(SEARCH("%",R490)), VALUE(SUBSTITUTE(R490,"%",""))/100,IF(ISNUMBER(R490), R490, 0))</f>
        <v>0.15</v>
      </c>
      <c r="T490" t="str">
        <f>IF(S490&lt;0,"Negative discount (invalid)",IF(S490&gt;0.5,"Discount above allowed range (invalid)",IF(AND(R490="",S490=0),"Missing discount set to 0","OK")))</f>
        <v>OK</v>
      </c>
      <c r="U490">
        <v>2418.0100000000002</v>
      </c>
      <c r="V490">
        <v>1441.89</v>
      </c>
      <c r="W490">
        <v>976.12</v>
      </c>
      <c r="X490" t="s">
        <v>111</v>
      </c>
      <c r="Y490" t="s">
        <v>103</v>
      </c>
      <c r="Z490">
        <f>IF(T490="OK",P490*Q490*(1-S490),"invalid")</f>
        <v>2418.0119999999997</v>
      </c>
      <c r="AA490">
        <f>IF(Z490="N/A","N/A",Z490-V490)</f>
        <v>976.12199999999962</v>
      </c>
      <c r="AB490" s="8">
        <f>IF(Z490&lt;&gt;"N/A", AA490/Z490, "N/A")</f>
        <v>0.40368782288921634</v>
      </c>
      <c r="AC490">
        <f>MONTH(B490)</f>
        <v>11</v>
      </c>
      <c r="AD490">
        <f>YEAR(B490)</f>
        <v>2024</v>
      </c>
      <c r="AE490" s="10">
        <f t="shared" si="7"/>
        <v>1.9999999994979589E-3</v>
      </c>
      <c r="AF490" t="s">
        <v>2804</v>
      </c>
      <c r="AG490" t="s">
        <v>2811</v>
      </c>
    </row>
    <row r="491" spans="1:33">
      <c r="A491" t="s">
        <v>2753</v>
      </c>
      <c r="B491" s="4">
        <v>45650</v>
      </c>
      <c r="C491" s="4">
        <v>45651</v>
      </c>
      <c r="D491">
        <f>_xlfn.DAYS(C491,B491)</f>
        <v>1</v>
      </c>
      <c r="E491" t="s">
        <v>2804</v>
      </c>
      <c r="F491" t="s">
        <v>2754</v>
      </c>
      <c r="G491" t="s">
        <v>62</v>
      </c>
      <c r="H491" t="s">
        <v>37</v>
      </c>
      <c r="I491" t="s">
        <v>54</v>
      </c>
      <c r="J491" t="s">
        <v>247</v>
      </c>
      <c r="K491" t="s">
        <v>248</v>
      </c>
      <c r="L491" t="s">
        <v>74</v>
      </c>
      <c r="M491" t="s">
        <v>80</v>
      </c>
      <c r="N491" t="s">
        <v>2755</v>
      </c>
      <c r="O491" t="s">
        <v>31</v>
      </c>
      <c r="P491">
        <v>1</v>
      </c>
      <c r="Q491">
        <v>3693.03</v>
      </c>
      <c r="R491">
        <v>0.05</v>
      </c>
      <c r="S491">
        <f>IF(ISNUMBER(SEARCH("%",R491)), VALUE(SUBSTITUTE(R491,"%",""))/100,IF(ISNUMBER(R491), R491, 0))</f>
        <v>0.05</v>
      </c>
      <c r="T491" t="str">
        <f>IF(S491&lt;0,"Negative discount (invalid)",IF(S491&gt;0.5,"Discount above allowed range (invalid)",IF(AND(R491="",S491=0),"Missing discount set to 0","OK")))</f>
        <v>OK</v>
      </c>
      <c r="U491">
        <v>3508.38</v>
      </c>
      <c r="V491">
        <v>2828.06</v>
      </c>
      <c r="W491">
        <v>680.32</v>
      </c>
      <c r="X491" t="s">
        <v>155</v>
      </c>
      <c r="Y491" t="s">
        <v>103</v>
      </c>
      <c r="Z491">
        <f>IF(T491="OK",P491*Q491*(1-S491),"invalid")</f>
        <v>3508.3784999999998</v>
      </c>
      <c r="AA491">
        <f>IF(Z491="N/A","N/A",Z491-V491)</f>
        <v>680.31849999999986</v>
      </c>
      <c r="AB491" s="8">
        <f>IF(Z491&lt;&gt;"N/A", AA491/Z491, "N/A")</f>
        <v>0.19391251542557336</v>
      </c>
      <c r="AC491">
        <f>MONTH(B491)</f>
        <v>12</v>
      </c>
      <c r="AD491">
        <f>YEAR(B491)</f>
        <v>2024</v>
      </c>
      <c r="AE491" s="10">
        <f t="shared" si="7"/>
        <v>1.5000000003055902E-3</v>
      </c>
      <c r="AF491" t="s">
        <v>2804</v>
      </c>
      <c r="AG491" t="s">
        <v>2811</v>
      </c>
    </row>
    <row r="492" spans="1:33">
      <c r="A492" t="s">
        <v>2758</v>
      </c>
      <c r="B492" s="4">
        <v>45445</v>
      </c>
      <c r="C492" s="4">
        <v>45451</v>
      </c>
      <c r="D492">
        <f>_xlfn.DAYS(C492,B492)</f>
        <v>6</v>
      </c>
      <c r="E492" t="s">
        <v>2804</v>
      </c>
      <c r="F492" t="s">
        <v>2759</v>
      </c>
      <c r="G492" t="s">
        <v>71</v>
      </c>
      <c r="H492" t="s">
        <v>24</v>
      </c>
      <c r="I492" t="s">
        <v>25</v>
      </c>
      <c r="J492" t="s">
        <v>350</v>
      </c>
      <c r="K492" t="s">
        <v>351</v>
      </c>
      <c r="L492" t="s">
        <v>41</v>
      </c>
      <c r="M492" t="s">
        <v>42</v>
      </c>
      <c r="N492" t="s">
        <v>2760</v>
      </c>
      <c r="O492" t="s">
        <v>50</v>
      </c>
      <c r="P492">
        <v>4</v>
      </c>
      <c r="Q492">
        <v>1536.7</v>
      </c>
      <c r="R492">
        <v>0.2</v>
      </c>
      <c r="S492">
        <f>IF(ISNUMBER(SEARCH("%",R492)), VALUE(SUBSTITUTE(R492,"%",""))/100,IF(ISNUMBER(R492), R492, 0))</f>
        <v>0.2</v>
      </c>
      <c r="T492" t="str">
        <f>IF(S492&lt;0,"Negative discount (invalid)",IF(S492&gt;0.5,"Discount above allowed range (invalid)",IF(AND(R492="",S492=0),"Missing discount set to 0","OK")))</f>
        <v>OK</v>
      </c>
      <c r="U492">
        <v>4917.4399999999996</v>
      </c>
      <c r="V492">
        <v>3846.77</v>
      </c>
      <c r="W492">
        <v>1070.67</v>
      </c>
      <c r="X492" t="s">
        <v>32</v>
      </c>
      <c r="Y492" t="s">
        <v>33</v>
      </c>
      <c r="Z492">
        <f>IF(T492="OK",P492*Q492*(1-S492),"invalid")</f>
        <v>4917.4400000000005</v>
      </c>
      <c r="AA492">
        <f>IF(Z492="N/A","N/A",Z492-V492)</f>
        <v>1070.6700000000005</v>
      </c>
      <c r="AB492" s="8">
        <f>IF(Z492&lt;&gt;"N/A", AA492/Z492, "N/A")</f>
        <v>0.21772914361944434</v>
      </c>
      <c r="AC492">
        <f>MONTH(B492)</f>
        <v>6</v>
      </c>
      <c r="AD492">
        <f>YEAR(B492)</f>
        <v>2024</v>
      </c>
      <c r="AE492" s="10">
        <f t="shared" si="7"/>
        <v>9.0949470177292824E-13</v>
      </c>
      <c r="AF492" t="s">
        <v>2804</v>
      </c>
      <c r="AG492" t="s">
        <v>2811</v>
      </c>
    </row>
    <row r="493" spans="1:33">
      <c r="A493" t="s">
        <v>60</v>
      </c>
      <c r="B493" s="4">
        <v>45898</v>
      </c>
      <c r="C493" s="4">
        <v>45901</v>
      </c>
      <c r="D493">
        <f>_xlfn.DAYS(C493,B493)</f>
        <v>3</v>
      </c>
      <c r="E493" t="s">
        <v>2804</v>
      </c>
      <c r="F493" t="s">
        <v>61</v>
      </c>
      <c r="G493" t="s">
        <v>62</v>
      </c>
      <c r="H493" t="s">
        <v>37</v>
      </c>
      <c r="I493" t="s">
        <v>63</v>
      </c>
      <c r="J493" t="s">
        <v>64</v>
      </c>
      <c r="K493" t="s">
        <v>65</v>
      </c>
      <c r="L493" t="s">
        <v>41</v>
      </c>
      <c r="M493" t="s">
        <v>66</v>
      </c>
      <c r="N493" t="s">
        <v>67</v>
      </c>
      <c r="O493" t="s">
        <v>50</v>
      </c>
      <c r="P493">
        <v>7</v>
      </c>
      <c r="Q493">
        <v>2973.76</v>
      </c>
      <c r="R493">
        <v>0</v>
      </c>
      <c r="S493">
        <f>IF(ISNUMBER(SEARCH("%",R493)), VALUE(SUBSTITUTE(R493,"%",""))/100,IF(ISNUMBER(R493), R493, 0))</f>
        <v>0</v>
      </c>
      <c r="T493" t="str">
        <f>IF(S493&lt;0,"Negative discount (invalid)",IF(S493&gt;0.5,"Discount above allowed range (invalid)",IF(AND(R493="",S493=0),"Missing discount set to 0","OK")))</f>
        <v>OK</v>
      </c>
      <c r="U493">
        <v>20816.32</v>
      </c>
      <c r="V493">
        <v>17705.37</v>
      </c>
      <c r="W493">
        <v>3110.95</v>
      </c>
      <c r="X493" t="s">
        <v>32</v>
      </c>
      <c r="Y493" t="s">
        <v>68</v>
      </c>
      <c r="Z493">
        <f>IF(T493="OK",P493*Q493*(1-S493),"invalid")</f>
        <v>20816.32</v>
      </c>
      <c r="AA493">
        <f>IF(Z493="N/A","N/A",Z493-V493)</f>
        <v>3110.9500000000007</v>
      </c>
      <c r="AB493" s="8">
        <f>IF(Z493&lt;&gt;"N/A", AA493/Z493, "N/A")</f>
        <v>0.14944764492475138</v>
      </c>
      <c r="AC493">
        <f>MONTH(B493)</f>
        <v>8</v>
      </c>
      <c r="AD493">
        <f>YEAR(B493)</f>
        <v>2025</v>
      </c>
      <c r="AE493" s="10">
        <f t="shared" si="7"/>
        <v>0</v>
      </c>
      <c r="AF493" t="s">
        <v>2804</v>
      </c>
      <c r="AG493" t="s">
        <v>2811</v>
      </c>
    </row>
    <row r="494" spans="1:33">
      <c r="A494" t="s">
        <v>77</v>
      </c>
      <c r="B494" s="4">
        <v>45757</v>
      </c>
      <c r="C494" s="4">
        <v>45763</v>
      </c>
      <c r="D494">
        <f>_xlfn.DAYS(C494,B494)</f>
        <v>6</v>
      </c>
      <c r="E494" t="s">
        <v>2804</v>
      </c>
      <c r="F494" t="s">
        <v>78</v>
      </c>
      <c r="G494" t="s">
        <v>79</v>
      </c>
      <c r="H494" t="s">
        <v>24</v>
      </c>
      <c r="I494" t="s">
        <v>38</v>
      </c>
      <c r="J494" t="s">
        <v>39</v>
      </c>
      <c r="K494" t="s">
        <v>40</v>
      </c>
      <c r="L494" t="s">
        <v>74</v>
      </c>
      <c r="M494" t="s">
        <v>80</v>
      </c>
      <c r="N494" t="s">
        <v>81</v>
      </c>
      <c r="O494" t="s">
        <v>59</v>
      </c>
      <c r="P494">
        <v>4</v>
      </c>
      <c r="Q494">
        <v>1719.87</v>
      </c>
      <c r="R494">
        <v>0.15</v>
      </c>
      <c r="S494">
        <f>IF(ISNUMBER(SEARCH("%",R494)), VALUE(SUBSTITUTE(R494,"%",""))/100,IF(ISNUMBER(R494), R494, 0))</f>
        <v>0.15</v>
      </c>
      <c r="T494" t="str">
        <f>IF(S494&lt;0,"Negative discount (invalid)",IF(S494&gt;0.5,"Discount above allowed range (invalid)",IF(AND(R494="",S494=0),"Missing discount set to 0","OK")))</f>
        <v>OK</v>
      </c>
      <c r="U494">
        <v>5847.56</v>
      </c>
      <c r="V494">
        <v>4727.25</v>
      </c>
      <c r="W494">
        <v>1120.31</v>
      </c>
      <c r="X494" t="s">
        <v>32</v>
      </c>
      <c r="Y494" t="s">
        <v>33</v>
      </c>
      <c r="Z494">
        <f>IF(T494="OK",P494*Q494*(1-S494),"invalid")</f>
        <v>5847.5579999999991</v>
      </c>
      <c r="AA494">
        <f>IF(Z494="N/A","N/A",Z494-V494)</f>
        <v>1120.3079999999991</v>
      </c>
      <c r="AB494" s="8">
        <f>IF(Z494&lt;&gt;"N/A", AA494/Z494, "N/A")</f>
        <v>0.19158561573908275</v>
      </c>
      <c r="AC494">
        <f>MONTH(B494)</f>
        <v>4</v>
      </c>
      <c r="AD494">
        <f>YEAR(B494)</f>
        <v>2025</v>
      </c>
      <c r="AE494" s="10">
        <f t="shared" si="7"/>
        <v>2.0000000013169483E-3</v>
      </c>
      <c r="AF494" t="s">
        <v>2804</v>
      </c>
      <c r="AG494" t="s">
        <v>2811</v>
      </c>
    </row>
    <row r="495" spans="1:33">
      <c r="A495" t="s">
        <v>82</v>
      </c>
      <c r="B495" s="4">
        <v>45711</v>
      </c>
      <c r="C495" s="4">
        <v>45714</v>
      </c>
      <c r="D495">
        <f>_xlfn.DAYS(C495,B495)</f>
        <v>3</v>
      </c>
      <c r="E495" t="s">
        <v>2804</v>
      </c>
      <c r="F495" t="s">
        <v>83</v>
      </c>
      <c r="G495" t="s">
        <v>47</v>
      </c>
      <c r="H495" t="s">
        <v>37</v>
      </c>
      <c r="I495" t="s">
        <v>54</v>
      </c>
      <c r="J495" t="s">
        <v>84</v>
      </c>
      <c r="K495" t="s">
        <v>85</v>
      </c>
      <c r="L495" t="s">
        <v>28</v>
      </c>
      <c r="M495" t="s">
        <v>48</v>
      </c>
      <c r="N495" t="s">
        <v>86</v>
      </c>
      <c r="O495" t="s">
        <v>50</v>
      </c>
      <c r="P495">
        <v>1</v>
      </c>
      <c r="Q495">
        <v>2980.71</v>
      </c>
      <c r="R495">
        <v>0</v>
      </c>
      <c r="S495">
        <f>IF(ISNUMBER(SEARCH("%",R495)), VALUE(SUBSTITUTE(R495,"%",""))/100,IF(ISNUMBER(R495), R495, 0))</f>
        <v>0</v>
      </c>
      <c r="T495" t="str">
        <f>IF(S495&lt;0,"Negative discount (invalid)",IF(S495&gt;0.5,"Discount above allowed range (invalid)",IF(AND(R495="",S495=0),"Missing discount set to 0","OK")))</f>
        <v>OK</v>
      </c>
      <c r="U495">
        <v>2980.71</v>
      </c>
      <c r="V495">
        <v>2357.2199999999998</v>
      </c>
      <c r="W495">
        <v>623.49</v>
      </c>
      <c r="X495" t="s">
        <v>32</v>
      </c>
      <c r="Y495" t="s">
        <v>33</v>
      </c>
      <c r="Z495">
        <f>IF(T495="OK",P495*Q495*(1-S495),"invalid")</f>
        <v>2980.71</v>
      </c>
      <c r="AA495">
        <f>IF(Z495="N/A","N/A",Z495-V495)</f>
        <v>623.49000000000024</v>
      </c>
      <c r="AB495" s="8">
        <f>IF(Z495&lt;&gt;"N/A", AA495/Z495, "N/A")</f>
        <v>0.20917499521925992</v>
      </c>
      <c r="AC495">
        <f>MONTH(B495)</f>
        <v>2</v>
      </c>
      <c r="AD495">
        <f>YEAR(B495)</f>
        <v>2025</v>
      </c>
      <c r="AE495" s="10">
        <f t="shared" si="7"/>
        <v>0</v>
      </c>
      <c r="AF495" t="s">
        <v>2804</v>
      </c>
      <c r="AG495" t="s">
        <v>2811</v>
      </c>
    </row>
    <row r="496" spans="1:33">
      <c r="A496" t="s">
        <v>93</v>
      </c>
      <c r="B496" s="4">
        <v>45907</v>
      </c>
      <c r="C496" s="4">
        <v>45912</v>
      </c>
      <c r="D496">
        <f>_xlfn.DAYS(C496,B496)</f>
        <v>5</v>
      </c>
      <c r="E496" t="s">
        <v>2804</v>
      </c>
      <c r="F496" t="s">
        <v>94</v>
      </c>
      <c r="G496" t="s">
        <v>36</v>
      </c>
      <c r="H496" t="s">
        <v>95</v>
      </c>
      <c r="I496" t="s">
        <v>54</v>
      </c>
      <c r="J496" t="s">
        <v>55</v>
      </c>
      <c r="K496" t="s">
        <v>56</v>
      </c>
      <c r="L496" t="s">
        <v>28</v>
      </c>
      <c r="M496" t="s">
        <v>29</v>
      </c>
      <c r="N496" t="s">
        <v>96</v>
      </c>
      <c r="O496" t="s">
        <v>31</v>
      </c>
      <c r="P496">
        <v>9</v>
      </c>
      <c r="Q496">
        <v>852.04</v>
      </c>
      <c r="R496">
        <v>0.2</v>
      </c>
      <c r="S496">
        <f>IF(ISNUMBER(SEARCH("%",R496)), VALUE(SUBSTITUTE(R496,"%",""))/100,IF(ISNUMBER(R496), R496, 0))</f>
        <v>0.2</v>
      </c>
      <c r="T496" t="str">
        <f>IF(S496&lt;0,"Negative discount (invalid)",IF(S496&gt;0.5,"Discount above allowed range (invalid)",IF(AND(R496="",S496=0),"Missing discount set to 0","OK")))</f>
        <v>OK</v>
      </c>
      <c r="U496">
        <v>6134.69</v>
      </c>
      <c r="V496">
        <v>3800.19</v>
      </c>
      <c r="W496">
        <v>2334.5</v>
      </c>
      <c r="X496" t="s">
        <v>32</v>
      </c>
      <c r="Y496" t="s">
        <v>33</v>
      </c>
      <c r="Z496">
        <f>IF(T496="OK",P496*Q496*(1-S496),"invalid")</f>
        <v>6134.6880000000001</v>
      </c>
      <c r="AA496">
        <f>IF(Z496="N/A","N/A",Z496-V496)</f>
        <v>2334.498</v>
      </c>
      <c r="AB496" s="8">
        <f>IF(Z496&lt;&gt;"N/A", AA496/Z496, "N/A")</f>
        <v>0.38054062407085737</v>
      </c>
      <c r="AC496">
        <f>MONTH(B496)</f>
        <v>9</v>
      </c>
      <c r="AD496">
        <f>YEAR(B496)</f>
        <v>2025</v>
      </c>
      <c r="AE496" s="10">
        <f t="shared" si="7"/>
        <v>1.9999999994979589E-3</v>
      </c>
      <c r="AF496" t="s">
        <v>2804</v>
      </c>
      <c r="AG496" t="s">
        <v>2811</v>
      </c>
    </row>
    <row r="497" spans="1:33">
      <c r="A497" t="s">
        <v>97</v>
      </c>
      <c r="B497" s="4">
        <v>45797</v>
      </c>
      <c r="C497" s="4">
        <v>45797</v>
      </c>
      <c r="D497">
        <f>_xlfn.DAYS(C497,B497)</f>
        <v>0</v>
      </c>
      <c r="E497" t="s">
        <v>2804</v>
      </c>
      <c r="F497" t="s">
        <v>98</v>
      </c>
      <c r="G497" t="s">
        <v>62</v>
      </c>
      <c r="H497" t="s">
        <v>90</v>
      </c>
      <c r="I497" t="s">
        <v>38</v>
      </c>
      <c r="J497" t="s">
        <v>99</v>
      </c>
      <c r="K497" t="s">
        <v>100</v>
      </c>
      <c r="L497" t="s">
        <v>28</v>
      </c>
      <c r="M497" t="s">
        <v>91</v>
      </c>
      <c r="N497" t="s">
        <v>101</v>
      </c>
      <c r="O497" t="s">
        <v>31</v>
      </c>
      <c r="P497">
        <v>3</v>
      </c>
      <c r="Q497">
        <v>3534.83</v>
      </c>
      <c r="R497">
        <v>0.05</v>
      </c>
      <c r="S497">
        <f>IF(ISNUMBER(SEARCH("%",R497)), VALUE(SUBSTITUTE(R497,"%",""))/100,IF(ISNUMBER(R497), R497, 0))</f>
        <v>0.05</v>
      </c>
      <c r="T497" t="str">
        <f>IF(S497&lt;0,"Negative discount (invalid)",IF(S497&gt;0.5,"Discount above allowed range (invalid)",IF(AND(R497="",S497=0),"Missing discount set to 0","OK")))</f>
        <v>OK</v>
      </c>
      <c r="U497">
        <v>10074.27</v>
      </c>
      <c r="V497">
        <v>6048.27</v>
      </c>
      <c r="W497">
        <v>4026</v>
      </c>
      <c r="X497" t="s">
        <v>102</v>
      </c>
      <c r="Y497" t="s">
        <v>103</v>
      </c>
      <c r="Z497">
        <f>IF(T497="OK",P497*Q497*(1-S497),"invalid")</f>
        <v>10074.2655</v>
      </c>
      <c r="AA497">
        <f>IF(Z497="N/A","N/A",Z497-V497)</f>
        <v>4025.9954999999991</v>
      </c>
      <c r="AB497" s="8">
        <f>IF(Z497&lt;&gt;"N/A", AA497/Z497, "N/A")</f>
        <v>0.39963166545491574</v>
      </c>
      <c r="AC497">
        <f>MONTH(B497)</f>
        <v>5</v>
      </c>
      <c r="AD497">
        <f>YEAR(B497)</f>
        <v>2025</v>
      </c>
      <c r="AE497" s="10">
        <f t="shared" si="7"/>
        <v>4.5000000009167707E-3</v>
      </c>
      <c r="AF497" t="s">
        <v>2804</v>
      </c>
      <c r="AG497" t="s">
        <v>2811</v>
      </c>
    </row>
    <row r="498" spans="1:33">
      <c r="A498" t="s">
        <v>112</v>
      </c>
      <c r="B498" s="4">
        <v>45942</v>
      </c>
      <c r="C498" s="4">
        <v>45946</v>
      </c>
      <c r="D498">
        <f>_xlfn.DAYS(C498,B498)</f>
        <v>4</v>
      </c>
      <c r="E498" t="s">
        <v>2804</v>
      </c>
      <c r="F498" t="s">
        <v>113</v>
      </c>
      <c r="G498" t="s">
        <v>114</v>
      </c>
      <c r="H498" t="s">
        <v>37</v>
      </c>
      <c r="I498" t="s">
        <v>63</v>
      </c>
      <c r="J498" t="s">
        <v>64</v>
      </c>
      <c r="K498" t="s">
        <v>65</v>
      </c>
      <c r="L498" t="s">
        <v>28</v>
      </c>
      <c r="M498" t="s">
        <v>48</v>
      </c>
      <c r="N498" t="s">
        <v>115</v>
      </c>
      <c r="O498" t="s">
        <v>31</v>
      </c>
      <c r="P498">
        <v>7</v>
      </c>
      <c r="Q498">
        <v>3964.72</v>
      </c>
      <c r="R498">
        <v>0.05</v>
      </c>
      <c r="S498">
        <f>IF(ISNUMBER(SEARCH("%",R498)), VALUE(SUBSTITUTE(R498,"%",""))/100,IF(ISNUMBER(R498), R498, 0))</f>
        <v>0.05</v>
      </c>
      <c r="T498" t="str">
        <f>IF(S498&lt;0,"Negative discount (invalid)",IF(S498&gt;0.5,"Discount above allowed range (invalid)",IF(AND(R498="",S498=0),"Missing discount set to 0","OK")))</f>
        <v>OK</v>
      </c>
      <c r="U498">
        <v>26365.39</v>
      </c>
      <c r="V498">
        <v>22306.240000000002</v>
      </c>
      <c r="W498">
        <v>4059.15</v>
      </c>
      <c r="X498" t="s">
        <v>32</v>
      </c>
      <c r="Y498" t="s">
        <v>33</v>
      </c>
      <c r="Z498">
        <f>IF(T498="OK",P498*Q498*(1-S498),"invalid")</f>
        <v>26365.387999999995</v>
      </c>
      <c r="AA498">
        <f>IF(Z498="N/A","N/A",Z498-V498)</f>
        <v>4059.1479999999938</v>
      </c>
      <c r="AB498" s="8">
        <f>IF(Z498&lt;&gt;"N/A", AA498/Z498, "N/A")</f>
        <v>0.15395745361304733</v>
      </c>
      <c r="AC498">
        <f>MONTH(B498)</f>
        <v>10</v>
      </c>
      <c r="AD498">
        <f>YEAR(B498)</f>
        <v>2025</v>
      </c>
      <c r="AE498" s="10">
        <f t="shared" si="7"/>
        <v>2.0000000040454324E-3</v>
      </c>
      <c r="AF498" t="s">
        <v>2804</v>
      </c>
      <c r="AG498" t="s">
        <v>2811</v>
      </c>
    </row>
    <row r="499" spans="1:33">
      <c r="A499" t="s">
        <v>134</v>
      </c>
      <c r="B499" s="4">
        <v>45853</v>
      </c>
      <c r="C499" s="4">
        <v>45855</v>
      </c>
      <c r="D499">
        <f>_xlfn.DAYS(C499,B499)</f>
        <v>2</v>
      </c>
      <c r="E499" t="s">
        <v>2804</v>
      </c>
      <c r="F499" t="s">
        <v>135</v>
      </c>
      <c r="G499" t="s">
        <v>128</v>
      </c>
      <c r="H499" t="s">
        <v>95</v>
      </c>
      <c r="I499" t="s">
        <v>25</v>
      </c>
      <c r="J499" t="s">
        <v>136</v>
      </c>
      <c r="K499" t="s">
        <v>137</v>
      </c>
      <c r="L499" t="s">
        <v>74</v>
      </c>
      <c r="M499" t="s">
        <v>80</v>
      </c>
      <c r="N499" t="s">
        <v>138</v>
      </c>
      <c r="O499" t="s">
        <v>50</v>
      </c>
      <c r="P499">
        <v>2</v>
      </c>
      <c r="Q499">
        <v>1997.99</v>
      </c>
      <c r="R499">
        <v>0</v>
      </c>
      <c r="S499">
        <f>IF(ISNUMBER(SEARCH("%",R499)), VALUE(SUBSTITUTE(R499,"%",""))/100,IF(ISNUMBER(R499), R499, 0))</f>
        <v>0</v>
      </c>
      <c r="T499" t="str">
        <f>IF(S499&lt;0,"Negative discount (invalid)",IF(S499&gt;0.5,"Discount above allowed range (invalid)",IF(AND(R499="",S499=0),"Missing discount set to 0","OK")))</f>
        <v>OK</v>
      </c>
      <c r="U499">
        <v>3995.98</v>
      </c>
      <c r="V499">
        <v>2633.2</v>
      </c>
      <c r="W499">
        <v>1362.78</v>
      </c>
      <c r="X499" t="s">
        <v>102</v>
      </c>
      <c r="Y499" t="s">
        <v>68</v>
      </c>
      <c r="Z499">
        <f>IF(T499="OK",P499*Q499*(1-S499),"invalid")</f>
        <v>3995.98</v>
      </c>
      <c r="AA499">
        <f>IF(Z499="N/A","N/A",Z499-V499)</f>
        <v>1362.7800000000002</v>
      </c>
      <c r="AB499" s="8">
        <f>IF(Z499&lt;&gt;"N/A", AA499/Z499, "N/A")</f>
        <v>0.34103774293164635</v>
      </c>
      <c r="AC499">
        <f>MONTH(B499)</f>
        <v>7</v>
      </c>
      <c r="AD499">
        <f>YEAR(B499)</f>
        <v>2025</v>
      </c>
      <c r="AE499" s="10">
        <f t="shared" si="7"/>
        <v>0</v>
      </c>
      <c r="AF499" t="s">
        <v>2804</v>
      </c>
      <c r="AG499" t="s">
        <v>2811</v>
      </c>
    </row>
    <row r="500" spans="1:33">
      <c r="A500" t="s">
        <v>143</v>
      </c>
      <c r="B500" s="4">
        <v>45678</v>
      </c>
      <c r="C500" s="4">
        <v>45680</v>
      </c>
      <c r="D500">
        <f>_xlfn.DAYS(C500,B500)</f>
        <v>2</v>
      </c>
      <c r="E500" t="s">
        <v>2804</v>
      </c>
      <c r="F500" t="s">
        <v>144</v>
      </c>
      <c r="G500" t="s">
        <v>89</v>
      </c>
      <c r="H500" t="s">
        <v>95</v>
      </c>
      <c r="I500" t="s">
        <v>38</v>
      </c>
      <c r="J500" t="s">
        <v>145</v>
      </c>
      <c r="K500" t="s">
        <v>146</v>
      </c>
      <c r="L500" t="s">
        <v>74</v>
      </c>
      <c r="M500" t="s">
        <v>80</v>
      </c>
      <c r="N500" t="s">
        <v>147</v>
      </c>
      <c r="O500" t="s">
        <v>50</v>
      </c>
      <c r="P500">
        <v>5</v>
      </c>
      <c r="Q500">
        <v>4373.0600000000004</v>
      </c>
      <c r="R500">
        <v>0.25</v>
      </c>
      <c r="S500">
        <f>IF(ISNUMBER(SEARCH("%",R500)), VALUE(SUBSTITUTE(R500,"%",""))/100,IF(ISNUMBER(R500), R500, 0))</f>
        <v>0.25</v>
      </c>
      <c r="T500" t="str">
        <f>IF(S500&lt;0,"Negative discount (invalid)",IF(S500&gt;0.5,"Discount above allowed range (invalid)",IF(AND(R500="",S500=0),"Missing discount set to 0","OK")))</f>
        <v>OK</v>
      </c>
      <c r="U500">
        <v>16398.98</v>
      </c>
      <c r="V500">
        <v>9556.52</v>
      </c>
      <c r="W500">
        <v>6842.46</v>
      </c>
      <c r="X500" t="s">
        <v>32</v>
      </c>
      <c r="Y500" t="s">
        <v>33</v>
      </c>
      <c r="Z500">
        <f>IF(T500="OK",P500*Q500*(1-S500),"invalid")</f>
        <v>16398.975000000002</v>
      </c>
      <c r="AA500">
        <f>IF(Z500="N/A","N/A",Z500-V500)</f>
        <v>6842.4550000000017</v>
      </c>
      <c r="AB500" s="8">
        <f>IF(Z500&lt;&gt;"N/A", AA500/Z500, "N/A")</f>
        <v>0.4172489439126531</v>
      </c>
      <c r="AC500">
        <f>MONTH(B500)</f>
        <v>1</v>
      </c>
      <c r="AD500">
        <f>YEAR(B500)</f>
        <v>2025</v>
      </c>
      <c r="AE500" s="10">
        <f t="shared" si="7"/>
        <v>4.9999999973806553E-3</v>
      </c>
      <c r="AF500" t="s">
        <v>2804</v>
      </c>
      <c r="AG500" t="s">
        <v>2811</v>
      </c>
    </row>
    <row r="501" spans="1:33">
      <c r="A501" t="s">
        <v>148</v>
      </c>
      <c r="B501" s="4">
        <v>45681</v>
      </c>
      <c r="C501" s="4">
        <v>45687</v>
      </c>
      <c r="D501">
        <f>_xlfn.DAYS(C501,B501)</f>
        <v>6</v>
      </c>
      <c r="E501" t="s">
        <v>2804</v>
      </c>
      <c r="F501" t="s">
        <v>149</v>
      </c>
      <c r="G501" t="s">
        <v>132</v>
      </c>
      <c r="H501" t="s">
        <v>24</v>
      </c>
      <c r="I501" t="s">
        <v>63</v>
      </c>
      <c r="J501" t="s">
        <v>72</v>
      </c>
      <c r="K501" t="s">
        <v>73</v>
      </c>
      <c r="L501" t="s">
        <v>41</v>
      </c>
      <c r="M501" t="s">
        <v>57</v>
      </c>
      <c r="N501" t="s">
        <v>150</v>
      </c>
      <c r="O501" t="s">
        <v>31</v>
      </c>
      <c r="P501">
        <v>4</v>
      </c>
      <c r="Q501">
        <v>697.69</v>
      </c>
      <c r="R501">
        <v>-0.23</v>
      </c>
      <c r="S501">
        <f>IF(ISNUMBER(SEARCH("%",R501)), VALUE(SUBSTITUTE(R501,"%",""))/100,IF(ISNUMBER(R501), R501, 0))</f>
        <v>-0.23</v>
      </c>
      <c r="T501" t="str">
        <f>IF(S501&lt;0,"Negative discount (invalid)",IF(S501&gt;0.5,"Discount above allowed range (invalid)",IF(AND(R501="",S501=0),"Missing discount set to 0","OK")))</f>
        <v>Negative discount (invalid)</v>
      </c>
      <c r="U501">
        <v>2790.76</v>
      </c>
      <c r="V501">
        <v>2037.71</v>
      </c>
      <c r="W501">
        <v>753.05</v>
      </c>
      <c r="X501" t="s">
        <v>32</v>
      </c>
      <c r="Y501" t="s">
        <v>33</v>
      </c>
      <c r="Z501" t="s">
        <v>2793</v>
      </c>
      <c r="AA501" t="str">
        <f>IF(Z501="N/A","N/A",Z501-V501)</f>
        <v>N/A</v>
      </c>
      <c r="AB501" s="8" t="str">
        <f>IF(Z501&lt;&gt;"N/A", AA501/Z501, "N/A")</f>
        <v>N/A</v>
      </c>
      <c r="AC501">
        <f>MONTH(B501)</f>
        <v>1</v>
      </c>
      <c r="AD501">
        <f>YEAR(B501)</f>
        <v>2025</v>
      </c>
      <c r="AE501" s="10" t="str">
        <f t="shared" si="7"/>
        <v>N/A</v>
      </c>
      <c r="AF501" t="s">
        <v>2802</v>
      </c>
      <c r="AG501" t="s">
        <v>2789</v>
      </c>
    </row>
    <row r="502" spans="1:33">
      <c r="A502" t="s">
        <v>151</v>
      </c>
      <c r="B502" s="4">
        <v>45676</v>
      </c>
      <c r="C502" s="4">
        <v>45678</v>
      </c>
      <c r="D502">
        <f>_xlfn.DAYS(C502,B502)</f>
        <v>2</v>
      </c>
      <c r="E502" t="s">
        <v>2804</v>
      </c>
      <c r="F502" t="s">
        <v>152</v>
      </c>
      <c r="G502" t="s">
        <v>36</v>
      </c>
      <c r="H502" t="s">
        <v>24</v>
      </c>
      <c r="I502" t="s">
        <v>54</v>
      </c>
      <c r="J502" t="s">
        <v>55</v>
      </c>
      <c r="K502" t="s">
        <v>56</v>
      </c>
      <c r="L502" t="s">
        <v>28</v>
      </c>
      <c r="M502" t="s">
        <v>153</v>
      </c>
      <c r="N502" t="s">
        <v>154</v>
      </c>
      <c r="O502" t="s">
        <v>59</v>
      </c>
      <c r="P502">
        <v>8</v>
      </c>
      <c r="Q502">
        <v>1219.3399999999999</v>
      </c>
      <c r="R502">
        <v>0.15</v>
      </c>
      <c r="S502">
        <f>IF(ISNUMBER(SEARCH("%",R502)), VALUE(SUBSTITUTE(R502,"%",""))/100,IF(ISNUMBER(R502), R502, 0))</f>
        <v>0.15</v>
      </c>
      <c r="T502" t="str">
        <f>IF(S502&lt;0,"Negative discount (invalid)",IF(S502&gt;0.5,"Discount above allowed range (invalid)",IF(AND(R502="",S502=0),"Missing discount set to 0","OK")))</f>
        <v>OK</v>
      </c>
      <c r="U502">
        <v>8291.51</v>
      </c>
      <c r="V502">
        <v>6685.03</v>
      </c>
      <c r="W502">
        <v>1606.48</v>
      </c>
      <c r="X502" t="s">
        <v>155</v>
      </c>
      <c r="Y502" t="s">
        <v>103</v>
      </c>
      <c r="Z502">
        <f>IF(T502="OK",P502*Q502*(1-S502),"invalid")</f>
        <v>8291.5119999999988</v>
      </c>
      <c r="AA502">
        <f>IF(Z502="N/A","N/A",Z502-V502)</f>
        <v>1606.4819999999991</v>
      </c>
      <c r="AB502" s="8">
        <f>IF(Z502&lt;&gt;"N/A", AA502/Z502, "N/A")</f>
        <v>0.19375018693816029</v>
      </c>
      <c r="AC502">
        <f>MONTH(B502)</f>
        <v>1</v>
      </c>
      <c r="AD502">
        <f>YEAR(B502)</f>
        <v>2025</v>
      </c>
      <c r="AE502" s="10">
        <f t="shared" si="7"/>
        <v>1.9999999985884642E-3</v>
      </c>
      <c r="AF502" t="s">
        <v>2804</v>
      </c>
      <c r="AG502" t="s">
        <v>2811</v>
      </c>
    </row>
    <row r="503" spans="1:33">
      <c r="A503" t="s">
        <v>156</v>
      </c>
      <c r="B503" s="4">
        <v>45898</v>
      </c>
      <c r="C503" s="4">
        <v>45900</v>
      </c>
      <c r="D503">
        <f>_xlfn.DAYS(C503,B503)</f>
        <v>2</v>
      </c>
      <c r="E503" t="s">
        <v>2804</v>
      </c>
      <c r="F503" t="s">
        <v>157</v>
      </c>
      <c r="G503" t="s">
        <v>118</v>
      </c>
      <c r="H503" t="s">
        <v>95</v>
      </c>
      <c r="I503" t="s">
        <v>38</v>
      </c>
      <c r="J503" t="s">
        <v>145</v>
      </c>
      <c r="K503" t="s">
        <v>146</v>
      </c>
      <c r="L503" t="s">
        <v>41</v>
      </c>
      <c r="M503" t="s">
        <v>158</v>
      </c>
      <c r="N503" t="s">
        <v>159</v>
      </c>
      <c r="O503" t="s">
        <v>50</v>
      </c>
      <c r="P503">
        <v>4</v>
      </c>
      <c r="Q503">
        <v>1958.01</v>
      </c>
      <c r="R503">
        <v>0.2</v>
      </c>
      <c r="S503">
        <f>IF(ISNUMBER(SEARCH("%",R503)), VALUE(SUBSTITUTE(R503,"%",""))/100,IF(ISNUMBER(R503), R503, 0))</f>
        <v>0.2</v>
      </c>
      <c r="T503" t="str">
        <f>IF(S503&lt;0,"Negative discount (invalid)",IF(S503&gt;0.5,"Discount above allowed range (invalid)",IF(AND(R503="",S503=0),"Missing discount set to 0","OK")))</f>
        <v>OK</v>
      </c>
      <c r="U503">
        <v>6265.63</v>
      </c>
      <c r="V503">
        <v>4321.8599999999997</v>
      </c>
      <c r="W503">
        <v>1943.77</v>
      </c>
      <c r="X503" t="s">
        <v>32</v>
      </c>
      <c r="Y503" t="s">
        <v>33</v>
      </c>
      <c r="Z503">
        <f>IF(T503="OK",P503*Q503*(1-S503),"invalid")</f>
        <v>6265.6320000000005</v>
      </c>
      <c r="AA503">
        <f>IF(Z503="N/A","N/A",Z503-V503)</f>
        <v>1943.7720000000008</v>
      </c>
      <c r="AB503" s="8">
        <f>IF(Z503&lt;&gt;"N/A", AA503/Z503, "N/A")</f>
        <v>0.31022760353624351</v>
      </c>
      <c r="AC503">
        <f>MONTH(B503)</f>
        <v>8</v>
      </c>
      <c r="AD503">
        <f>YEAR(B503)</f>
        <v>2025</v>
      </c>
      <c r="AE503" s="10">
        <f t="shared" si="7"/>
        <v>2.0000000004074536E-3</v>
      </c>
      <c r="AF503" t="s">
        <v>2804</v>
      </c>
      <c r="AG503" t="s">
        <v>2811</v>
      </c>
    </row>
    <row r="504" spans="1:33">
      <c r="A504" t="s">
        <v>173</v>
      </c>
      <c r="B504" s="4">
        <v>45929</v>
      </c>
      <c r="C504" s="4">
        <v>45935</v>
      </c>
      <c r="D504">
        <f>_xlfn.DAYS(C504,B504)</f>
        <v>6</v>
      </c>
      <c r="E504" t="s">
        <v>2804</v>
      </c>
      <c r="F504" t="s">
        <v>174</v>
      </c>
      <c r="G504" t="s">
        <v>53</v>
      </c>
      <c r="H504" t="s">
        <v>37</v>
      </c>
      <c r="I504" t="s">
        <v>54</v>
      </c>
      <c r="J504" t="s">
        <v>175</v>
      </c>
      <c r="K504" t="s">
        <v>176</v>
      </c>
      <c r="L504" t="s">
        <v>28</v>
      </c>
      <c r="M504" t="s">
        <v>29</v>
      </c>
      <c r="N504" t="s">
        <v>177</v>
      </c>
      <c r="O504" t="s">
        <v>31</v>
      </c>
      <c r="P504">
        <v>5</v>
      </c>
      <c r="Q504">
        <v>1806.51</v>
      </c>
      <c r="R504">
        <v>0.25</v>
      </c>
      <c r="S504">
        <f>IF(ISNUMBER(SEARCH("%",R504)), VALUE(SUBSTITUTE(R504,"%",""))/100,IF(ISNUMBER(R504), R504, 0))</f>
        <v>0.25</v>
      </c>
      <c r="T504" t="str">
        <f>IF(S504&lt;0,"Negative discount (invalid)",IF(S504&gt;0.5,"Discount above allowed range (invalid)",IF(AND(R504="",S504=0),"Missing discount set to 0","OK")))</f>
        <v>OK</v>
      </c>
      <c r="U504">
        <v>6774.41</v>
      </c>
      <c r="V504">
        <v>4710.3599999999997</v>
      </c>
      <c r="W504">
        <v>2064.0500000000002</v>
      </c>
      <c r="X504" t="s">
        <v>155</v>
      </c>
      <c r="Y504" t="s">
        <v>103</v>
      </c>
      <c r="Z504">
        <f>IF(T504="OK",P504*Q504*(1-S504),"invalid")</f>
        <v>6774.4124999999995</v>
      </c>
      <c r="AA504">
        <f>IF(Z504="N/A","N/A",Z504-V504)</f>
        <v>2064.0524999999998</v>
      </c>
      <c r="AB504" s="8">
        <f>IF(Z504&lt;&gt;"N/A", AA504/Z504, "N/A")</f>
        <v>0.30468361647596748</v>
      </c>
      <c r="AC504">
        <f>MONTH(B504)</f>
        <v>9</v>
      </c>
      <c r="AD504">
        <f>YEAR(B504)</f>
        <v>2025</v>
      </c>
      <c r="AE504" s="10">
        <f t="shared" si="7"/>
        <v>2.4999999995998223E-3</v>
      </c>
      <c r="AF504" t="s">
        <v>2804</v>
      </c>
      <c r="AG504" t="s">
        <v>2811</v>
      </c>
    </row>
    <row r="505" spans="1:33">
      <c r="A505" t="s">
        <v>183</v>
      </c>
      <c r="B505" s="4">
        <v>45882</v>
      </c>
      <c r="C505" s="4">
        <v>45882</v>
      </c>
      <c r="D505">
        <f>_xlfn.DAYS(C505,B505)</f>
        <v>0</v>
      </c>
      <c r="E505" t="s">
        <v>2804</v>
      </c>
      <c r="F505" t="s">
        <v>184</v>
      </c>
      <c r="G505" t="s">
        <v>141</v>
      </c>
      <c r="H505" t="s">
        <v>95</v>
      </c>
      <c r="I505" t="s">
        <v>54</v>
      </c>
      <c r="J505" t="s">
        <v>185</v>
      </c>
      <c r="K505" t="s">
        <v>186</v>
      </c>
      <c r="L505" t="s">
        <v>74</v>
      </c>
      <c r="M505" t="s">
        <v>171</v>
      </c>
      <c r="N505" t="s">
        <v>187</v>
      </c>
      <c r="O505" t="s">
        <v>59</v>
      </c>
      <c r="P505">
        <v>1</v>
      </c>
      <c r="Q505">
        <v>256.01</v>
      </c>
      <c r="R505">
        <v>0.15</v>
      </c>
      <c r="S505">
        <f>IF(ISNUMBER(SEARCH("%",R505)), VALUE(SUBSTITUTE(R505,"%",""))/100,IF(ISNUMBER(R505), R505, 0))</f>
        <v>0.15</v>
      </c>
      <c r="T505" t="str">
        <f>IF(S505&lt;0,"Negative discount (invalid)",IF(S505&gt;0.5,"Discount above allowed range (invalid)",IF(AND(R505="",S505=0),"Missing discount set to 0","OK")))</f>
        <v>OK</v>
      </c>
      <c r="U505">
        <v>217.61</v>
      </c>
      <c r="V505">
        <v>119.77</v>
      </c>
      <c r="W505">
        <v>97.84</v>
      </c>
      <c r="X505" t="s">
        <v>32</v>
      </c>
      <c r="Y505" t="s">
        <v>33</v>
      </c>
      <c r="Z505">
        <f>IF(T505="OK",P505*Q505*(1-S505),"invalid")</f>
        <v>217.60849999999999</v>
      </c>
      <c r="AA505">
        <f>IF(Z505="N/A","N/A",Z505-V505)</f>
        <v>97.838499999999996</v>
      </c>
      <c r="AB505" s="8">
        <f>IF(Z505&lt;&gt;"N/A", AA505/Z505, "N/A")</f>
        <v>0.44960789675035673</v>
      </c>
      <c r="AC505">
        <f>MONTH(B505)</f>
        <v>8</v>
      </c>
      <c r="AD505">
        <f>YEAR(B505)</f>
        <v>2025</v>
      </c>
      <c r="AE505" s="10">
        <f t="shared" si="7"/>
        <v>1.5000000000213731E-3</v>
      </c>
      <c r="AF505" t="s">
        <v>2804</v>
      </c>
      <c r="AG505" t="s">
        <v>2811</v>
      </c>
    </row>
    <row r="506" spans="1:33">
      <c r="A506" t="s">
        <v>193</v>
      </c>
      <c r="B506" s="4">
        <v>45823</v>
      </c>
      <c r="C506" s="4">
        <v>45827</v>
      </c>
      <c r="D506">
        <f>_xlfn.DAYS(C506,B506)</f>
        <v>4</v>
      </c>
      <c r="E506" t="s">
        <v>2804</v>
      </c>
      <c r="F506" t="s">
        <v>194</v>
      </c>
      <c r="G506" t="s">
        <v>23</v>
      </c>
      <c r="H506" t="s">
        <v>37</v>
      </c>
      <c r="I506" t="s">
        <v>63</v>
      </c>
      <c r="J506" t="s">
        <v>72</v>
      </c>
      <c r="K506" t="s">
        <v>73</v>
      </c>
      <c r="L506" t="s">
        <v>28</v>
      </c>
      <c r="M506" t="s">
        <v>29</v>
      </c>
      <c r="N506" t="s">
        <v>195</v>
      </c>
      <c r="O506" t="s">
        <v>31</v>
      </c>
      <c r="P506">
        <v>9</v>
      </c>
      <c r="Q506">
        <v>3092.55</v>
      </c>
      <c r="R506">
        <v>0</v>
      </c>
      <c r="S506">
        <f>IF(ISNUMBER(SEARCH("%",R506)), VALUE(SUBSTITUTE(R506,"%",""))/100,IF(ISNUMBER(R506), R506, 0))</f>
        <v>0</v>
      </c>
      <c r="T506" t="str">
        <f>IF(S506&lt;0,"Negative discount (invalid)",IF(S506&gt;0.5,"Discount above allowed range (invalid)",IF(AND(R506="",S506=0),"Missing discount set to 0","OK")))</f>
        <v>OK</v>
      </c>
      <c r="U506">
        <v>27832.95</v>
      </c>
      <c r="V506">
        <v>17769.75</v>
      </c>
      <c r="W506">
        <v>10063.200000000001</v>
      </c>
      <c r="X506" t="s">
        <v>155</v>
      </c>
      <c r="Y506" t="s">
        <v>103</v>
      </c>
      <c r="Z506">
        <f>IF(T506="OK",P506*Q506*(1-S506),"invalid")</f>
        <v>27832.95</v>
      </c>
      <c r="AA506">
        <f>IF(Z506="N/A","N/A",Z506-V506)</f>
        <v>10063.200000000001</v>
      </c>
      <c r="AB506" s="8">
        <f>IF(Z506&lt;&gt;"N/A", AA506/Z506, "N/A")</f>
        <v>0.36155707533696574</v>
      </c>
      <c r="AC506">
        <f>MONTH(B506)</f>
        <v>6</v>
      </c>
      <c r="AD506">
        <f>YEAR(B506)</f>
        <v>2025</v>
      </c>
      <c r="AE506" s="10">
        <f t="shared" si="7"/>
        <v>0</v>
      </c>
      <c r="AF506" t="s">
        <v>2804</v>
      </c>
      <c r="AG506" t="s">
        <v>2811</v>
      </c>
    </row>
    <row r="507" spans="1:33">
      <c r="A507" t="s">
        <v>202</v>
      </c>
      <c r="B507" s="4">
        <v>45688</v>
      </c>
      <c r="C507" s="4">
        <v>45693</v>
      </c>
      <c r="D507">
        <f>_xlfn.DAYS(C507,B507)</f>
        <v>5</v>
      </c>
      <c r="E507" t="s">
        <v>2804</v>
      </c>
      <c r="F507" t="s">
        <v>203</v>
      </c>
      <c r="G507" t="s">
        <v>114</v>
      </c>
      <c r="H507" t="s">
        <v>95</v>
      </c>
      <c r="I507" t="s">
        <v>38</v>
      </c>
      <c r="J507" t="s">
        <v>99</v>
      </c>
      <c r="K507" t="s">
        <v>100</v>
      </c>
      <c r="L507" t="s">
        <v>41</v>
      </c>
      <c r="M507" t="s">
        <v>66</v>
      </c>
      <c r="N507" t="s">
        <v>204</v>
      </c>
      <c r="O507" t="s">
        <v>2785</v>
      </c>
      <c r="P507">
        <v>2</v>
      </c>
      <c r="Q507">
        <v>4159.6899999999996</v>
      </c>
      <c r="R507">
        <v>0.2</v>
      </c>
      <c r="S507">
        <f>IF(ISNUMBER(SEARCH("%",R507)), VALUE(SUBSTITUTE(R507,"%",""))/100,IF(ISNUMBER(R507), R507, 0))</f>
        <v>0.2</v>
      </c>
      <c r="T507" t="str">
        <f>IF(S507&lt;0,"Negative discount (invalid)",IF(S507&gt;0.5,"Discount above allowed range (invalid)",IF(AND(R507="",S507=0),"Missing discount set to 0","OK")))</f>
        <v>OK</v>
      </c>
      <c r="U507">
        <v>6655.5</v>
      </c>
      <c r="V507">
        <v>4340.21</v>
      </c>
      <c r="W507">
        <v>2607.3200000000002</v>
      </c>
      <c r="X507" t="s">
        <v>32</v>
      </c>
      <c r="Y507" t="s">
        <v>33</v>
      </c>
      <c r="Z507">
        <f>IF(T507="OK",P507*Q507*(1-S507),"invalid")</f>
        <v>6655.5039999999999</v>
      </c>
      <c r="AA507">
        <f>IF(Z507="N/A","N/A",Z507-V507)</f>
        <v>2315.2939999999999</v>
      </c>
      <c r="AB507" s="8">
        <f>IF(Z507&lt;&gt;"N/A", AA507/Z507, "N/A")</f>
        <v>0.34787658455317583</v>
      </c>
      <c r="AC507">
        <f>MONTH(B507)</f>
        <v>1</v>
      </c>
      <c r="AD507">
        <f>YEAR(B507)</f>
        <v>2025</v>
      </c>
      <c r="AE507" s="10">
        <f t="shared" si="7"/>
        <v>3.9999999999054126E-3</v>
      </c>
      <c r="AF507" t="s">
        <v>2800</v>
      </c>
      <c r="AG507" t="s">
        <v>2798</v>
      </c>
    </row>
    <row r="508" spans="1:33">
      <c r="A508" t="s">
        <v>211</v>
      </c>
      <c r="B508" s="4">
        <v>45867</v>
      </c>
      <c r="C508" s="4">
        <v>45867</v>
      </c>
      <c r="D508">
        <f>_xlfn.DAYS(C508,B508)</f>
        <v>0</v>
      </c>
      <c r="E508" t="s">
        <v>2804</v>
      </c>
      <c r="F508" t="s">
        <v>212</v>
      </c>
      <c r="G508" t="s">
        <v>162</v>
      </c>
      <c r="H508" t="s">
        <v>24</v>
      </c>
      <c r="I508" t="s">
        <v>63</v>
      </c>
      <c r="J508" t="s">
        <v>64</v>
      </c>
      <c r="K508" t="s">
        <v>65</v>
      </c>
      <c r="L508" t="s">
        <v>74</v>
      </c>
      <c r="M508" t="s">
        <v>80</v>
      </c>
      <c r="N508" t="s">
        <v>213</v>
      </c>
      <c r="O508" t="s">
        <v>59</v>
      </c>
      <c r="P508">
        <v>4</v>
      </c>
      <c r="Q508">
        <v>1327.54</v>
      </c>
      <c r="R508">
        <v>0.2</v>
      </c>
      <c r="S508">
        <f>IF(ISNUMBER(SEARCH("%",R508)), VALUE(SUBSTITUTE(R508,"%",""))/100,IF(ISNUMBER(R508), R508, 0))</f>
        <v>0.2</v>
      </c>
      <c r="T508" t="str">
        <f>IF(S508&lt;0,"Negative discount (invalid)",IF(S508&gt;0.5,"Discount above allowed range (invalid)",IF(AND(R508="",S508=0),"Missing discount set to 0","OK")))</f>
        <v>OK</v>
      </c>
      <c r="U508">
        <v>4248.13</v>
      </c>
      <c r="V508">
        <v>3321.09</v>
      </c>
      <c r="W508">
        <v>927.04</v>
      </c>
      <c r="X508" t="s">
        <v>32</v>
      </c>
      <c r="Y508" t="s">
        <v>33</v>
      </c>
      <c r="Z508">
        <f>IF(T508="OK",P508*Q508*(1-S508),"invalid")</f>
        <v>4248.1279999999997</v>
      </c>
      <c r="AA508">
        <f>IF(Z508="N/A","N/A",Z508-V508)</f>
        <v>927.03799999999956</v>
      </c>
      <c r="AB508" s="8">
        <f>IF(Z508&lt;&gt;"N/A", AA508/Z508, "N/A")</f>
        <v>0.21822270892025844</v>
      </c>
      <c r="AC508">
        <f>MONTH(B508)</f>
        <v>7</v>
      </c>
      <c r="AD508">
        <f>YEAR(B508)</f>
        <v>2025</v>
      </c>
      <c r="AE508" s="10">
        <f t="shared" si="7"/>
        <v>2.0000000004074536E-3</v>
      </c>
      <c r="AF508" t="s">
        <v>2804</v>
      </c>
      <c r="AG508" t="s">
        <v>2811</v>
      </c>
    </row>
    <row r="509" spans="1:33">
      <c r="A509" t="s">
        <v>226</v>
      </c>
      <c r="B509" s="4">
        <v>45940</v>
      </c>
      <c r="C509" s="4">
        <v>45945</v>
      </c>
      <c r="D509">
        <f>_xlfn.DAYS(C509,B509)</f>
        <v>5</v>
      </c>
      <c r="E509" t="s">
        <v>2804</v>
      </c>
      <c r="F509" t="s">
        <v>227</v>
      </c>
      <c r="G509" t="s">
        <v>53</v>
      </c>
      <c r="H509" t="s">
        <v>90</v>
      </c>
      <c r="I509" t="s">
        <v>38</v>
      </c>
      <c r="J509" t="s">
        <v>228</v>
      </c>
      <c r="K509" t="s">
        <v>229</v>
      </c>
      <c r="L509" t="s">
        <v>74</v>
      </c>
      <c r="M509" t="s">
        <v>171</v>
      </c>
      <c r="N509" t="s">
        <v>230</v>
      </c>
      <c r="O509" t="s">
        <v>59</v>
      </c>
      <c r="P509">
        <v>8</v>
      </c>
      <c r="Q509">
        <v>979.87</v>
      </c>
      <c r="R509">
        <v>0.05</v>
      </c>
      <c r="S509">
        <f>IF(ISNUMBER(SEARCH("%",R509)), VALUE(SUBSTITUTE(R509,"%",""))/100,IF(ISNUMBER(R509), R509, 0))</f>
        <v>0.05</v>
      </c>
      <c r="T509" t="str">
        <f>IF(S509&lt;0,"Negative discount (invalid)",IF(S509&gt;0.5,"Discount above allowed range (invalid)",IF(AND(R509="",S509=0),"Missing discount set to 0","OK")))</f>
        <v>OK</v>
      </c>
      <c r="U509">
        <v>7447.01</v>
      </c>
      <c r="V509">
        <v>4496.22</v>
      </c>
      <c r="W509">
        <v>2950.79</v>
      </c>
      <c r="X509" t="s">
        <v>32</v>
      </c>
      <c r="Y509" t="s">
        <v>33</v>
      </c>
      <c r="Z509">
        <f>IF(T509="OK",P509*Q509*(1-S509),"invalid")</f>
        <v>7447.0119999999997</v>
      </c>
      <c r="AA509">
        <f>IF(Z509="N/A","N/A",Z509-V509)</f>
        <v>2950.7919999999995</v>
      </c>
      <c r="AB509" s="8">
        <f>IF(Z509&lt;&gt;"N/A", AA509/Z509, "N/A")</f>
        <v>0.39623838393170302</v>
      </c>
      <c r="AC509">
        <f>MONTH(B509)</f>
        <v>10</v>
      </c>
      <c r="AD509">
        <f>YEAR(B509)</f>
        <v>2025</v>
      </c>
      <c r="AE509" s="10">
        <f t="shared" si="7"/>
        <v>1.9999999994979589E-3</v>
      </c>
      <c r="AF509" t="s">
        <v>2804</v>
      </c>
      <c r="AG509" t="s">
        <v>2811</v>
      </c>
    </row>
    <row r="510" spans="1:33">
      <c r="A510" t="s">
        <v>250</v>
      </c>
      <c r="B510" s="4">
        <v>45687</v>
      </c>
      <c r="C510" s="4">
        <v>45693</v>
      </c>
      <c r="D510">
        <f>_xlfn.DAYS(C510,B510)</f>
        <v>6</v>
      </c>
      <c r="E510" t="s">
        <v>2804</v>
      </c>
      <c r="F510" t="s">
        <v>251</v>
      </c>
      <c r="G510" t="s">
        <v>79</v>
      </c>
      <c r="H510" t="s">
        <v>90</v>
      </c>
      <c r="I510" t="s">
        <v>63</v>
      </c>
      <c r="J510" t="s">
        <v>64</v>
      </c>
      <c r="K510" t="s">
        <v>65</v>
      </c>
      <c r="L510" t="s">
        <v>41</v>
      </c>
      <c r="M510" t="s">
        <v>66</v>
      </c>
      <c r="N510" t="s">
        <v>252</v>
      </c>
      <c r="O510" t="s">
        <v>31</v>
      </c>
      <c r="P510">
        <v>7</v>
      </c>
      <c r="Q510">
        <v>4063.66</v>
      </c>
      <c r="R510">
        <v>0</v>
      </c>
      <c r="S510">
        <f>IF(ISNUMBER(SEARCH("%",R510)), VALUE(SUBSTITUTE(R510,"%",""))/100,IF(ISNUMBER(R510), R510, 0))</f>
        <v>0</v>
      </c>
      <c r="T510" t="str">
        <f>IF(S510&lt;0,"Negative discount (invalid)",IF(S510&gt;0.5,"Discount above allowed range (invalid)",IF(AND(R510="",S510=0),"Missing discount set to 0","OK")))</f>
        <v>OK</v>
      </c>
      <c r="U510">
        <v>28445.62</v>
      </c>
      <c r="V510">
        <v>20938.59</v>
      </c>
      <c r="W510">
        <v>7507.03</v>
      </c>
      <c r="X510" t="s">
        <v>32</v>
      </c>
      <c r="Y510" t="s">
        <v>33</v>
      </c>
      <c r="Z510">
        <f>IF(T510="OK",P510*Q510*(1-S510),"invalid")</f>
        <v>28445.62</v>
      </c>
      <c r="AA510">
        <f>IF(Z510="N/A","N/A",Z510-V510)</f>
        <v>7507.0299999999988</v>
      </c>
      <c r="AB510" s="8">
        <f>IF(Z510&lt;&gt;"N/A", AA510/Z510, "N/A")</f>
        <v>0.26390811660986818</v>
      </c>
      <c r="AC510">
        <f>MONTH(B510)</f>
        <v>1</v>
      </c>
      <c r="AD510">
        <f>YEAR(B510)</f>
        <v>2025</v>
      </c>
      <c r="AE510" s="10">
        <f t="shared" si="7"/>
        <v>0</v>
      </c>
      <c r="AF510" t="s">
        <v>2804</v>
      </c>
      <c r="AG510" t="s">
        <v>2811</v>
      </c>
    </row>
    <row r="511" spans="1:33">
      <c r="A511" t="s">
        <v>256</v>
      </c>
      <c r="B511" s="4">
        <v>45788</v>
      </c>
      <c r="C511" s="4">
        <v>45796</v>
      </c>
      <c r="D511">
        <f>_xlfn.DAYS(C511,B511)</f>
        <v>8</v>
      </c>
      <c r="E511" t="s">
        <v>2804</v>
      </c>
      <c r="F511" t="s">
        <v>257</v>
      </c>
      <c r="G511" t="s">
        <v>132</v>
      </c>
      <c r="H511" t="s">
        <v>24</v>
      </c>
      <c r="I511" t="s">
        <v>38</v>
      </c>
      <c r="J511" t="s">
        <v>99</v>
      </c>
      <c r="K511" t="s">
        <v>100</v>
      </c>
      <c r="L511" t="s">
        <v>74</v>
      </c>
      <c r="M511" t="s">
        <v>80</v>
      </c>
      <c r="N511" t="s">
        <v>258</v>
      </c>
      <c r="O511" t="s">
        <v>59</v>
      </c>
      <c r="P511">
        <v>1</v>
      </c>
      <c r="Q511">
        <v>2382.8000000000002</v>
      </c>
      <c r="R511">
        <v>0.15</v>
      </c>
      <c r="S511">
        <f>IF(ISNUMBER(SEARCH("%",R511)), VALUE(SUBSTITUTE(R511,"%",""))/100,IF(ISNUMBER(R511), R511, 0))</f>
        <v>0.15</v>
      </c>
      <c r="T511" t="str">
        <f>IF(S511&lt;0,"Negative discount (invalid)",IF(S511&gt;0.5,"Discount above allowed range (invalid)",IF(AND(R511="",S511=0),"Missing discount set to 0","OK")))</f>
        <v>OK</v>
      </c>
      <c r="U511">
        <v>2025.38</v>
      </c>
      <c r="V511">
        <v>1140.6500000000001</v>
      </c>
      <c r="W511">
        <v>884.73</v>
      </c>
      <c r="X511" t="s">
        <v>32</v>
      </c>
      <c r="Y511" t="s">
        <v>33</v>
      </c>
      <c r="Z511">
        <f>IF(T511="OK",P511*Q511*(1-S511),"invalid")</f>
        <v>2025.38</v>
      </c>
      <c r="AA511">
        <f>IF(Z511="N/A","N/A",Z511-V511)</f>
        <v>884.73</v>
      </c>
      <c r="AB511" s="8">
        <f>IF(Z511&lt;&gt;"N/A", AA511/Z511, "N/A")</f>
        <v>0.43682173221815163</v>
      </c>
      <c r="AC511">
        <f>MONTH(B511)</f>
        <v>5</v>
      </c>
      <c r="AD511">
        <f>YEAR(B511)</f>
        <v>2025</v>
      </c>
      <c r="AE511" s="10">
        <f t="shared" si="7"/>
        <v>0</v>
      </c>
      <c r="AF511" t="s">
        <v>2804</v>
      </c>
      <c r="AG511" t="s">
        <v>2811</v>
      </c>
    </row>
    <row r="512" spans="1:33">
      <c r="A512" t="s">
        <v>266</v>
      </c>
      <c r="B512" s="4">
        <v>45747</v>
      </c>
      <c r="C512" s="4">
        <v>45747</v>
      </c>
      <c r="D512">
        <f>_xlfn.DAYS(C512,B512)</f>
        <v>0</v>
      </c>
      <c r="E512" t="s">
        <v>2804</v>
      </c>
      <c r="F512" t="s">
        <v>267</v>
      </c>
      <c r="G512" t="s">
        <v>264</v>
      </c>
      <c r="H512" t="s">
        <v>95</v>
      </c>
      <c r="I512" t="s">
        <v>63</v>
      </c>
      <c r="J512" t="s">
        <v>180</v>
      </c>
      <c r="K512" t="s">
        <v>181</v>
      </c>
      <c r="L512" t="s">
        <v>28</v>
      </c>
      <c r="M512" t="s">
        <v>124</v>
      </c>
      <c r="N512" t="s">
        <v>268</v>
      </c>
      <c r="O512" t="s">
        <v>50</v>
      </c>
      <c r="P512">
        <v>5</v>
      </c>
      <c r="Q512">
        <v>1207.47</v>
      </c>
      <c r="R512">
        <v>0.15</v>
      </c>
      <c r="S512">
        <f>IF(ISNUMBER(SEARCH("%",R512)), VALUE(SUBSTITUTE(R512,"%",""))/100,IF(ISNUMBER(R512), R512, 0))</f>
        <v>0.15</v>
      </c>
      <c r="T512" t="str">
        <f>IF(S512&lt;0,"Negative discount (invalid)",IF(S512&gt;0.5,"Discount above allowed range (invalid)",IF(AND(R512="",S512=0),"Missing discount set to 0","OK")))</f>
        <v>OK</v>
      </c>
      <c r="U512">
        <v>5131.75</v>
      </c>
      <c r="V512">
        <v>2838.68</v>
      </c>
      <c r="W512">
        <v>2293.0700000000002</v>
      </c>
      <c r="X512" t="s">
        <v>32</v>
      </c>
      <c r="Y512" t="s">
        <v>33</v>
      </c>
      <c r="Z512">
        <f>IF(T512="OK",P512*Q512*(1-S512),"invalid")</f>
        <v>5131.7475000000004</v>
      </c>
      <c r="AA512">
        <f>IF(Z512="N/A","N/A",Z512-V512)</f>
        <v>2293.0675000000006</v>
      </c>
      <c r="AB512" s="8">
        <f>IF(Z512&lt;&gt;"N/A", AA512/Z512, "N/A")</f>
        <v>0.44683950252813498</v>
      </c>
      <c r="AC512">
        <f>MONTH(B512)</f>
        <v>3</v>
      </c>
      <c r="AD512">
        <f>YEAR(B512)</f>
        <v>2025</v>
      </c>
      <c r="AE512" s="10">
        <f t="shared" si="7"/>
        <v>2.4999999995998223E-3</v>
      </c>
      <c r="AF512" t="s">
        <v>2804</v>
      </c>
      <c r="AG512" t="s">
        <v>2811</v>
      </c>
    </row>
    <row r="513" spans="1:33">
      <c r="A513" t="s">
        <v>269</v>
      </c>
      <c r="B513" s="4">
        <v>45807</v>
      </c>
      <c r="C513" s="4">
        <v>45810</v>
      </c>
      <c r="D513">
        <f>_xlfn.DAYS(C513,B513)</f>
        <v>3</v>
      </c>
      <c r="E513" t="s">
        <v>2804</v>
      </c>
      <c r="F513" t="s">
        <v>270</v>
      </c>
      <c r="G513" t="s">
        <v>53</v>
      </c>
      <c r="H513" t="s">
        <v>90</v>
      </c>
      <c r="I513" t="s">
        <v>54</v>
      </c>
      <c r="J513" t="s">
        <v>247</v>
      </c>
      <c r="K513" t="s">
        <v>248</v>
      </c>
      <c r="L513" t="s">
        <v>28</v>
      </c>
      <c r="M513" t="s">
        <v>91</v>
      </c>
      <c r="N513" t="s">
        <v>271</v>
      </c>
      <c r="O513" t="s">
        <v>44</v>
      </c>
      <c r="P513">
        <v>8</v>
      </c>
      <c r="Q513">
        <v>474.37</v>
      </c>
      <c r="R513">
        <v>0.1</v>
      </c>
      <c r="S513">
        <f>IF(ISNUMBER(SEARCH("%",R513)), VALUE(SUBSTITUTE(R513,"%",""))/100,IF(ISNUMBER(R513), R513, 0))</f>
        <v>0.1</v>
      </c>
      <c r="T513" t="str">
        <f>IF(S513&lt;0,"Negative discount (invalid)",IF(S513&gt;0.5,"Discount above allowed range (invalid)",IF(AND(R513="",S513=0),"Missing discount set to 0","OK")))</f>
        <v>OK</v>
      </c>
      <c r="U513">
        <v>3415.46</v>
      </c>
      <c r="V513">
        <v>1993.23</v>
      </c>
      <c r="W513">
        <v>1422.23</v>
      </c>
      <c r="X513" t="s">
        <v>155</v>
      </c>
      <c r="Y513" t="s">
        <v>68</v>
      </c>
      <c r="Z513">
        <f>IF(T513="OK",P513*Q513*(1-S513),"invalid")</f>
        <v>3415.4639999999999</v>
      </c>
      <c r="AA513">
        <f>IF(Z513="N/A","N/A",Z513-V513)</f>
        <v>1422.2339999999999</v>
      </c>
      <c r="AB513" s="8">
        <f>IF(Z513&lt;&gt;"N/A", AA513/Z513, "N/A")</f>
        <v>0.4164101861416194</v>
      </c>
      <c r="AC513">
        <f>MONTH(B513)</f>
        <v>5</v>
      </c>
      <c r="AD513">
        <f>YEAR(B513)</f>
        <v>2025</v>
      </c>
      <c r="AE513" s="10">
        <f t="shared" si="7"/>
        <v>3.9999999999054126E-3</v>
      </c>
      <c r="AF513" t="s">
        <v>2804</v>
      </c>
      <c r="AG513" t="s">
        <v>2811</v>
      </c>
    </row>
    <row r="514" spans="1:33">
      <c r="A514" t="s">
        <v>272</v>
      </c>
      <c r="B514" s="4">
        <v>45839</v>
      </c>
      <c r="C514" s="4">
        <v>45841</v>
      </c>
      <c r="D514">
        <f>_xlfn.DAYS(C514,B514)</f>
        <v>2</v>
      </c>
      <c r="E514" t="s">
        <v>2804</v>
      </c>
      <c r="F514" t="s">
        <v>273</v>
      </c>
      <c r="G514" t="s">
        <v>36</v>
      </c>
      <c r="H514" t="s">
        <v>37</v>
      </c>
      <c r="I514" t="s">
        <v>54</v>
      </c>
      <c r="J514" t="s">
        <v>84</v>
      </c>
      <c r="K514" t="s">
        <v>85</v>
      </c>
      <c r="L514" t="s">
        <v>74</v>
      </c>
      <c r="M514" t="s">
        <v>274</v>
      </c>
      <c r="N514" t="s">
        <v>275</v>
      </c>
      <c r="O514" t="s">
        <v>44</v>
      </c>
      <c r="P514">
        <v>3</v>
      </c>
      <c r="Q514">
        <v>1516.24</v>
      </c>
      <c r="R514">
        <v>0.25</v>
      </c>
      <c r="S514">
        <f>IF(ISNUMBER(SEARCH("%",R514)), VALUE(SUBSTITUTE(R514,"%",""))/100,IF(ISNUMBER(R514), R514, 0))</f>
        <v>0.25</v>
      </c>
      <c r="T514" t="str">
        <f>IF(S514&lt;0,"Negative discount (invalid)",IF(S514&gt;0.5,"Discount above allowed range (invalid)",IF(AND(R514="",S514=0),"Missing discount set to 0","OK")))</f>
        <v>OK</v>
      </c>
      <c r="U514">
        <v>3411.54</v>
      </c>
      <c r="V514">
        <v>2803.13</v>
      </c>
      <c r="W514">
        <v>608.41</v>
      </c>
      <c r="X514" t="s">
        <v>32</v>
      </c>
      <c r="Y514" t="s">
        <v>33</v>
      </c>
      <c r="Z514">
        <f>IF(T514="OK",P514*Q514*(1-S514),"invalid")</f>
        <v>3411.54</v>
      </c>
      <c r="AA514">
        <f>IF(Z514="N/A","N/A",Z514-V514)</f>
        <v>608.40999999999985</v>
      </c>
      <c r="AB514" s="8">
        <f>IF(Z514&lt;&gt;"N/A", AA514/Z514, "N/A")</f>
        <v>0.17833881472883209</v>
      </c>
      <c r="AC514">
        <f>MONTH(B514)</f>
        <v>7</v>
      </c>
      <c r="AD514">
        <f>YEAR(B514)</f>
        <v>2025</v>
      </c>
      <c r="AE514" s="10">
        <f t="shared" si="7"/>
        <v>0</v>
      </c>
      <c r="AF514" t="s">
        <v>2804</v>
      </c>
      <c r="AG514" t="s">
        <v>2811</v>
      </c>
    </row>
    <row r="515" spans="1:33">
      <c r="A515" t="s">
        <v>276</v>
      </c>
      <c r="B515" s="4">
        <v>45662</v>
      </c>
      <c r="C515" s="4">
        <v>45663</v>
      </c>
      <c r="D515">
        <f>_xlfn.DAYS(C515,B515)</f>
        <v>1</v>
      </c>
      <c r="E515" t="s">
        <v>2804</v>
      </c>
      <c r="F515" t="s">
        <v>277</v>
      </c>
      <c r="G515" t="s">
        <v>23</v>
      </c>
      <c r="H515" t="s">
        <v>24</v>
      </c>
      <c r="I515" t="s">
        <v>54</v>
      </c>
      <c r="J515" t="s">
        <v>175</v>
      </c>
      <c r="K515" t="s">
        <v>176</v>
      </c>
      <c r="L515" t="s">
        <v>28</v>
      </c>
      <c r="M515" t="s">
        <v>153</v>
      </c>
      <c r="N515" t="s">
        <v>278</v>
      </c>
      <c r="O515" t="s">
        <v>31</v>
      </c>
      <c r="P515">
        <v>3</v>
      </c>
      <c r="Q515">
        <v>3155.61</v>
      </c>
      <c r="R515">
        <v>0</v>
      </c>
      <c r="S515">
        <f>IF(ISNUMBER(SEARCH("%",R515)), VALUE(SUBSTITUTE(R515,"%",""))/100,IF(ISNUMBER(R515), R515, 0))</f>
        <v>0</v>
      </c>
      <c r="T515" t="str">
        <f>IF(S515&lt;0,"Negative discount (invalid)",IF(S515&gt;0.5,"Discount above allowed range (invalid)",IF(AND(R515="",S515=0),"Missing discount set to 0","OK")))</f>
        <v>OK</v>
      </c>
      <c r="U515">
        <v>9466.83</v>
      </c>
      <c r="V515">
        <v>6557.83</v>
      </c>
      <c r="W515">
        <v>2909</v>
      </c>
      <c r="X515" t="s">
        <v>102</v>
      </c>
      <c r="Y515" t="s">
        <v>68</v>
      </c>
      <c r="Z515">
        <f>IF(T515="OK",P515*Q515*(1-S515),"invalid")</f>
        <v>9466.83</v>
      </c>
      <c r="AA515">
        <f>IF(Z515="N/A","N/A",Z515-V515)</f>
        <v>2909</v>
      </c>
      <c r="AB515" s="8">
        <f>IF(Z515&lt;&gt;"N/A", AA515/Z515, "N/A")</f>
        <v>0.30728343067320318</v>
      </c>
      <c r="AC515">
        <f>MONTH(B515)</f>
        <v>1</v>
      </c>
      <c r="AD515">
        <f>YEAR(B515)</f>
        <v>2025</v>
      </c>
      <c r="AE515" s="10">
        <f t="shared" ref="AE515:AE578" si="8">IF(Z515&lt;&gt;"N/A",ABS(Z515-U515),"N/A")</f>
        <v>0</v>
      </c>
      <c r="AF515" t="s">
        <v>2804</v>
      </c>
      <c r="AG515" t="s">
        <v>2811</v>
      </c>
    </row>
    <row r="516" spans="1:33">
      <c r="A516" t="s">
        <v>306</v>
      </c>
      <c r="B516" s="4">
        <v>45897</v>
      </c>
      <c r="C516" s="4">
        <v>45901</v>
      </c>
      <c r="D516">
        <f>_xlfn.DAYS(C516,B516)</f>
        <v>4</v>
      </c>
      <c r="E516" t="s">
        <v>2804</v>
      </c>
      <c r="F516" t="s">
        <v>307</v>
      </c>
      <c r="G516" t="s">
        <v>23</v>
      </c>
      <c r="H516" t="s">
        <v>37</v>
      </c>
      <c r="I516" t="s">
        <v>54</v>
      </c>
      <c r="J516" t="s">
        <v>247</v>
      </c>
      <c r="K516" t="s">
        <v>248</v>
      </c>
      <c r="L516" t="s">
        <v>74</v>
      </c>
      <c r="M516" t="s">
        <v>75</v>
      </c>
      <c r="N516" t="s">
        <v>308</v>
      </c>
      <c r="O516" t="s">
        <v>44</v>
      </c>
      <c r="P516">
        <v>7</v>
      </c>
      <c r="Q516">
        <v>1057.46</v>
      </c>
      <c r="R516">
        <v>0.05</v>
      </c>
      <c r="S516">
        <f>IF(ISNUMBER(SEARCH("%",R516)), VALUE(SUBSTITUTE(R516,"%",""))/100,IF(ISNUMBER(R516), R516, 0))</f>
        <v>0.05</v>
      </c>
      <c r="T516" t="str">
        <f>IF(S516&lt;0,"Negative discount (invalid)",IF(S516&gt;0.5,"Discount above allowed range (invalid)",IF(AND(R516="",S516=0),"Missing discount set to 0","OK")))</f>
        <v>OK</v>
      </c>
      <c r="U516">
        <v>7032.11</v>
      </c>
      <c r="V516">
        <v>4610.34</v>
      </c>
      <c r="W516">
        <v>2421.77</v>
      </c>
      <c r="X516" t="s">
        <v>32</v>
      </c>
      <c r="Y516" t="s">
        <v>33</v>
      </c>
      <c r="Z516">
        <f>IF(T516="OK",P516*Q516*(1-S516),"invalid")</f>
        <v>7032.1089999999995</v>
      </c>
      <c r="AA516">
        <f>IF(Z516="N/A","N/A",Z516-V516)</f>
        <v>2421.7689999999993</v>
      </c>
      <c r="AB516" s="8">
        <f>IF(Z516&lt;&gt;"N/A", AA516/Z516, "N/A")</f>
        <v>0.34438729547565311</v>
      </c>
      <c r="AC516">
        <f>MONTH(B516)</f>
        <v>8</v>
      </c>
      <c r="AD516">
        <f>YEAR(B516)</f>
        <v>2025</v>
      </c>
      <c r="AE516" s="10">
        <f t="shared" si="8"/>
        <v>1.0000000002037268E-3</v>
      </c>
      <c r="AF516" t="s">
        <v>2804</v>
      </c>
      <c r="AG516" t="s">
        <v>2811</v>
      </c>
    </row>
    <row r="517" spans="1:33">
      <c r="A517" t="s">
        <v>309</v>
      </c>
      <c r="B517" s="4">
        <v>45691</v>
      </c>
      <c r="C517" s="4">
        <v>45695</v>
      </c>
      <c r="D517">
        <f>_xlfn.DAYS(C517,B517)</f>
        <v>4</v>
      </c>
      <c r="E517" t="s">
        <v>2804</v>
      </c>
      <c r="F517" t="s">
        <v>310</v>
      </c>
      <c r="G517" t="s">
        <v>264</v>
      </c>
      <c r="H517" t="s">
        <v>24</v>
      </c>
      <c r="I517" t="s">
        <v>25</v>
      </c>
      <c r="J517" t="s">
        <v>236</v>
      </c>
      <c r="K517" t="s">
        <v>237</v>
      </c>
      <c r="L517" t="s">
        <v>28</v>
      </c>
      <c r="M517" t="s">
        <v>29</v>
      </c>
      <c r="N517" t="s">
        <v>311</v>
      </c>
      <c r="O517" t="s">
        <v>50</v>
      </c>
      <c r="P517">
        <v>7</v>
      </c>
      <c r="Q517">
        <v>3609.34</v>
      </c>
      <c r="R517">
        <v>0.05</v>
      </c>
      <c r="S517">
        <f>IF(ISNUMBER(SEARCH("%",R517)), VALUE(SUBSTITUTE(R517,"%",""))/100,IF(ISNUMBER(R517), R517, 0))</f>
        <v>0.05</v>
      </c>
      <c r="T517" t="str">
        <f>IF(S517&lt;0,"Negative discount (invalid)",IF(S517&gt;0.5,"Discount above allowed range (invalid)",IF(AND(R517="",S517=0),"Missing discount set to 0","OK")))</f>
        <v>OK</v>
      </c>
      <c r="U517">
        <v>24002.11</v>
      </c>
      <c r="V517">
        <v>18707.57</v>
      </c>
      <c r="W517">
        <v>5294.54</v>
      </c>
      <c r="X517" t="s">
        <v>32</v>
      </c>
      <c r="Y517" t="s">
        <v>33</v>
      </c>
      <c r="Z517">
        <f>IF(T517="OK",P517*Q517*(1-S517),"invalid")</f>
        <v>24002.111000000001</v>
      </c>
      <c r="AA517">
        <f>IF(Z517="N/A","N/A",Z517-V517)</f>
        <v>5294.5410000000011</v>
      </c>
      <c r="AB517" s="8">
        <f>IF(Z517&lt;&gt;"N/A", AA517/Z517, "N/A")</f>
        <v>0.2205864725815159</v>
      </c>
      <c r="AC517">
        <f>MONTH(B517)</f>
        <v>2</v>
      </c>
      <c r="AD517">
        <f>YEAR(B517)</f>
        <v>2025</v>
      </c>
      <c r="AE517" s="10">
        <f t="shared" si="8"/>
        <v>1.0000000002037268E-3</v>
      </c>
      <c r="AF517" t="s">
        <v>2804</v>
      </c>
      <c r="AG517" t="s">
        <v>2811</v>
      </c>
    </row>
    <row r="518" spans="1:33">
      <c r="A518" t="s">
        <v>318</v>
      </c>
      <c r="B518" s="4">
        <v>45891</v>
      </c>
      <c r="C518" s="4">
        <v>45896</v>
      </c>
      <c r="D518">
        <f>_xlfn.DAYS(C518,B518)</f>
        <v>5</v>
      </c>
      <c r="E518" t="s">
        <v>2804</v>
      </c>
      <c r="F518" t="s">
        <v>319</v>
      </c>
      <c r="G518" t="s">
        <v>23</v>
      </c>
      <c r="H518" t="s">
        <v>90</v>
      </c>
      <c r="I518" t="s">
        <v>54</v>
      </c>
      <c r="J518" t="s">
        <v>84</v>
      </c>
      <c r="K518" t="s">
        <v>85</v>
      </c>
      <c r="L518" t="s">
        <v>74</v>
      </c>
      <c r="M518" t="s">
        <v>171</v>
      </c>
      <c r="N518" t="s">
        <v>320</v>
      </c>
      <c r="O518" t="s">
        <v>50</v>
      </c>
      <c r="P518">
        <v>2</v>
      </c>
      <c r="Q518">
        <v>905.87</v>
      </c>
      <c r="R518">
        <v>0.15</v>
      </c>
      <c r="S518">
        <f>IF(ISNUMBER(SEARCH("%",R518)), VALUE(SUBSTITUTE(R518,"%",""))/100,IF(ISNUMBER(R518), R518, 0))</f>
        <v>0.15</v>
      </c>
      <c r="T518" t="str">
        <f>IF(S518&lt;0,"Negative discount (invalid)",IF(S518&gt;0.5,"Discount above allowed range (invalid)",IF(AND(R518="",S518=0),"Missing discount set to 0","OK")))</f>
        <v>OK</v>
      </c>
      <c r="U518">
        <v>1539.98</v>
      </c>
      <c r="V518">
        <v>1070.2</v>
      </c>
      <c r="W518">
        <v>469.78</v>
      </c>
      <c r="X518" t="s">
        <v>32</v>
      </c>
      <c r="Y518" t="s">
        <v>33</v>
      </c>
      <c r="Z518">
        <f>IF(T518="OK",P518*Q518*(1-S518),"invalid")</f>
        <v>1539.979</v>
      </c>
      <c r="AA518">
        <f>IF(Z518="N/A","N/A",Z518-V518)</f>
        <v>469.779</v>
      </c>
      <c r="AB518" s="8">
        <f>IF(Z518&lt;&gt;"N/A", AA518/Z518, "N/A")</f>
        <v>0.30505545854846072</v>
      </c>
      <c r="AC518">
        <f>MONTH(B518)</f>
        <v>8</v>
      </c>
      <c r="AD518">
        <f>YEAR(B518)</f>
        <v>2025</v>
      </c>
      <c r="AE518" s="10">
        <f t="shared" si="8"/>
        <v>9.9999999997635314E-4</v>
      </c>
      <c r="AF518" t="s">
        <v>2804</v>
      </c>
      <c r="AG518" t="s">
        <v>2811</v>
      </c>
    </row>
    <row r="519" spans="1:33">
      <c r="A519" t="s">
        <v>321</v>
      </c>
      <c r="B519" s="4">
        <v>45763</v>
      </c>
      <c r="C519" s="4">
        <v>45770</v>
      </c>
      <c r="D519">
        <f>_xlfn.DAYS(C519,B519)</f>
        <v>7</v>
      </c>
      <c r="E519" t="s">
        <v>2804</v>
      </c>
      <c r="F519" t="s">
        <v>322</v>
      </c>
      <c r="G519" t="s">
        <v>36</v>
      </c>
      <c r="H519" t="s">
        <v>37</v>
      </c>
      <c r="I519" t="s">
        <v>63</v>
      </c>
      <c r="J519" t="s">
        <v>190</v>
      </c>
      <c r="K519" t="s">
        <v>191</v>
      </c>
      <c r="L519" t="s">
        <v>74</v>
      </c>
      <c r="M519" t="s">
        <v>274</v>
      </c>
      <c r="N519" t="s">
        <v>323</v>
      </c>
      <c r="O519" t="s">
        <v>59</v>
      </c>
      <c r="P519">
        <v>6</v>
      </c>
      <c r="Q519">
        <v>2027.32</v>
      </c>
      <c r="R519">
        <v>0.1</v>
      </c>
      <c r="S519">
        <f>IF(ISNUMBER(SEARCH("%",R519)), VALUE(SUBSTITUTE(R519,"%",""))/100,IF(ISNUMBER(R519), R519, 0))</f>
        <v>0.1</v>
      </c>
      <c r="T519" t="str">
        <f>IF(S519&lt;0,"Negative discount (invalid)",IF(S519&gt;0.5,"Discount above allowed range (invalid)",IF(AND(R519="",S519=0),"Missing discount set to 0","OK")))</f>
        <v>OK</v>
      </c>
      <c r="U519">
        <v>10947.53</v>
      </c>
      <c r="V519">
        <v>6447.36</v>
      </c>
      <c r="W519">
        <v>4500.17</v>
      </c>
      <c r="X519" t="s">
        <v>32</v>
      </c>
      <c r="Y519" t="s">
        <v>33</v>
      </c>
      <c r="Z519">
        <f>IF(T519="OK",P519*Q519*(1-S519),"invalid")</f>
        <v>10947.528</v>
      </c>
      <c r="AA519">
        <f>IF(Z519="N/A","N/A",Z519-V519)</f>
        <v>4500.1680000000006</v>
      </c>
      <c r="AB519" s="8">
        <f>IF(Z519&lt;&gt;"N/A", AA519/Z519, "N/A")</f>
        <v>0.41106704636882413</v>
      </c>
      <c r="AC519">
        <f>MONTH(B519)</f>
        <v>4</v>
      </c>
      <c r="AD519">
        <f>YEAR(B519)</f>
        <v>2025</v>
      </c>
      <c r="AE519" s="10">
        <f t="shared" si="8"/>
        <v>2.0000000004074536E-3</v>
      </c>
      <c r="AF519" t="s">
        <v>2804</v>
      </c>
      <c r="AG519" t="s">
        <v>2811</v>
      </c>
    </row>
    <row r="520" spans="1:33">
      <c r="A520" t="s">
        <v>327</v>
      </c>
      <c r="B520" s="4">
        <v>45745</v>
      </c>
      <c r="C520" s="4">
        <v>45750</v>
      </c>
      <c r="D520">
        <f>_xlfn.DAYS(C520,B520)</f>
        <v>5</v>
      </c>
      <c r="E520" t="s">
        <v>2804</v>
      </c>
      <c r="F520" t="s">
        <v>328</v>
      </c>
      <c r="G520" t="s">
        <v>132</v>
      </c>
      <c r="H520" t="s">
        <v>90</v>
      </c>
      <c r="I520" t="s">
        <v>38</v>
      </c>
      <c r="J520" t="s">
        <v>99</v>
      </c>
      <c r="K520" t="s">
        <v>100</v>
      </c>
      <c r="L520" t="s">
        <v>41</v>
      </c>
      <c r="M520" t="s">
        <v>158</v>
      </c>
      <c r="N520" t="s">
        <v>329</v>
      </c>
      <c r="O520" t="s">
        <v>50</v>
      </c>
      <c r="P520">
        <v>5</v>
      </c>
      <c r="Q520">
        <v>1425.74</v>
      </c>
      <c r="R520">
        <v>0</v>
      </c>
      <c r="S520">
        <f>IF(ISNUMBER(SEARCH("%",R520)), VALUE(SUBSTITUTE(R520,"%",""))/100,IF(ISNUMBER(R520), R520, 0))</f>
        <v>0</v>
      </c>
      <c r="T520" t="str">
        <f>IF(S520&lt;0,"Negative discount (invalid)",IF(S520&gt;0.5,"Discount above allowed range (invalid)",IF(AND(R520="",S520=0),"Missing discount set to 0","OK")))</f>
        <v>OK</v>
      </c>
      <c r="U520">
        <v>7128.7</v>
      </c>
      <c r="V520">
        <v>4382.1499999999996</v>
      </c>
      <c r="W520">
        <v>2746.55</v>
      </c>
      <c r="X520" t="s">
        <v>32</v>
      </c>
      <c r="Y520" t="s">
        <v>33</v>
      </c>
      <c r="Z520">
        <f>IF(T520="OK",P520*Q520*(1-S520),"invalid")</f>
        <v>7128.7</v>
      </c>
      <c r="AA520">
        <f>IF(Z520="N/A","N/A",Z520-V520)</f>
        <v>2746.55</v>
      </c>
      <c r="AB520" s="8">
        <f>IF(Z520&lt;&gt;"N/A", AA520/Z520, "N/A")</f>
        <v>0.38528062620113068</v>
      </c>
      <c r="AC520">
        <f>MONTH(B520)</f>
        <v>3</v>
      </c>
      <c r="AD520">
        <f>YEAR(B520)</f>
        <v>2025</v>
      </c>
      <c r="AE520" s="10">
        <f t="shared" si="8"/>
        <v>0</v>
      </c>
      <c r="AF520" t="s">
        <v>2804</v>
      </c>
      <c r="AG520" t="s">
        <v>2811</v>
      </c>
    </row>
    <row r="521" spans="1:33">
      <c r="A521" t="s">
        <v>330</v>
      </c>
      <c r="B521" s="4">
        <v>45715</v>
      </c>
      <c r="C521" s="4">
        <v>45717</v>
      </c>
      <c r="D521">
        <f>_xlfn.DAYS(C521,B521)</f>
        <v>2</v>
      </c>
      <c r="E521" t="s">
        <v>2804</v>
      </c>
      <c r="F521" t="s">
        <v>331</v>
      </c>
      <c r="G521" t="s">
        <v>71</v>
      </c>
      <c r="H521" t="s">
        <v>37</v>
      </c>
      <c r="I521" t="s">
        <v>38</v>
      </c>
      <c r="J521" t="s">
        <v>99</v>
      </c>
      <c r="K521" t="s">
        <v>100</v>
      </c>
      <c r="L521" t="s">
        <v>41</v>
      </c>
      <c r="M521" t="s">
        <v>66</v>
      </c>
      <c r="N521" t="s">
        <v>332</v>
      </c>
      <c r="O521" t="s">
        <v>59</v>
      </c>
      <c r="P521">
        <v>6</v>
      </c>
      <c r="Q521">
        <v>551.64</v>
      </c>
      <c r="R521">
        <v>0</v>
      </c>
      <c r="S521">
        <f>IF(ISNUMBER(SEARCH("%",R521)), VALUE(SUBSTITUTE(R521,"%",""))/100,IF(ISNUMBER(R521), R521, 0))</f>
        <v>0</v>
      </c>
      <c r="T521" t="str">
        <f>IF(S521&lt;0,"Negative discount (invalid)",IF(S521&gt;0.5,"Discount above allowed range (invalid)",IF(AND(R521="",S521=0),"Missing discount set to 0","OK")))</f>
        <v>OK</v>
      </c>
      <c r="U521">
        <v>3309.84</v>
      </c>
      <c r="V521">
        <v>2671.08</v>
      </c>
      <c r="W521">
        <v>638.76</v>
      </c>
      <c r="X521" t="s">
        <v>32</v>
      </c>
      <c r="Y521" t="s">
        <v>33</v>
      </c>
      <c r="Z521">
        <f>IF(T521="OK",P521*Q521*(1-S521),"invalid")</f>
        <v>3309.84</v>
      </c>
      <c r="AA521">
        <f>IF(Z521="N/A","N/A",Z521-V521)</f>
        <v>638.76000000000022</v>
      </c>
      <c r="AB521" s="8">
        <f>IF(Z521&lt;&gt;"N/A", AA521/Z521, "N/A")</f>
        <v>0.19298818069755644</v>
      </c>
      <c r="AC521">
        <f>MONTH(B521)</f>
        <v>2</v>
      </c>
      <c r="AD521">
        <f>YEAR(B521)</f>
        <v>2025</v>
      </c>
      <c r="AE521" s="10">
        <f t="shared" si="8"/>
        <v>0</v>
      </c>
      <c r="AF521" t="s">
        <v>2804</v>
      </c>
      <c r="AG521" t="s">
        <v>2811</v>
      </c>
    </row>
    <row r="522" spans="1:33">
      <c r="A522" t="s">
        <v>333</v>
      </c>
      <c r="B522" s="4">
        <v>45891</v>
      </c>
      <c r="C522" s="4">
        <v>45896</v>
      </c>
      <c r="D522">
        <f>_xlfn.DAYS(C522,B522)</f>
        <v>5</v>
      </c>
      <c r="E522" t="s">
        <v>2804</v>
      </c>
      <c r="F522" t="s">
        <v>334</v>
      </c>
      <c r="G522" t="s">
        <v>114</v>
      </c>
      <c r="H522" t="s">
        <v>37</v>
      </c>
      <c r="I522" t="s">
        <v>38</v>
      </c>
      <c r="J522" t="s">
        <v>39</v>
      </c>
      <c r="K522" t="s">
        <v>40</v>
      </c>
      <c r="L522" t="s">
        <v>28</v>
      </c>
      <c r="M522" t="s">
        <v>91</v>
      </c>
      <c r="N522" t="s">
        <v>335</v>
      </c>
      <c r="O522" t="s">
        <v>50</v>
      </c>
      <c r="P522">
        <v>3</v>
      </c>
      <c r="Q522">
        <v>3294.82</v>
      </c>
      <c r="R522">
        <v>0.2</v>
      </c>
      <c r="S522">
        <f>IF(ISNUMBER(SEARCH("%",R522)), VALUE(SUBSTITUTE(R522,"%",""))/100,IF(ISNUMBER(R522), R522, 0))</f>
        <v>0.2</v>
      </c>
      <c r="T522" t="str">
        <f>IF(S522&lt;0,"Negative discount (invalid)",IF(S522&gt;0.5,"Discount above allowed range (invalid)",IF(AND(R522="",S522=0),"Missing discount set to 0","OK")))</f>
        <v>OK</v>
      </c>
      <c r="U522">
        <v>7907.57</v>
      </c>
      <c r="V522">
        <v>5391.18</v>
      </c>
      <c r="W522">
        <v>2516.39</v>
      </c>
      <c r="X522" t="s">
        <v>32</v>
      </c>
      <c r="Y522" t="s">
        <v>33</v>
      </c>
      <c r="Z522">
        <f>IF(T522="OK",P522*Q522*(1-S522),"invalid")</f>
        <v>7907.5680000000011</v>
      </c>
      <c r="AA522">
        <f>IF(Z522="N/A","N/A",Z522-V522)</f>
        <v>2516.3880000000008</v>
      </c>
      <c r="AB522" s="8">
        <f>IF(Z522&lt;&gt;"N/A", AA522/Z522, "N/A")</f>
        <v>0.31822527482533197</v>
      </c>
      <c r="AC522">
        <f>MONTH(B522)</f>
        <v>8</v>
      </c>
      <c r="AD522">
        <f>YEAR(B522)</f>
        <v>2025</v>
      </c>
      <c r="AE522" s="10">
        <f t="shared" si="8"/>
        <v>1.9999999985884642E-3</v>
      </c>
      <c r="AF522" t="s">
        <v>2804</v>
      </c>
      <c r="AG522" t="s">
        <v>2811</v>
      </c>
    </row>
    <row r="523" spans="1:33">
      <c r="A523" t="s">
        <v>339</v>
      </c>
      <c r="B523" s="4">
        <v>45846</v>
      </c>
      <c r="C523" s="4">
        <v>45850</v>
      </c>
      <c r="D523">
        <f>_xlfn.DAYS(C523,B523)</f>
        <v>4</v>
      </c>
      <c r="E523" t="s">
        <v>2804</v>
      </c>
      <c r="F523" t="s">
        <v>340</v>
      </c>
      <c r="G523" t="s">
        <v>141</v>
      </c>
      <c r="H523" t="s">
        <v>95</v>
      </c>
      <c r="I523" t="s">
        <v>25</v>
      </c>
      <c r="J523" t="s">
        <v>136</v>
      </c>
      <c r="K523" t="s">
        <v>137</v>
      </c>
      <c r="L523" t="s">
        <v>41</v>
      </c>
      <c r="M523" t="s">
        <v>57</v>
      </c>
      <c r="N523" t="s">
        <v>341</v>
      </c>
      <c r="O523" t="s">
        <v>59</v>
      </c>
      <c r="P523">
        <v>1</v>
      </c>
      <c r="Q523">
        <v>2582.1999999999998</v>
      </c>
      <c r="R523">
        <v>0.15</v>
      </c>
      <c r="S523">
        <f>IF(ISNUMBER(SEARCH("%",R523)), VALUE(SUBSTITUTE(R523,"%",""))/100,IF(ISNUMBER(R523), R523, 0))</f>
        <v>0.15</v>
      </c>
      <c r="T523" t="str">
        <f>IF(S523&lt;0,"Negative discount (invalid)",IF(S523&gt;0.5,"Discount above allowed range (invalid)",IF(AND(R523="",S523=0),"Missing discount set to 0","OK")))</f>
        <v>OK</v>
      </c>
      <c r="U523">
        <v>2194.87</v>
      </c>
      <c r="V523">
        <v>1223.17</v>
      </c>
      <c r="W523">
        <v>971.7</v>
      </c>
      <c r="X523" t="s">
        <v>102</v>
      </c>
      <c r="Y523" t="s">
        <v>68</v>
      </c>
      <c r="Z523">
        <f>IF(T523="OK",P523*Q523*(1-S523),"invalid")</f>
        <v>2194.87</v>
      </c>
      <c r="AA523">
        <f>IF(Z523="N/A","N/A",Z523-V523)</f>
        <v>971.69999999999982</v>
      </c>
      <c r="AB523" s="8">
        <f>IF(Z523&lt;&gt;"N/A", AA523/Z523, "N/A")</f>
        <v>0.44271414707932583</v>
      </c>
      <c r="AC523">
        <f>MONTH(B523)</f>
        <v>7</v>
      </c>
      <c r="AD523">
        <f>YEAR(B523)</f>
        <v>2025</v>
      </c>
      <c r="AE523" s="10">
        <f t="shared" si="8"/>
        <v>0</v>
      </c>
      <c r="AF523" t="s">
        <v>2804</v>
      </c>
      <c r="AG523" t="s">
        <v>2811</v>
      </c>
    </row>
    <row r="524" spans="1:33">
      <c r="A524" t="s">
        <v>342</v>
      </c>
      <c r="B524" s="4">
        <v>45854</v>
      </c>
      <c r="C524" s="4">
        <v>45859</v>
      </c>
      <c r="D524">
        <f>_xlfn.DAYS(C524,B524)</f>
        <v>5</v>
      </c>
      <c r="E524" t="s">
        <v>2804</v>
      </c>
      <c r="F524" t="s">
        <v>343</v>
      </c>
      <c r="G524" t="s">
        <v>132</v>
      </c>
      <c r="H524" t="s">
        <v>90</v>
      </c>
      <c r="I524" t="s">
        <v>38</v>
      </c>
      <c r="J524" t="s">
        <v>99</v>
      </c>
      <c r="K524" t="s">
        <v>100</v>
      </c>
      <c r="L524" t="s">
        <v>41</v>
      </c>
      <c r="M524" t="s">
        <v>42</v>
      </c>
      <c r="N524" t="s">
        <v>344</v>
      </c>
      <c r="O524" t="s">
        <v>50</v>
      </c>
      <c r="P524">
        <v>5</v>
      </c>
      <c r="Q524">
        <v>2129.5100000000002</v>
      </c>
      <c r="R524">
        <v>0.15</v>
      </c>
      <c r="S524">
        <f>IF(ISNUMBER(SEARCH("%",R524)), VALUE(SUBSTITUTE(R524,"%",""))/100,IF(ISNUMBER(R524), R524, 0))</f>
        <v>0.15</v>
      </c>
      <c r="T524" t="str">
        <f>IF(S524&lt;0,"Negative discount (invalid)",IF(S524&gt;0.5,"Discount above allowed range (invalid)",IF(AND(R524="",S524=0),"Missing discount set to 0","OK")))</f>
        <v>OK</v>
      </c>
      <c r="U524">
        <v>9050.42</v>
      </c>
      <c r="V524">
        <v>6778.85</v>
      </c>
      <c r="W524">
        <v>2271.5700000000002</v>
      </c>
      <c r="X524" t="s">
        <v>32</v>
      </c>
      <c r="Y524" t="s">
        <v>33</v>
      </c>
      <c r="Z524">
        <f>IF(T524="OK",P524*Q524*(1-S524),"invalid")</f>
        <v>9050.4175000000014</v>
      </c>
      <c r="AA524">
        <f>IF(Z524="N/A","N/A",Z524-V524)</f>
        <v>2271.567500000001</v>
      </c>
      <c r="AB524" s="8">
        <f>IF(Z524&lt;&gt;"N/A", AA524/Z524, "N/A")</f>
        <v>0.25099035486484472</v>
      </c>
      <c r="AC524">
        <f>MONTH(B524)</f>
        <v>7</v>
      </c>
      <c r="AD524">
        <f>YEAR(B524)</f>
        <v>2025</v>
      </c>
      <c r="AE524" s="10">
        <f t="shared" si="8"/>
        <v>2.4999999986903276E-3</v>
      </c>
      <c r="AF524" t="s">
        <v>2804</v>
      </c>
      <c r="AG524" t="s">
        <v>2811</v>
      </c>
    </row>
    <row r="525" spans="1:33">
      <c r="A525" t="s">
        <v>345</v>
      </c>
      <c r="B525" s="4">
        <v>45927</v>
      </c>
      <c r="C525" s="4">
        <v>45933</v>
      </c>
      <c r="D525">
        <f>_xlfn.DAYS(C525,B525)</f>
        <v>6</v>
      </c>
      <c r="E525" t="s">
        <v>2804</v>
      </c>
      <c r="F525" t="s">
        <v>346</v>
      </c>
      <c r="G525" t="s">
        <v>162</v>
      </c>
      <c r="H525" t="s">
        <v>95</v>
      </c>
      <c r="I525" t="s">
        <v>54</v>
      </c>
      <c r="J525" t="s">
        <v>247</v>
      </c>
      <c r="K525" t="s">
        <v>248</v>
      </c>
      <c r="L525" t="s">
        <v>41</v>
      </c>
      <c r="M525" t="s">
        <v>66</v>
      </c>
      <c r="N525" t="s">
        <v>347</v>
      </c>
      <c r="O525" t="s">
        <v>44</v>
      </c>
      <c r="P525">
        <v>9</v>
      </c>
      <c r="Q525">
        <v>4131.5200000000004</v>
      </c>
      <c r="R525">
        <v>0.1</v>
      </c>
      <c r="S525">
        <f>IF(ISNUMBER(SEARCH("%",R525)), VALUE(SUBSTITUTE(R525,"%",""))/100,IF(ISNUMBER(R525), R525, 0))</f>
        <v>0.1</v>
      </c>
      <c r="T525" t="str">
        <f>IF(S525&lt;0,"Negative discount (invalid)",IF(S525&gt;0.5,"Discount above allowed range (invalid)",IF(AND(R525="",S525=0),"Missing discount set to 0","OK")))</f>
        <v>OK</v>
      </c>
      <c r="U525">
        <v>33465.31</v>
      </c>
      <c r="V525">
        <v>24781.26</v>
      </c>
      <c r="W525">
        <v>8684.0499999999993</v>
      </c>
      <c r="X525" t="s">
        <v>32</v>
      </c>
      <c r="Y525" t="s">
        <v>33</v>
      </c>
      <c r="Z525">
        <f>IF(T525="OK",P525*Q525*(1-S525),"invalid")</f>
        <v>33465.312000000005</v>
      </c>
      <c r="AA525">
        <f>IF(Z525="N/A","N/A",Z525-V525)</f>
        <v>8684.052000000007</v>
      </c>
      <c r="AB525" s="8">
        <f>IF(Z525&lt;&gt;"N/A", AA525/Z525, "N/A")</f>
        <v>0.25949412932411942</v>
      </c>
      <c r="AC525">
        <f>MONTH(B525)</f>
        <v>9</v>
      </c>
      <c r="AD525">
        <f>YEAR(B525)</f>
        <v>2025</v>
      </c>
      <c r="AE525" s="10">
        <f t="shared" si="8"/>
        <v>2.0000000076834112E-3</v>
      </c>
      <c r="AF525" t="s">
        <v>2804</v>
      </c>
      <c r="AG525" t="s">
        <v>2811</v>
      </c>
    </row>
    <row r="526" spans="1:33">
      <c r="A526" t="s">
        <v>353</v>
      </c>
      <c r="B526" s="4">
        <v>45732</v>
      </c>
      <c r="C526" s="4">
        <v>45733</v>
      </c>
      <c r="D526">
        <f>_xlfn.DAYS(C526,B526)</f>
        <v>1</v>
      </c>
      <c r="E526" t="s">
        <v>2804</v>
      </c>
      <c r="F526" t="s">
        <v>354</v>
      </c>
      <c r="G526" t="s">
        <v>23</v>
      </c>
      <c r="H526" t="s">
        <v>95</v>
      </c>
      <c r="I526" t="s">
        <v>63</v>
      </c>
      <c r="J526" t="s">
        <v>190</v>
      </c>
      <c r="K526" t="s">
        <v>191</v>
      </c>
      <c r="L526" t="s">
        <v>28</v>
      </c>
      <c r="M526" t="s">
        <v>91</v>
      </c>
      <c r="N526" t="s">
        <v>355</v>
      </c>
      <c r="O526" t="s">
        <v>44</v>
      </c>
      <c r="P526">
        <v>3</v>
      </c>
      <c r="Q526">
        <v>1841.91</v>
      </c>
      <c r="R526">
        <v>0</v>
      </c>
      <c r="S526">
        <f>IF(ISNUMBER(SEARCH("%",R526)), VALUE(SUBSTITUTE(R526,"%",""))/100,IF(ISNUMBER(R526), R526, 0))</f>
        <v>0</v>
      </c>
      <c r="T526" t="str">
        <f>IF(S526&lt;0,"Negative discount (invalid)",IF(S526&gt;0.5,"Discount above allowed range (invalid)",IF(AND(R526="",S526=0),"Missing discount set to 0","OK")))</f>
        <v>OK</v>
      </c>
      <c r="U526">
        <v>5525.73</v>
      </c>
      <c r="V526">
        <v>3093.42</v>
      </c>
      <c r="W526">
        <v>2432.31</v>
      </c>
      <c r="X526" t="s">
        <v>32</v>
      </c>
      <c r="Y526" t="s">
        <v>33</v>
      </c>
      <c r="Z526">
        <f>IF(T526="OK",P526*Q526*(1-S526),"invalid")</f>
        <v>5525.7300000000005</v>
      </c>
      <c r="AA526">
        <f>IF(Z526="N/A","N/A",Z526-V526)</f>
        <v>2432.3100000000004</v>
      </c>
      <c r="AB526" s="8">
        <f>IF(Z526&lt;&gt;"N/A", AA526/Z526, "N/A")</f>
        <v>0.44017894468242208</v>
      </c>
      <c r="AC526">
        <f>MONTH(B526)</f>
        <v>3</v>
      </c>
      <c r="AD526">
        <f>YEAR(B526)</f>
        <v>2025</v>
      </c>
      <c r="AE526" s="10">
        <f t="shared" si="8"/>
        <v>9.0949470177292824E-13</v>
      </c>
      <c r="AF526" t="s">
        <v>2804</v>
      </c>
      <c r="AG526" t="s">
        <v>2811</v>
      </c>
    </row>
    <row r="527" spans="1:33">
      <c r="A527" t="s">
        <v>380</v>
      </c>
      <c r="B527" s="4">
        <v>45893</v>
      </c>
      <c r="C527" s="4">
        <v>45898</v>
      </c>
      <c r="D527">
        <f>_xlfn.DAYS(C527,B527)</f>
        <v>5</v>
      </c>
      <c r="E527" t="s">
        <v>2804</v>
      </c>
      <c r="F527" t="s">
        <v>381</v>
      </c>
      <c r="G527" t="s">
        <v>128</v>
      </c>
      <c r="H527" t="s">
        <v>37</v>
      </c>
      <c r="I527" t="s">
        <v>38</v>
      </c>
      <c r="J527" t="s">
        <v>145</v>
      </c>
      <c r="K527" t="s">
        <v>146</v>
      </c>
      <c r="L527" t="s">
        <v>74</v>
      </c>
      <c r="M527" t="s">
        <v>80</v>
      </c>
      <c r="N527" t="s">
        <v>382</v>
      </c>
      <c r="O527" t="s">
        <v>50</v>
      </c>
      <c r="P527">
        <v>3</v>
      </c>
      <c r="Q527">
        <v>3703.96</v>
      </c>
      <c r="R527">
        <v>0.15</v>
      </c>
      <c r="S527">
        <f>IF(ISNUMBER(SEARCH("%",R527)), VALUE(SUBSTITUTE(R527,"%",""))/100,IF(ISNUMBER(R527), R527, 0))</f>
        <v>0.15</v>
      </c>
      <c r="T527" t="str">
        <f>IF(S527&lt;0,"Negative discount (invalid)",IF(S527&gt;0.5,"Discount above allowed range (invalid)",IF(AND(R527="",S527=0),"Missing discount set to 0","OK")))</f>
        <v>OK</v>
      </c>
      <c r="U527">
        <v>9445.1</v>
      </c>
      <c r="V527">
        <v>5586.28</v>
      </c>
      <c r="W527">
        <v>3858.82</v>
      </c>
      <c r="X527" t="s">
        <v>32</v>
      </c>
      <c r="Y527" t="s">
        <v>33</v>
      </c>
      <c r="Z527">
        <f>IF(T527="OK",P527*Q527*(1-S527),"invalid")</f>
        <v>9445.098</v>
      </c>
      <c r="AA527">
        <f>IF(Z527="N/A","N/A",Z527-V527)</f>
        <v>3858.8180000000002</v>
      </c>
      <c r="AB527" s="8">
        <f>IF(Z527&lt;&gt;"N/A", AA527/Z527, "N/A")</f>
        <v>0.40855245758170006</v>
      </c>
      <c r="AC527">
        <f>MONTH(B527)</f>
        <v>8</v>
      </c>
      <c r="AD527">
        <f>YEAR(B527)</f>
        <v>2025</v>
      </c>
      <c r="AE527" s="10">
        <f t="shared" si="8"/>
        <v>2.0000000004074536E-3</v>
      </c>
      <c r="AF527" t="s">
        <v>2804</v>
      </c>
      <c r="AG527" t="s">
        <v>2811</v>
      </c>
    </row>
    <row r="528" spans="1:33">
      <c r="A528" t="s">
        <v>380</v>
      </c>
      <c r="B528" s="4">
        <v>45893</v>
      </c>
      <c r="C528" s="4">
        <v>45898</v>
      </c>
      <c r="D528">
        <f>_xlfn.DAYS(C528,B528)</f>
        <v>5</v>
      </c>
      <c r="E528" t="s">
        <v>2804</v>
      </c>
      <c r="F528" t="s">
        <v>381</v>
      </c>
      <c r="G528" t="s">
        <v>128</v>
      </c>
      <c r="H528" t="s">
        <v>37</v>
      </c>
      <c r="I528" t="s">
        <v>38</v>
      </c>
      <c r="J528" t="s">
        <v>145</v>
      </c>
      <c r="K528" t="s">
        <v>146</v>
      </c>
      <c r="L528" t="s">
        <v>74</v>
      </c>
      <c r="M528" t="s">
        <v>80</v>
      </c>
      <c r="N528" t="s">
        <v>382</v>
      </c>
      <c r="O528" t="s">
        <v>50</v>
      </c>
      <c r="P528">
        <v>3</v>
      </c>
      <c r="Q528">
        <v>3703.96</v>
      </c>
      <c r="R528">
        <v>0.15</v>
      </c>
      <c r="S528">
        <f>IF(ISNUMBER(SEARCH("%",R528)), VALUE(SUBSTITUTE(R528,"%",""))/100,IF(ISNUMBER(R528), R528, 0))</f>
        <v>0.15</v>
      </c>
      <c r="T528" t="str">
        <f>IF(S528&lt;0,"Negative discount (invalid)",IF(S528&gt;0.5,"Discount above allowed range (invalid)",IF(AND(R528="",S528=0),"Missing discount set to 0","OK")))</f>
        <v>OK</v>
      </c>
      <c r="U528">
        <v>9549.44</v>
      </c>
      <c r="V528">
        <v>5586.28</v>
      </c>
      <c r="W528">
        <v>3858.82</v>
      </c>
      <c r="X528" t="s">
        <v>32</v>
      </c>
      <c r="Y528" t="s">
        <v>103</v>
      </c>
      <c r="Z528">
        <f>IF(T528="OK",P528*Q528*(1-S528),"invalid")</f>
        <v>9445.098</v>
      </c>
      <c r="AA528">
        <f>IF(Z528="N/A","N/A",Z528-V528)</f>
        <v>3858.8180000000002</v>
      </c>
      <c r="AB528" s="8">
        <f>IF(Z528&lt;&gt;"N/A", AA528/Z528, "N/A")</f>
        <v>0.40855245758170006</v>
      </c>
      <c r="AC528">
        <f>MONTH(B528)</f>
        <v>8</v>
      </c>
      <c r="AD528">
        <f>YEAR(B528)</f>
        <v>2025</v>
      </c>
      <c r="AE528" s="10">
        <f t="shared" si="8"/>
        <v>104.34200000000055</v>
      </c>
      <c r="AF528" t="s">
        <v>2807</v>
      </c>
      <c r="AG528" t="s">
        <v>2789</v>
      </c>
    </row>
    <row r="529" spans="1:33">
      <c r="A529" t="s">
        <v>383</v>
      </c>
      <c r="B529" s="4">
        <v>45718</v>
      </c>
      <c r="C529" s="4">
        <v>45724</v>
      </c>
      <c r="D529">
        <f>_xlfn.DAYS(C529,B529)</f>
        <v>6</v>
      </c>
      <c r="E529" t="s">
        <v>2804</v>
      </c>
      <c r="F529" t="s">
        <v>384</v>
      </c>
      <c r="G529" t="s">
        <v>132</v>
      </c>
      <c r="H529" t="s">
        <v>90</v>
      </c>
      <c r="I529" t="s">
        <v>63</v>
      </c>
      <c r="J529" t="s">
        <v>72</v>
      </c>
      <c r="K529" t="s">
        <v>73</v>
      </c>
      <c r="L529" t="s">
        <v>74</v>
      </c>
      <c r="M529" t="s">
        <v>80</v>
      </c>
      <c r="N529" t="s">
        <v>385</v>
      </c>
      <c r="O529" t="s">
        <v>31</v>
      </c>
      <c r="P529">
        <v>9</v>
      </c>
      <c r="Q529">
        <v>269.68</v>
      </c>
      <c r="R529">
        <v>0</v>
      </c>
      <c r="S529">
        <f>IF(ISNUMBER(SEARCH("%",R529)), VALUE(SUBSTITUTE(R529,"%",""))/100,IF(ISNUMBER(R529), R529, 0))</f>
        <v>0</v>
      </c>
      <c r="T529" t="str">
        <f>IF(S529&lt;0,"Negative discount (invalid)",IF(S529&gt;0.5,"Discount above allowed range (invalid)",IF(AND(R529="",S529=0),"Missing discount set to 0","OK")))</f>
        <v>OK</v>
      </c>
      <c r="U529">
        <v>2427.12</v>
      </c>
      <c r="V529">
        <v>1538.35</v>
      </c>
      <c r="W529">
        <v>804.53</v>
      </c>
      <c r="X529" t="s">
        <v>32</v>
      </c>
      <c r="Y529" t="s">
        <v>33</v>
      </c>
      <c r="Z529">
        <f>IF(T529="OK",P529*Q529*(1-S529),"invalid")</f>
        <v>2427.12</v>
      </c>
      <c r="AA529">
        <f>IF(Z529="N/A","N/A",Z529-V529)</f>
        <v>888.77</v>
      </c>
      <c r="AB529" s="8">
        <f>IF(Z529&lt;&gt;"N/A", AA529/Z529, "N/A")</f>
        <v>0.36618296581957216</v>
      </c>
      <c r="AC529">
        <f>MONTH(B529)</f>
        <v>3</v>
      </c>
      <c r="AD529">
        <f>YEAR(B529)</f>
        <v>2025</v>
      </c>
      <c r="AE529" s="10">
        <f t="shared" si="8"/>
        <v>0</v>
      </c>
      <c r="AF529" t="s">
        <v>2804</v>
      </c>
      <c r="AG529" t="s">
        <v>2811</v>
      </c>
    </row>
    <row r="530" spans="1:33">
      <c r="A530" t="s">
        <v>386</v>
      </c>
      <c r="B530" s="4">
        <v>45680</v>
      </c>
      <c r="C530" s="4">
        <v>45683</v>
      </c>
      <c r="D530">
        <f>_xlfn.DAYS(C530,B530)</f>
        <v>3</v>
      </c>
      <c r="E530" t="s">
        <v>2804</v>
      </c>
      <c r="F530" t="s">
        <v>387</v>
      </c>
      <c r="G530" t="s">
        <v>128</v>
      </c>
      <c r="H530" t="s">
        <v>24</v>
      </c>
      <c r="I530" t="s">
        <v>63</v>
      </c>
      <c r="J530" t="s">
        <v>72</v>
      </c>
      <c r="K530" t="s">
        <v>73</v>
      </c>
      <c r="L530" t="s">
        <v>28</v>
      </c>
      <c r="M530" t="s">
        <v>29</v>
      </c>
      <c r="N530" t="s">
        <v>388</v>
      </c>
      <c r="O530" t="s">
        <v>59</v>
      </c>
      <c r="P530">
        <v>9</v>
      </c>
      <c r="Q530">
        <v>4458.26</v>
      </c>
      <c r="R530">
        <v>0.1</v>
      </c>
      <c r="S530">
        <f>IF(ISNUMBER(SEARCH("%",R530)), VALUE(SUBSTITUTE(R530,"%",""))/100,IF(ISNUMBER(R530), R530, 0))</f>
        <v>0.1</v>
      </c>
      <c r="T530" t="str">
        <f>IF(S530&lt;0,"Negative discount (invalid)",IF(S530&gt;0.5,"Discount above allowed range (invalid)",IF(AND(R530="",S530=0),"Missing discount set to 0","OK")))</f>
        <v>OK</v>
      </c>
      <c r="U530">
        <v>36111.910000000003</v>
      </c>
      <c r="V530">
        <v>29194.5</v>
      </c>
      <c r="W530">
        <v>6917.41</v>
      </c>
      <c r="X530" t="s">
        <v>32</v>
      </c>
      <c r="Y530" t="s">
        <v>33</v>
      </c>
      <c r="Z530">
        <f>IF(T530="OK",P530*Q530*(1-S530),"invalid")</f>
        <v>36111.906000000003</v>
      </c>
      <c r="AA530">
        <f>IF(Z530="N/A","N/A",Z530-V530)</f>
        <v>6917.4060000000027</v>
      </c>
      <c r="AB530" s="8">
        <f>IF(Z530&lt;&gt;"N/A", AA530/Z530, "N/A")</f>
        <v>0.19155471882320479</v>
      </c>
      <c r="AC530">
        <f>MONTH(B530)</f>
        <v>1</v>
      </c>
      <c r="AD530">
        <f>YEAR(B530)</f>
        <v>2025</v>
      </c>
      <c r="AE530" s="10">
        <f t="shared" si="8"/>
        <v>4.0000000008149073E-3</v>
      </c>
      <c r="AF530" t="s">
        <v>2804</v>
      </c>
      <c r="AG530" t="s">
        <v>2811</v>
      </c>
    </row>
    <row r="531" spans="1:33">
      <c r="A531" t="s">
        <v>395</v>
      </c>
      <c r="B531" s="4">
        <v>45905</v>
      </c>
      <c r="C531" s="4">
        <v>45910</v>
      </c>
      <c r="D531">
        <f>_xlfn.DAYS(C531,B531)</f>
        <v>5</v>
      </c>
      <c r="E531" t="s">
        <v>2804</v>
      </c>
      <c r="F531" t="s">
        <v>396</v>
      </c>
      <c r="G531" t="s">
        <v>132</v>
      </c>
      <c r="H531" t="s">
        <v>90</v>
      </c>
      <c r="I531" t="s">
        <v>63</v>
      </c>
      <c r="J531" t="s">
        <v>190</v>
      </c>
      <c r="K531" t="s">
        <v>191</v>
      </c>
      <c r="L531" t="s">
        <v>41</v>
      </c>
      <c r="M531" t="s">
        <v>158</v>
      </c>
      <c r="N531" t="s">
        <v>397</v>
      </c>
      <c r="O531" t="s">
        <v>44</v>
      </c>
      <c r="P531">
        <v>6</v>
      </c>
      <c r="Q531">
        <v>1754.13</v>
      </c>
      <c r="R531">
        <v>0</v>
      </c>
      <c r="S531">
        <f>IF(ISNUMBER(SEARCH("%",R531)), VALUE(SUBSTITUTE(R531,"%",""))/100,IF(ISNUMBER(R531), R531, 0))</f>
        <v>0</v>
      </c>
      <c r="T531" t="str">
        <f>IF(S531&lt;0,"Negative discount (invalid)",IF(S531&gt;0.5,"Discount above allowed range (invalid)",IF(AND(R531="",S531=0),"Missing discount set to 0","OK")))</f>
        <v>OK</v>
      </c>
      <c r="U531">
        <v>10524.78</v>
      </c>
      <c r="V531">
        <v>8841.0499999999993</v>
      </c>
      <c r="W531">
        <v>1683.73</v>
      </c>
      <c r="X531" t="s">
        <v>32</v>
      </c>
      <c r="Y531" t="s">
        <v>33</v>
      </c>
      <c r="Z531">
        <f>IF(T531="OK",P531*Q531*(1-S531),"invalid")</f>
        <v>10524.78</v>
      </c>
      <c r="AA531">
        <f>IF(Z531="N/A","N/A",Z531-V531)</f>
        <v>1683.7300000000014</v>
      </c>
      <c r="AB531" s="8">
        <f>IF(Z531&lt;&gt;"N/A", AA531/Z531, "N/A")</f>
        <v>0.15997769074507984</v>
      </c>
      <c r="AC531">
        <f>MONTH(B531)</f>
        <v>9</v>
      </c>
      <c r="AD531">
        <f>YEAR(B531)</f>
        <v>2025</v>
      </c>
      <c r="AE531" s="10">
        <f t="shared" si="8"/>
        <v>0</v>
      </c>
      <c r="AF531" t="s">
        <v>2804</v>
      </c>
      <c r="AG531" t="s">
        <v>2811</v>
      </c>
    </row>
    <row r="532" spans="1:33">
      <c r="A532" t="s">
        <v>401</v>
      </c>
      <c r="B532" s="4">
        <v>45877</v>
      </c>
      <c r="C532" s="4">
        <v>45880</v>
      </c>
      <c r="D532">
        <f>_xlfn.DAYS(C532,B532)</f>
        <v>3</v>
      </c>
      <c r="E532" t="s">
        <v>2804</v>
      </c>
      <c r="F532" t="s">
        <v>402</v>
      </c>
      <c r="G532" t="s">
        <v>162</v>
      </c>
      <c r="H532" t="s">
        <v>37</v>
      </c>
      <c r="I532" t="s">
        <v>63</v>
      </c>
      <c r="J532" t="s">
        <v>180</v>
      </c>
      <c r="K532" t="s">
        <v>181</v>
      </c>
      <c r="L532" t="s">
        <v>28</v>
      </c>
      <c r="M532" t="s">
        <v>124</v>
      </c>
      <c r="N532" t="s">
        <v>403</v>
      </c>
      <c r="O532" t="s">
        <v>44</v>
      </c>
      <c r="P532">
        <v>5</v>
      </c>
      <c r="Q532">
        <v>3602.36</v>
      </c>
      <c r="R532">
        <v>0.2</v>
      </c>
      <c r="S532">
        <f>IF(ISNUMBER(SEARCH("%",R532)), VALUE(SUBSTITUTE(R532,"%",""))/100,IF(ISNUMBER(R532), R532, 0))</f>
        <v>0.2</v>
      </c>
      <c r="T532" t="str">
        <f>IF(S532&lt;0,"Negative discount (invalid)",IF(S532&gt;0.5,"Discount above allowed range (invalid)",IF(AND(R532="",S532=0),"Missing discount set to 0","OK")))</f>
        <v>OK</v>
      </c>
      <c r="U532">
        <v>14409.44</v>
      </c>
      <c r="V532">
        <v>8809.9699999999993</v>
      </c>
      <c r="W532">
        <v>5599.47</v>
      </c>
      <c r="X532" t="s">
        <v>111</v>
      </c>
      <c r="Y532" t="s">
        <v>103</v>
      </c>
      <c r="Z532">
        <f>IF(T532="OK",P532*Q532*(1-S532),"invalid")</f>
        <v>14409.44</v>
      </c>
      <c r="AA532">
        <f>IF(Z532="N/A","N/A",Z532-V532)</f>
        <v>5599.4700000000012</v>
      </c>
      <c r="AB532" s="8">
        <f>IF(Z532&lt;&gt;"N/A", AA532/Z532, "N/A")</f>
        <v>0.38859733619071951</v>
      </c>
      <c r="AC532">
        <f>MONTH(B532)</f>
        <v>8</v>
      </c>
      <c r="AD532">
        <f>YEAR(B532)</f>
        <v>2025</v>
      </c>
      <c r="AE532" s="10">
        <f t="shared" si="8"/>
        <v>0</v>
      </c>
      <c r="AF532" t="s">
        <v>2804</v>
      </c>
      <c r="AG532" t="s">
        <v>2811</v>
      </c>
    </row>
    <row r="533" spans="1:33">
      <c r="A533" t="s">
        <v>407</v>
      </c>
      <c r="B533" s="4">
        <v>45668</v>
      </c>
      <c r="C533" s="4">
        <v>45668</v>
      </c>
      <c r="D533">
        <f>_xlfn.DAYS(C533,B533)</f>
        <v>0</v>
      </c>
      <c r="E533" t="s">
        <v>2804</v>
      </c>
      <c r="F533" t="s">
        <v>408</v>
      </c>
      <c r="G533" t="s">
        <v>89</v>
      </c>
      <c r="H533" t="s">
        <v>37</v>
      </c>
      <c r="I533" t="s">
        <v>63</v>
      </c>
      <c r="J533" t="s">
        <v>26</v>
      </c>
      <c r="K533" t="s">
        <v>109</v>
      </c>
      <c r="L533" t="s">
        <v>74</v>
      </c>
      <c r="M533" t="s">
        <v>75</v>
      </c>
      <c r="N533" t="s">
        <v>409</v>
      </c>
      <c r="O533" t="s">
        <v>44</v>
      </c>
      <c r="P533">
        <v>3</v>
      </c>
      <c r="Q533">
        <v>2165.29</v>
      </c>
      <c r="R533">
        <v>0</v>
      </c>
      <c r="S533">
        <f>IF(ISNUMBER(SEARCH("%",R533)), VALUE(SUBSTITUTE(R533,"%",""))/100,IF(ISNUMBER(R533), R533, 0))</f>
        <v>0</v>
      </c>
      <c r="T533" t="str">
        <f>IF(S533&lt;0,"Negative discount (invalid)",IF(S533&gt;0.5,"Discount above allowed range (invalid)",IF(AND(R533="",S533=0),"Missing discount set to 0","OK")))</f>
        <v>OK</v>
      </c>
      <c r="U533">
        <v>6495.87</v>
      </c>
      <c r="V533">
        <v>4700.8900000000003</v>
      </c>
      <c r="W533">
        <v>1794.98</v>
      </c>
      <c r="X533" t="s">
        <v>32</v>
      </c>
      <c r="Y533" t="s">
        <v>33</v>
      </c>
      <c r="Z533">
        <f>IF(T533="OK",P533*Q533*(1-S533),"invalid")</f>
        <v>6495.87</v>
      </c>
      <c r="AA533">
        <f>IF(Z533="N/A","N/A",Z533-V533)</f>
        <v>1794.9799999999996</v>
      </c>
      <c r="AB533" s="8">
        <f>IF(Z533&lt;&gt;"N/A", AA533/Z533, "N/A")</f>
        <v>0.27632634273777024</v>
      </c>
      <c r="AC533">
        <f>MONTH(B533)</f>
        <v>1</v>
      </c>
      <c r="AD533">
        <f>YEAR(B533)</f>
        <v>2025</v>
      </c>
      <c r="AE533" s="10">
        <f t="shared" si="8"/>
        <v>0</v>
      </c>
      <c r="AF533" t="s">
        <v>2804</v>
      </c>
      <c r="AG533" t="s">
        <v>2811</v>
      </c>
    </row>
    <row r="534" spans="1:33">
      <c r="A534" t="s">
        <v>410</v>
      </c>
      <c r="B534" s="4">
        <v>45912</v>
      </c>
      <c r="C534" s="4">
        <v>45918</v>
      </c>
      <c r="D534">
        <f>_xlfn.DAYS(C534,B534)</f>
        <v>6</v>
      </c>
      <c r="E534" t="s">
        <v>2804</v>
      </c>
      <c r="F534" t="s">
        <v>411</v>
      </c>
      <c r="G534" t="s">
        <v>128</v>
      </c>
      <c r="H534" t="s">
        <v>95</v>
      </c>
      <c r="I534" t="s">
        <v>54</v>
      </c>
      <c r="J534" t="s">
        <v>185</v>
      </c>
      <c r="K534" t="s">
        <v>186</v>
      </c>
      <c r="L534" t="s">
        <v>28</v>
      </c>
      <c r="M534" t="s">
        <v>124</v>
      </c>
      <c r="N534" t="s">
        <v>412</v>
      </c>
      <c r="O534" t="s">
        <v>59</v>
      </c>
      <c r="P534">
        <v>6</v>
      </c>
      <c r="Q534">
        <v>1673.8</v>
      </c>
      <c r="R534">
        <v>0.05</v>
      </c>
      <c r="S534">
        <f>IF(ISNUMBER(SEARCH("%",R534)), VALUE(SUBSTITUTE(R534,"%",""))/100,IF(ISNUMBER(R534), R534, 0))</f>
        <v>0.05</v>
      </c>
      <c r="T534" t="str">
        <f>IF(S534&lt;0,"Negative discount (invalid)",IF(S534&gt;0.5,"Discount above allowed range (invalid)",IF(AND(R534="",S534=0),"Missing discount set to 0","OK")))</f>
        <v>OK</v>
      </c>
      <c r="U534">
        <v>9540.66</v>
      </c>
      <c r="V534">
        <v>5561.49</v>
      </c>
      <c r="W534">
        <v>3979.17</v>
      </c>
      <c r="X534" t="s">
        <v>32</v>
      </c>
      <c r="Y534" t="s">
        <v>33</v>
      </c>
      <c r="Z534">
        <f>IF(T534="OK",P534*Q534*(1-S534),"invalid")</f>
        <v>9540.659999999998</v>
      </c>
      <c r="AA534">
        <f>IF(Z534="N/A","N/A",Z534-V534)</f>
        <v>3979.1699999999983</v>
      </c>
      <c r="AB534" s="8">
        <f>IF(Z534&lt;&gt;"N/A", AA534/Z534, "N/A")</f>
        <v>0.41707491934520241</v>
      </c>
      <c r="AC534">
        <f>MONTH(B534)</f>
        <v>9</v>
      </c>
      <c r="AD534">
        <f>YEAR(B534)</f>
        <v>2025</v>
      </c>
      <c r="AE534" s="10">
        <f t="shared" si="8"/>
        <v>1.8189894035458565E-12</v>
      </c>
      <c r="AF534" t="s">
        <v>2804</v>
      </c>
      <c r="AG534" t="s">
        <v>2811</v>
      </c>
    </row>
    <row r="535" spans="1:33">
      <c r="A535" t="s">
        <v>416</v>
      </c>
      <c r="B535" s="4">
        <v>45850</v>
      </c>
      <c r="C535" s="4">
        <v>45854</v>
      </c>
      <c r="D535">
        <f>_xlfn.DAYS(C535,B535)</f>
        <v>4</v>
      </c>
      <c r="E535" t="s">
        <v>2804</v>
      </c>
      <c r="F535" t="s">
        <v>417</v>
      </c>
      <c r="G535" t="s">
        <v>71</v>
      </c>
      <c r="H535" t="s">
        <v>24</v>
      </c>
      <c r="I535" t="s">
        <v>54</v>
      </c>
      <c r="J535" t="s">
        <v>175</v>
      </c>
      <c r="K535" t="s">
        <v>176</v>
      </c>
      <c r="L535" t="s">
        <v>41</v>
      </c>
      <c r="M535" t="s">
        <v>66</v>
      </c>
      <c r="N535" t="s">
        <v>418</v>
      </c>
      <c r="O535" t="s">
        <v>50</v>
      </c>
      <c r="P535">
        <v>4</v>
      </c>
      <c r="Q535">
        <v>2865.71</v>
      </c>
      <c r="R535">
        <v>0</v>
      </c>
      <c r="S535">
        <f>IF(ISNUMBER(SEARCH("%",R535)), VALUE(SUBSTITUTE(R535,"%",""))/100,IF(ISNUMBER(R535), R535, 0))</f>
        <v>0</v>
      </c>
      <c r="T535" t="str">
        <f>IF(S535&lt;0,"Negative discount (invalid)",IF(S535&gt;0.5,"Discount above allowed range (invalid)",IF(AND(R535="",S535=0),"Missing discount set to 0","OK")))</f>
        <v>OK</v>
      </c>
      <c r="U535">
        <v>11462.84</v>
      </c>
      <c r="V535">
        <v>8979.7800000000007</v>
      </c>
      <c r="W535">
        <v>2483.06</v>
      </c>
      <c r="X535" t="s">
        <v>102</v>
      </c>
      <c r="Y535" t="s">
        <v>68</v>
      </c>
      <c r="Z535">
        <f>IF(T535="OK",P535*Q535*(1-S535),"invalid")</f>
        <v>11462.84</v>
      </c>
      <c r="AA535">
        <f>IF(Z535="N/A","N/A",Z535-V535)</f>
        <v>2483.0599999999995</v>
      </c>
      <c r="AB535" s="8">
        <f>IF(Z535&lt;&gt;"N/A", AA535/Z535, "N/A")</f>
        <v>0.21661822026653077</v>
      </c>
      <c r="AC535">
        <f>MONTH(B535)</f>
        <v>7</v>
      </c>
      <c r="AD535">
        <f>YEAR(B535)</f>
        <v>2025</v>
      </c>
      <c r="AE535" s="10">
        <f t="shared" si="8"/>
        <v>0</v>
      </c>
      <c r="AF535" t="s">
        <v>2804</v>
      </c>
      <c r="AG535" t="s">
        <v>2811</v>
      </c>
    </row>
    <row r="536" spans="1:33">
      <c r="A536" t="s">
        <v>419</v>
      </c>
      <c r="B536" s="4">
        <v>45779</v>
      </c>
      <c r="C536" s="4">
        <v>45787</v>
      </c>
      <c r="D536">
        <f>_xlfn.DAYS(C536,B536)</f>
        <v>8</v>
      </c>
      <c r="E536" t="s">
        <v>2804</v>
      </c>
      <c r="F536" t="s">
        <v>420</v>
      </c>
      <c r="G536" t="s">
        <v>264</v>
      </c>
      <c r="H536" t="s">
        <v>90</v>
      </c>
      <c r="I536" t="s">
        <v>63</v>
      </c>
      <c r="J536" t="s">
        <v>64</v>
      </c>
      <c r="K536" t="s">
        <v>65</v>
      </c>
      <c r="L536" t="s">
        <v>41</v>
      </c>
      <c r="M536" t="s">
        <v>42</v>
      </c>
      <c r="N536" t="s">
        <v>421</v>
      </c>
      <c r="O536" t="s">
        <v>50</v>
      </c>
      <c r="P536">
        <v>4</v>
      </c>
      <c r="Q536">
        <v>2440.34</v>
      </c>
      <c r="R536">
        <v>0.2</v>
      </c>
      <c r="S536">
        <f>IF(ISNUMBER(SEARCH("%",R536)), VALUE(SUBSTITUTE(R536,"%",""))/100,IF(ISNUMBER(R536), R536, 0))</f>
        <v>0.2</v>
      </c>
      <c r="T536" t="str">
        <f>IF(S536&lt;0,"Negative discount (invalid)",IF(S536&gt;0.5,"Discount above allowed range (invalid)",IF(AND(R536="",S536=0),"Missing discount set to 0","OK")))</f>
        <v>OK</v>
      </c>
      <c r="U536">
        <v>7809.09</v>
      </c>
      <c r="V536">
        <v>6657.75</v>
      </c>
      <c r="W536">
        <v>1151.3399999999999</v>
      </c>
      <c r="X536" t="s">
        <v>32</v>
      </c>
      <c r="Y536" t="s">
        <v>33</v>
      </c>
      <c r="Z536">
        <f>IF(T536="OK",P536*Q536*(1-S536),"invalid")</f>
        <v>7809.0880000000006</v>
      </c>
      <c r="AA536">
        <f>IF(Z536="N/A","N/A",Z536-V536)</f>
        <v>1151.3380000000006</v>
      </c>
      <c r="AB536" s="8">
        <f>IF(Z536&lt;&gt;"N/A", AA536/Z536, "N/A")</f>
        <v>0.14743565445798543</v>
      </c>
      <c r="AC536">
        <f>MONTH(B536)</f>
        <v>5</v>
      </c>
      <c r="AD536">
        <f>YEAR(B536)</f>
        <v>2025</v>
      </c>
      <c r="AE536" s="10">
        <f t="shared" si="8"/>
        <v>1.9999999994979589E-3</v>
      </c>
      <c r="AF536" t="s">
        <v>2804</v>
      </c>
      <c r="AG536" t="s">
        <v>2811</v>
      </c>
    </row>
    <row r="537" spans="1:33">
      <c r="A537" t="s">
        <v>422</v>
      </c>
      <c r="B537" s="4">
        <v>45689</v>
      </c>
      <c r="C537" s="4">
        <v>45696</v>
      </c>
      <c r="D537">
        <f>_xlfn.DAYS(C537,B537)</f>
        <v>7</v>
      </c>
      <c r="E537" t="s">
        <v>2804</v>
      </c>
      <c r="F537" t="s">
        <v>423</v>
      </c>
      <c r="G537" t="s">
        <v>62</v>
      </c>
      <c r="H537" t="s">
        <v>24</v>
      </c>
      <c r="I537" t="s">
        <v>54</v>
      </c>
      <c r="J537" t="s">
        <v>175</v>
      </c>
      <c r="K537" t="s">
        <v>176</v>
      </c>
      <c r="L537" t="s">
        <v>28</v>
      </c>
      <c r="M537" t="s">
        <v>91</v>
      </c>
      <c r="N537" t="s">
        <v>424</v>
      </c>
      <c r="O537" t="s">
        <v>44</v>
      </c>
      <c r="P537">
        <v>5</v>
      </c>
      <c r="Q537">
        <v>2112.54</v>
      </c>
      <c r="R537">
        <v>0.25</v>
      </c>
      <c r="S537">
        <f>IF(ISNUMBER(SEARCH("%",R537)), VALUE(SUBSTITUTE(R537,"%",""))/100,IF(ISNUMBER(R537), R537, 0))</f>
        <v>0.25</v>
      </c>
      <c r="T537" t="str">
        <f>IF(S537&lt;0,"Negative discount (invalid)",IF(S537&gt;0.5,"Discount above allowed range (invalid)",IF(AND(R537="",S537=0),"Missing discount set to 0","OK")))</f>
        <v>OK</v>
      </c>
      <c r="U537">
        <v>8260.4599999999991</v>
      </c>
      <c r="V537">
        <v>5619.95</v>
      </c>
      <c r="W537">
        <v>2302.08</v>
      </c>
      <c r="X537" t="s">
        <v>32</v>
      </c>
      <c r="Y537" t="s">
        <v>68</v>
      </c>
      <c r="Z537">
        <f>IF(T537="OK",P537*Q537*(1-S537),"invalid")</f>
        <v>7922.0250000000005</v>
      </c>
      <c r="AA537">
        <f>IF(Z537="N/A","N/A",Z537-V537)</f>
        <v>2302.0750000000007</v>
      </c>
      <c r="AB537" s="8">
        <f>IF(Z537&lt;&gt;"N/A", AA537/Z537, "N/A")</f>
        <v>0.29059173633004193</v>
      </c>
      <c r="AC537">
        <f>MONTH(B537)</f>
        <v>2</v>
      </c>
      <c r="AD537">
        <f>YEAR(B537)</f>
        <v>2025</v>
      </c>
      <c r="AE537" s="10">
        <f t="shared" si="8"/>
        <v>338.43499999999858</v>
      </c>
      <c r="AF537" t="s">
        <v>2807</v>
      </c>
      <c r="AG537" t="s">
        <v>2789</v>
      </c>
    </row>
    <row r="538" spans="1:33">
      <c r="A538" t="s">
        <v>437</v>
      </c>
      <c r="B538" s="4">
        <v>45892</v>
      </c>
      <c r="C538" s="4">
        <v>45896</v>
      </c>
      <c r="D538">
        <f>_xlfn.DAYS(C538,B538)</f>
        <v>4</v>
      </c>
      <c r="E538" t="s">
        <v>2804</v>
      </c>
      <c r="F538" t="s">
        <v>438</v>
      </c>
      <c r="G538" t="s">
        <v>132</v>
      </c>
      <c r="H538" t="s">
        <v>24</v>
      </c>
      <c r="I538" t="s">
        <v>25</v>
      </c>
      <c r="J538" t="s">
        <v>350</v>
      </c>
      <c r="K538" t="s">
        <v>351</v>
      </c>
      <c r="L538" t="s">
        <v>28</v>
      </c>
      <c r="M538" t="s">
        <v>153</v>
      </c>
      <c r="N538" t="s">
        <v>439</v>
      </c>
      <c r="O538" t="s">
        <v>31</v>
      </c>
      <c r="P538">
        <v>1</v>
      </c>
      <c r="Q538">
        <v>2788.62</v>
      </c>
      <c r="R538">
        <v>0.25</v>
      </c>
      <c r="S538">
        <f>IF(ISNUMBER(SEARCH("%",R538)), VALUE(SUBSTITUTE(R538,"%",""))/100,IF(ISNUMBER(R538), R538, 0))</f>
        <v>0.25</v>
      </c>
      <c r="T538" t="str">
        <f>IF(S538&lt;0,"Negative discount (invalid)",IF(S538&gt;0.5,"Discount above allowed range (invalid)",IF(AND(R538="",S538=0),"Missing discount set to 0","OK")))</f>
        <v>OK</v>
      </c>
      <c r="U538">
        <v>2091.4699999999998</v>
      </c>
      <c r="V538">
        <v>1317.22</v>
      </c>
      <c r="W538">
        <v>774.25</v>
      </c>
      <c r="X538" t="s">
        <v>32</v>
      </c>
      <c r="Y538" t="s">
        <v>33</v>
      </c>
      <c r="Z538">
        <f>IF(T538="OK",P538*Q538*(1-S538),"invalid")</f>
        <v>2091.4650000000001</v>
      </c>
      <c r="AA538">
        <f>IF(Z538="N/A","N/A",Z538-V538)</f>
        <v>774.24500000000012</v>
      </c>
      <c r="AB538" s="8">
        <f>IF(Z538&lt;&gt;"N/A", AA538/Z538, "N/A")</f>
        <v>0.37019266399389905</v>
      </c>
      <c r="AC538">
        <f>MONTH(B538)</f>
        <v>8</v>
      </c>
      <c r="AD538">
        <f>YEAR(B538)</f>
        <v>2025</v>
      </c>
      <c r="AE538" s="10">
        <f t="shared" si="8"/>
        <v>4.999999999654392E-3</v>
      </c>
      <c r="AF538" t="s">
        <v>2804</v>
      </c>
      <c r="AG538" t="s">
        <v>2811</v>
      </c>
    </row>
    <row r="539" spans="1:33">
      <c r="A539" t="s">
        <v>443</v>
      </c>
      <c r="B539" s="4">
        <v>45835</v>
      </c>
      <c r="C539" s="4">
        <v>45838</v>
      </c>
      <c r="D539">
        <f>_xlfn.DAYS(C539,B539)</f>
        <v>3</v>
      </c>
      <c r="E539" t="s">
        <v>2804</v>
      </c>
      <c r="F539" t="s">
        <v>444</v>
      </c>
      <c r="G539" t="s">
        <v>79</v>
      </c>
      <c r="H539" t="s">
        <v>90</v>
      </c>
      <c r="I539" t="s">
        <v>38</v>
      </c>
      <c r="J539" t="s">
        <v>145</v>
      </c>
      <c r="K539" t="s">
        <v>146</v>
      </c>
      <c r="L539" t="s">
        <v>74</v>
      </c>
      <c r="M539" t="s">
        <v>75</v>
      </c>
      <c r="N539" t="s">
        <v>445</v>
      </c>
      <c r="O539" t="s">
        <v>50</v>
      </c>
      <c r="P539">
        <v>1</v>
      </c>
      <c r="Q539">
        <v>1708.44</v>
      </c>
      <c r="R539">
        <v>0.05</v>
      </c>
      <c r="S539">
        <f>IF(ISNUMBER(SEARCH("%",R539)), VALUE(SUBSTITUTE(R539,"%",""))/100,IF(ISNUMBER(R539), R539, 0))</f>
        <v>0.05</v>
      </c>
      <c r="T539" t="str">
        <f>IF(S539&lt;0,"Negative discount (invalid)",IF(S539&gt;0.5,"Discount above allowed range (invalid)",IF(AND(R539="",S539=0),"Missing discount set to 0","OK")))</f>
        <v>OK</v>
      </c>
      <c r="U539">
        <v>1623.02</v>
      </c>
      <c r="V539">
        <v>1077.46</v>
      </c>
      <c r="W539">
        <v>545.55999999999995</v>
      </c>
      <c r="X539" t="s">
        <v>111</v>
      </c>
      <c r="Y539" t="s">
        <v>68</v>
      </c>
      <c r="Z539">
        <f>IF(T539="OK",P539*Q539*(1-S539),"invalid")</f>
        <v>1623.018</v>
      </c>
      <c r="AA539">
        <f>IF(Z539="N/A","N/A",Z539-V539)</f>
        <v>545.55799999999999</v>
      </c>
      <c r="AB539" s="8">
        <f>IF(Z539&lt;&gt;"N/A", AA539/Z539, "N/A")</f>
        <v>0.3361379849145234</v>
      </c>
      <c r="AC539">
        <f>MONTH(B539)</f>
        <v>6</v>
      </c>
      <c r="AD539">
        <f>YEAR(B539)</f>
        <v>2025</v>
      </c>
      <c r="AE539" s="10">
        <f t="shared" si="8"/>
        <v>1.9999999999527063E-3</v>
      </c>
      <c r="AF539" t="s">
        <v>2804</v>
      </c>
      <c r="AG539" t="s">
        <v>2811</v>
      </c>
    </row>
    <row r="540" spans="1:33">
      <c r="A540" t="s">
        <v>457</v>
      </c>
      <c r="B540" s="4">
        <v>45703</v>
      </c>
      <c r="C540" s="4">
        <v>45707</v>
      </c>
      <c r="D540">
        <f>_xlfn.DAYS(C540,B540)</f>
        <v>4</v>
      </c>
      <c r="E540" t="s">
        <v>2804</v>
      </c>
      <c r="F540" t="s">
        <v>458</v>
      </c>
      <c r="G540" t="s">
        <v>62</v>
      </c>
      <c r="H540" t="s">
        <v>37</v>
      </c>
      <c r="I540" t="s">
        <v>2785</v>
      </c>
      <c r="J540" t="s">
        <v>72</v>
      </c>
      <c r="K540" t="s">
        <v>73</v>
      </c>
      <c r="L540" t="s">
        <v>28</v>
      </c>
      <c r="M540" t="s">
        <v>153</v>
      </c>
      <c r="N540" t="s">
        <v>459</v>
      </c>
      <c r="O540" t="s">
        <v>50</v>
      </c>
      <c r="P540">
        <v>9</v>
      </c>
      <c r="Q540">
        <v>531.99</v>
      </c>
      <c r="R540">
        <v>0.25</v>
      </c>
      <c r="S540">
        <f>IF(ISNUMBER(SEARCH("%",R540)), VALUE(SUBSTITUTE(R540,"%",""))/100,IF(ISNUMBER(R540), R540, 0))</f>
        <v>0.25</v>
      </c>
      <c r="T540" t="str">
        <f>IF(S540&lt;0,"Negative discount (invalid)",IF(S540&gt;0.5,"Discount above allowed range (invalid)",IF(AND(R540="",S540=0),"Missing discount set to 0","OK")))</f>
        <v>OK</v>
      </c>
      <c r="U540">
        <v>3590.93</v>
      </c>
      <c r="V540">
        <v>3061.39</v>
      </c>
      <c r="W540">
        <v>529.54</v>
      </c>
      <c r="X540" t="s">
        <v>155</v>
      </c>
      <c r="Y540" t="s">
        <v>68</v>
      </c>
      <c r="Z540">
        <f>IF(T540="OK",P540*Q540*(1-S540),"invalid")</f>
        <v>3590.9324999999999</v>
      </c>
      <c r="AA540">
        <f>IF(Z540="N/A","N/A",Z540-V540)</f>
        <v>529.54250000000002</v>
      </c>
      <c r="AB540" s="8">
        <f>IF(Z540&lt;&gt;"N/A", AA540/Z540, "N/A")</f>
        <v>0.14746657031286442</v>
      </c>
      <c r="AC540">
        <f>MONTH(B540)</f>
        <v>2</v>
      </c>
      <c r="AD540">
        <f>YEAR(B540)</f>
        <v>2025</v>
      </c>
      <c r="AE540" s="10">
        <f t="shared" si="8"/>
        <v>2.5000000000545697E-3</v>
      </c>
      <c r="AF540" t="s">
        <v>2799</v>
      </c>
      <c r="AG540" t="s">
        <v>2798</v>
      </c>
    </row>
    <row r="541" spans="1:33">
      <c r="A541" t="s">
        <v>473</v>
      </c>
      <c r="B541" s="4">
        <v>45891</v>
      </c>
      <c r="C541" s="4">
        <v>45895</v>
      </c>
      <c r="D541">
        <f>_xlfn.DAYS(C541,B541)</f>
        <v>4</v>
      </c>
      <c r="E541" t="s">
        <v>2804</v>
      </c>
      <c r="F541" t="s">
        <v>474</v>
      </c>
      <c r="G541" t="s">
        <v>264</v>
      </c>
      <c r="H541" t="s">
        <v>37</v>
      </c>
      <c r="I541" t="s">
        <v>54</v>
      </c>
      <c r="J541" t="s">
        <v>84</v>
      </c>
      <c r="K541" t="s">
        <v>85</v>
      </c>
      <c r="L541" t="s">
        <v>74</v>
      </c>
      <c r="M541" t="s">
        <v>274</v>
      </c>
      <c r="N541" t="s">
        <v>475</v>
      </c>
      <c r="O541" t="s">
        <v>31</v>
      </c>
      <c r="P541">
        <v>5</v>
      </c>
      <c r="Q541">
        <v>3482.92</v>
      </c>
      <c r="R541">
        <v>0</v>
      </c>
      <c r="S541">
        <f>IF(ISNUMBER(SEARCH("%",R541)), VALUE(SUBSTITUTE(R541,"%",""))/100,IF(ISNUMBER(R541), R541, 0))</f>
        <v>0</v>
      </c>
      <c r="T541" t="str">
        <f>IF(S541&lt;0,"Negative discount (invalid)",IF(S541&gt;0.5,"Discount above allowed range (invalid)",IF(AND(R541="",S541=0),"Missing discount set to 0","OK")))</f>
        <v>OK</v>
      </c>
      <c r="U541">
        <v>17414.599999999999</v>
      </c>
      <c r="V541">
        <v>11760.91</v>
      </c>
      <c r="W541">
        <v>5653.69</v>
      </c>
      <c r="X541" t="s">
        <v>102</v>
      </c>
      <c r="Y541" t="s">
        <v>68</v>
      </c>
      <c r="Z541">
        <f>IF(T541="OK",P541*Q541*(1-S541),"invalid")</f>
        <v>17414.599999999999</v>
      </c>
      <c r="AA541">
        <f>IF(Z541="N/A","N/A",Z541-V541)</f>
        <v>5653.6899999999987</v>
      </c>
      <c r="AB541" s="8">
        <f>IF(Z541&lt;&gt;"N/A", AA541/Z541, "N/A")</f>
        <v>0.3246523032398102</v>
      </c>
      <c r="AC541">
        <f>MONTH(B541)</f>
        <v>8</v>
      </c>
      <c r="AD541">
        <f>YEAR(B541)</f>
        <v>2025</v>
      </c>
      <c r="AE541" s="10">
        <f t="shared" si="8"/>
        <v>0</v>
      </c>
      <c r="AF541" t="s">
        <v>2804</v>
      </c>
      <c r="AG541" t="s">
        <v>2811</v>
      </c>
    </row>
    <row r="542" spans="1:33">
      <c r="A542" t="s">
        <v>486</v>
      </c>
      <c r="B542" s="4">
        <v>45855</v>
      </c>
      <c r="C542" s="4">
        <v>45856</v>
      </c>
      <c r="D542">
        <f>_xlfn.DAYS(C542,B542)</f>
        <v>1</v>
      </c>
      <c r="E542" t="s">
        <v>2804</v>
      </c>
      <c r="F542" t="s">
        <v>487</v>
      </c>
      <c r="G542" t="s">
        <v>79</v>
      </c>
      <c r="H542" t="s">
        <v>37</v>
      </c>
      <c r="I542" t="s">
        <v>63</v>
      </c>
      <c r="J542" t="s">
        <v>26</v>
      </c>
      <c r="K542" t="s">
        <v>109</v>
      </c>
      <c r="L542" t="s">
        <v>41</v>
      </c>
      <c r="M542" t="s">
        <v>42</v>
      </c>
      <c r="N542" t="s">
        <v>488</v>
      </c>
      <c r="O542" t="s">
        <v>44</v>
      </c>
      <c r="P542">
        <v>6</v>
      </c>
      <c r="Q542">
        <v>3235.27</v>
      </c>
      <c r="R542">
        <v>0.25</v>
      </c>
      <c r="S542">
        <f>IF(ISNUMBER(SEARCH("%",R542)), VALUE(SUBSTITUTE(R542,"%",""))/100,IF(ISNUMBER(R542), R542, 0))</f>
        <v>0.25</v>
      </c>
      <c r="T542" t="str">
        <f>IF(S542&lt;0,"Negative discount (invalid)",IF(S542&gt;0.5,"Discount above allowed range (invalid)",IF(AND(R542="",S542=0),"Missing discount set to 0","OK")))</f>
        <v>OK</v>
      </c>
      <c r="U542">
        <v>14558.72</v>
      </c>
      <c r="V542">
        <v>9591.48</v>
      </c>
      <c r="W542">
        <v>4967.24</v>
      </c>
      <c r="X542" t="s">
        <v>102</v>
      </c>
      <c r="Y542" t="s">
        <v>103</v>
      </c>
      <c r="Z542">
        <f>IF(T542="OK",P542*Q542*(1-S542),"invalid")</f>
        <v>14558.715</v>
      </c>
      <c r="AA542">
        <f>IF(Z542="N/A","N/A",Z542-V542)</f>
        <v>4967.2350000000006</v>
      </c>
      <c r="AB542" s="8">
        <f>IF(Z542&lt;&gt;"N/A", AA542/Z542, "N/A")</f>
        <v>0.34118636157105903</v>
      </c>
      <c r="AC542">
        <f>MONTH(B542)</f>
        <v>7</v>
      </c>
      <c r="AD542">
        <f>YEAR(B542)</f>
        <v>2025</v>
      </c>
      <c r="AE542" s="10">
        <f t="shared" si="8"/>
        <v>4.9999999991996447E-3</v>
      </c>
      <c r="AF542" t="s">
        <v>2804</v>
      </c>
      <c r="AG542" t="s">
        <v>2811</v>
      </c>
    </row>
    <row r="543" spans="1:33">
      <c r="A543" t="s">
        <v>489</v>
      </c>
      <c r="B543" s="4">
        <v>45924</v>
      </c>
      <c r="C543" s="4">
        <v>45926</v>
      </c>
      <c r="D543">
        <f>_xlfn.DAYS(C543,B543)</f>
        <v>2</v>
      </c>
      <c r="E543" t="s">
        <v>2804</v>
      </c>
      <c r="F543" t="s">
        <v>490</v>
      </c>
      <c r="G543" t="s">
        <v>114</v>
      </c>
      <c r="H543" t="s">
        <v>90</v>
      </c>
      <c r="I543" t="s">
        <v>25</v>
      </c>
      <c r="J543" t="s">
        <v>350</v>
      </c>
      <c r="K543" t="s">
        <v>351</v>
      </c>
      <c r="L543" t="s">
        <v>74</v>
      </c>
      <c r="M543" t="s">
        <v>80</v>
      </c>
      <c r="N543" t="s">
        <v>491</v>
      </c>
      <c r="O543" t="s">
        <v>59</v>
      </c>
      <c r="P543">
        <v>3</v>
      </c>
      <c r="Q543">
        <v>1593.86</v>
      </c>
      <c r="R543">
        <v>0.1</v>
      </c>
      <c r="S543">
        <f>IF(ISNUMBER(SEARCH("%",R543)), VALUE(SUBSTITUTE(R543,"%",""))/100,IF(ISNUMBER(R543), R543, 0))</f>
        <v>0.1</v>
      </c>
      <c r="T543" t="str">
        <f>IF(S543&lt;0,"Negative discount (invalid)",IF(S543&gt;0.5,"Discount above allowed range (invalid)",IF(AND(R543="",S543=0),"Missing discount set to 0","OK")))</f>
        <v>OK</v>
      </c>
      <c r="U543">
        <v>4303.42</v>
      </c>
      <c r="V543">
        <v>2568.5700000000002</v>
      </c>
      <c r="W543">
        <v>1734.85</v>
      </c>
      <c r="X543" t="s">
        <v>32</v>
      </c>
      <c r="Y543" t="s">
        <v>33</v>
      </c>
      <c r="Z543">
        <f>IF(T543="OK",P543*Q543*(1-S543),"invalid")</f>
        <v>4303.4220000000005</v>
      </c>
      <c r="AA543">
        <f>IF(Z543="N/A","N/A",Z543-V543)</f>
        <v>1734.8520000000003</v>
      </c>
      <c r="AB543" s="8">
        <f>IF(Z543&lt;&gt;"N/A", AA543/Z543, "N/A")</f>
        <v>0.40313313451481175</v>
      </c>
      <c r="AC543">
        <f>MONTH(B543)</f>
        <v>9</v>
      </c>
      <c r="AD543">
        <f>YEAR(B543)</f>
        <v>2025</v>
      </c>
      <c r="AE543" s="10">
        <f t="shared" si="8"/>
        <v>2.0000000004074536E-3</v>
      </c>
      <c r="AF543" t="s">
        <v>2804</v>
      </c>
      <c r="AG543" t="s">
        <v>2811</v>
      </c>
    </row>
    <row r="544" spans="1:33">
      <c r="A544" t="s">
        <v>492</v>
      </c>
      <c r="B544" s="4">
        <v>45687</v>
      </c>
      <c r="C544" s="4">
        <v>45683</v>
      </c>
      <c r="D544">
        <f>_xlfn.DAYS(C544,B544)</f>
        <v>-4</v>
      </c>
      <c r="E544" t="str">
        <f>IF(B544="INVALID","Missing/Invalid order_date", IF(C544="INVALID","Missing/Invalid ship_date",IF(AND(B544&lt;&gt;"",C544&lt;&gt;"",C544&lt;B544),"Ship date before order date","")))</f>
        <v>Ship date before order date</v>
      </c>
      <c r="F544" t="s">
        <v>493</v>
      </c>
      <c r="G544" t="s">
        <v>114</v>
      </c>
      <c r="H544" t="s">
        <v>90</v>
      </c>
      <c r="I544" t="s">
        <v>63</v>
      </c>
      <c r="J544" t="s">
        <v>72</v>
      </c>
      <c r="K544" t="s">
        <v>73</v>
      </c>
      <c r="L544" t="s">
        <v>28</v>
      </c>
      <c r="M544" t="s">
        <v>124</v>
      </c>
      <c r="N544" t="s">
        <v>494</v>
      </c>
      <c r="O544" t="s">
        <v>31</v>
      </c>
      <c r="P544">
        <v>2</v>
      </c>
      <c r="Q544">
        <v>3039.3</v>
      </c>
      <c r="R544">
        <v>0.05</v>
      </c>
      <c r="S544">
        <f>IF(ISNUMBER(SEARCH("%",R544)), VALUE(SUBSTITUTE(R544,"%",""))/100,IF(ISNUMBER(R544), R544, 0))</f>
        <v>0.05</v>
      </c>
      <c r="T544" t="str">
        <f>IF(S544&lt;0,"Negative discount (invalid)",IF(S544&gt;0.5,"Discount above allowed range (invalid)",IF(AND(R544="",S544=0),"Missing discount set to 0","OK")))</f>
        <v>OK</v>
      </c>
      <c r="U544">
        <v>5774.67</v>
      </c>
      <c r="V544">
        <v>3518.36</v>
      </c>
      <c r="W544">
        <v>2256.31</v>
      </c>
      <c r="X544" t="s">
        <v>32</v>
      </c>
      <c r="Y544" t="s">
        <v>33</v>
      </c>
      <c r="Z544">
        <f>IF(T544="OK",P544*Q544*(1-S544),"invalid")</f>
        <v>5774.67</v>
      </c>
      <c r="AA544">
        <f>IF(Z544="N/A","N/A",Z544-V544)</f>
        <v>2256.31</v>
      </c>
      <c r="AB544" s="8">
        <f>IF(Z544&lt;&gt;"N/A", AA544/Z544, "N/A")</f>
        <v>0.39072535746631409</v>
      </c>
      <c r="AC544">
        <f>MONTH(B544)</f>
        <v>1</v>
      </c>
      <c r="AD544">
        <f>YEAR(B544)</f>
        <v>2025</v>
      </c>
      <c r="AE544" s="10">
        <f t="shared" si="8"/>
        <v>0</v>
      </c>
      <c r="AF544" t="s">
        <v>2806</v>
      </c>
      <c r="AG544" t="s">
        <v>2789</v>
      </c>
    </row>
    <row r="545" spans="1:33">
      <c r="A545" t="s">
        <v>504</v>
      </c>
      <c r="B545" s="4">
        <v>45929</v>
      </c>
      <c r="C545" s="4">
        <v>45934</v>
      </c>
      <c r="D545">
        <f>_xlfn.DAYS(C545,B545)</f>
        <v>5</v>
      </c>
      <c r="E545" t="s">
        <v>2804</v>
      </c>
      <c r="F545" t="s">
        <v>505</v>
      </c>
      <c r="G545" t="s">
        <v>62</v>
      </c>
      <c r="H545" t="s">
        <v>95</v>
      </c>
      <c r="I545" t="s">
        <v>38</v>
      </c>
      <c r="J545" t="s">
        <v>228</v>
      </c>
      <c r="K545" t="s">
        <v>229</v>
      </c>
      <c r="L545" t="s">
        <v>28</v>
      </c>
      <c r="M545" t="s">
        <v>29</v>
      </c>
      <c r="N545" t="s">
        <v>506</v>
      </c>
      <c r="O545" t="s">
        <v>44</v>
      </c>
      <c r="P545">
        <v>9</v>
      </c>
      <c r="Q545">
        <v>373.91</v>
      </c>
      <c r="R545">
        <v>0.2</v>
      </c>
      <c r="S545">
        <f>IF(ISNUMBER(SEARCH("%",R545)), VALUE(SUBSTITUTE(R545,"%",""))/100,IF(ISNUMBER(R545), R545, 0))</f>
        <v>0.2</v>
      </c>
      <c r="T545" t="str">
        <f>IF(S545&lt;0,"Negative discount (invalid)",IF(S545&gt;0.5,"Discount above allowed range (invalid)",IF(AND(R545="",S545=0),"Missing discount set to 0","OK")))</f>
        <v>OK</v>
      </c>
      <c r="U545">
        <v>2692.15</v>
      </c>
      <c r="V545">
        <v>2044.49</v>
      </c>
      <c r="W545">
        <v>647.66</v>
      </c>
      <c r="X545" t="s">
        <v>32</v>
      </c>
      <c r="Y545" t="s">
        <v>33</v>
      </c>
      <c r="Z545">
        <f>IF(T545="OK",P545*Q545*(1-S545),"invalid")</f>
        <v>2692.152</v>
      </c>
      <c r="AA545">
        <f>IF(Z545="N/A","N/A",Z545-V545)</f>
        <v>647.66200000000003</v>
      </c>
      <c r="AB545" s="8">
        <f>IF(Z545&lt;&gt;"N/A", AA545/Z545, "N/A")</f>
        <v>0.24057408348414205</v>
      </c>
      <c r="AC545">
        <f>MONTH(B545)</f>
        <v>9</v>
      </c>
      <c r="AD545">
        <f>YEAR(B545)</f>
        <v>2025</v>
      </c>
      <c r="AE545" s="10">
        <f t="shared" si="8"/>
        <v>1.9999999999527063E-3</v>
      </c>
      <c r="AF545" t="s">
        <v>2804</v>
      </c>
      <c r="AG545" t="s">
        <v>2811</v>
      </c>
    </row>
    <row r="546" spans="1:33">
      <c r="A546" t="s">
        <v>513</v>
      </c>
      <c r="B546" s="4">
        <v>45852</v>
      </c>
      <c r="C546" s="4">
        <v>45852</v>
      </c>
      <c r="D546">
        <f>_xlfn.DAYS(C546,B546)</f>
        <v>0</v>
      </c>
      <c r="E546" t="s">
        <v>2804</v>
      </c>
      <c r="F546" t="s">
        <v>514</v>
      </c>
      <c r="G546" t="s">
        <v>71</v>
      </c>
      <c r="H546" t="s">
        <v>95</v>
      </c>
      <c r="I546" t="s">
        <v>38</v>
      </c>
      <c r="J546" t="s">
        <v>99</v>
      </c>
      <c r="K546" t="s">
        <v>100</v>
      </c>
      <c r="L546" t="s">
        <v>41</v>
      </c>
      <c r="M546" t="s">
        <v>158</v>
      </c>
      <c r="N546" t="s">
        <v>515</v>
      </c>
      <c r="O546" t="s">
        <v>2785</v>
      </c>
      <c r="P546">
        <v>5</v>
      </c>
      <c r="Q546">
        <v>383.1</v>
      </c>
      <c r="R546">
        <v>0.25</v>
      </c>
      <c r="S546">
        <f>IF(ISNUMBER(SEARCH("%",R546)), VALUE(SUBSTITUTE(R546,"%",""))/100,IF(ISNUMBER(R546), R546, 0))</f>
        <v>0.25</v>
      </c>
      <c r="T546" t="str">
        <f>IF(S546&lt;0,"Negative discount (invalid)",IF(S546&gt;0.5,"Discount above allowed range (invalid)",IF(AND(R546="",S546=0),"Missing discount set to 0","OK")))</f>
        <v>OK</v>
      </c>
      <c r="U546">
        <v>1436.62</v>
      </c>
      <c r="V546">
        <v>912.52</v>
      </c>
      <c r="W546">
        <v>524.1</v>
      </c>
      <c r="X546" t="s">
        <v>111</v>
      </c>
      <c r="Y546" t="s">
        <v>68</v>
      </c>
      <c r="Z546">
        <f>IF(T546="OK",P546*Q546*(1-S546),"invalid")</f>
        <v>1436.625</v>
      </c>
      <c r="AA546">
        <f>IF(Z546="N/A","N/A",Z546-V546)</f>
        <v>524.10500000000002</v>
      </c>
      <c r="AB546" s="8">
        <f>IF(Z546&lt;&gt;"N/A", AA546/Z546, "N/A")</f>
        <v>0.36481684503610895</v>
      </c>
      <c r="AC546">
        <f>MONTH(B546)</f>
        <v>7</v>
      </c>
      <c r="AD546">
        <f>YEAR(B546)</f>
        <v>2025</v>
      </c>
      <c r="AE546" s="10">
        <f t="shared" si="8"/>
        <v>5.0000000001091394E-3</v>
      </c>
      <c r="AF546" t="s">
        <v>2800</v>
      </c>
      <c r="AG546" t="s">
        <v>2798</v>
      </c>
    </row>
    <row r="547" spans="1:33">
      <c r="A547" t="s">
        <v>516</v>
      </c>
      <c r="B547" s="4">
        <v>45893</v>
      </c>
      <c r="C547" s="4">
        <v>45893</v>
      </c>
      <c r="D547">
        <f>_xlfn.DAYS(C547,B547)</f>
        <v>0</v>
      </c>
      <c r="E547" t="s">
        <v>2804</v>
      </c>
      <c r="F547" t="s">
        <v>517</v>
      </c>
      <c r="G547" t="s">
        <v>162</v>
      </c>
      <c r="H547" t="s">
        <v>37</v>
      </c>
      <c r="I547" t="s">
        <v>54</v>
      </c>
      <c r="J547" t="s">
        <v>185</v>
      </c>
      <c r="K547" t="s">
        <v>186</v>
      </c>
      <c r="L547" t="s">
        <v>41</v>
      </c>
      <c r="M547" t="s">
        <v>158</v>
      </c>
      <c r="N547" t="s">
        <v>518</v>
      </c>
      <c r="O547" t="s">
        <v>59</v>
      </c>
      <c r="P547">
        <v>1</v>
      </c>
      <c r="Q547">
        <v>3424.78</v>
      </c>
      <c r="R547">
        <v>0</v>
      </c>
      <c r="S547">
        <f>IF(ISNUMBER(SEARCH("%",R547)), VALUE(SUBSTITUTE(R547,"%",""))/100,IF(ISNUMBER(R547), R547, 0))</f>
        <v>0</v>
      </c>
      <c r="T547" t="str">
        <f>IF(S547&lt;0,"Negative discount (invalid)",IF(S547&gt;0.5,"Discount above allowed range (invalid)",IF(AND(R547="",S547=0),"Missing discount set to 0","OK")))</f>
        <v>OK</v>
      </c>
      <c r="U547">
        <v>3424.78</v>
      </c>
      <c r="V547">
        <v>1951.45</v>
      </c>
      <c r="W547">
        <v>1473.33</v>
      </c>
      <c r="X547" t="s">
        <v>32</v>
      </c>
      <c r="Y547" t="s">
        <v>33</v>
      </c>
      <c r="Z547">
        <f>IF(T547="OK",P547*Q547*(1-S547),"invalid")</f>
        <v>3424.78</v>
      </c>
      <c r="AA547">
        <f>IF(Z547="N/A","N/A",Z547-V547)</f>
        <v>1473.3300000000002</v>
      </c>
      <c r="AB547" s="8">
        <f>IF(Z547&lt;&gt;"N/A", AA547/Z547, "N/A")</f>
        <v>0.43019697615613267</v>
      </c>
      <c r="AC547">
        <f>MONTH(B547)</f>
        <v>8</v>
      </c>
      <c r="AD547">
        <f>YEAR(B547)</f>
        <v>2025</v>
      </c>
      <c r="AE547" s="10">
        <f t="shared" si="8"/>
        <v>0</v>
      </c>
      <c r="AF547" t="s">
        <v>2804</v>
      </c>
      <c r="AG547" t="s">
        <v>2811</v>
      </c>
    </row>
    <row r="548" spans="1:33">
      <c r="A548" t="s">
        <v>519</v>
      </c>
      <c r="B548" s="4">
        <v>45697</v>
      </c>
      <c r="C548" s="4">
        <v>45703</v>
      </c>
      <c r="D548">
        <f>_xlfn.DAYS(C548,B548)</f>
        <v>6</v>
      </c>
      <c r="E548" t="s">
        <v>2804</v>
      </c>
      <c r="F548" t="s">
        <v>520</v>
      </c>
      <c r="G548" t="s">
        <v>36</v>
      </c>
      <c r="H548" t="s">
        <v>95</v>
      </c>
      <c r="I548" t="s">
        <v>38</v>
      </c>
      <c r="J548" t="s">
        <v>228</v>
      </c>
      <c r="K548" t="s">
        <v>229</v>
      </c>
      <c r="L548" t="s">
        <v>28</v>
      </c>
      <c r="M548" t="s">
        <v>153</v>
      </c>
      <c r="N548" t="s">
        <v>521</v>
      </c>
      <c r="O548" t="s">
        <v>59</v>
      </c>
      <c r="P548">
        <v>9</v>
      </c>
      <c r="Q548">
        <v>4330.33</v>
      </c>
      <c r="R548">
        <v>0.2</v>
      </c>
      <c r="S548">
        <f>IF(ISNUMBER(SEARCH("%",R548)), VALUE(SUBSTITUTE(R548,"%",""))/100,IF(ISNUMBER(R548), R548, 0))</f>
        <v>0.2</v>
      </c>
      <c r="T548" t="str">
        <f>IF(S548&lt;0,"Negative discount (invalid)",IF(S548&gt;0.5,"Discount above allowed range (invalid)",IF(AND(R548="",S548=0),"Missing discount set to 0","OK")))</f>
        <v>OK</v>
      </c>
      <c r="U548">
        <v>31178.38</v>
      </c>
      <c r="V548">
        <v>21421.09</v>
      </c>
      <c r="W548">
        <v>9757.2900000000009</v>
      </c>
      <c r="X548" t="s">
        <v>32</v>
      </c>
      <c r="Y548" t="s">
        <v>33</v>
      </c>
      <c r="Z548">
        <f>IF(T548="OK",P548*Q548*(1-S548),"invalid")</f>
        <v>31178.376000000004</v>
      </c>
      <c r="AA548">
        <f>IF(Z548="N/A","N/A",Z548-V548)</f>
        <v>9757.2860000000037</v>
      </c>
      <c r="AB548" s="8">
        <f>IF(Z548&lt;&gt;"N/A", AA548/Z548, "N/A")</f>
        <v>0.31295042435821552</v>
      </c>
      <c r="AC548">
        <f>MONTH(B548)</f>
        <v>2</v>
      </c>
      <c r="AD548">
        <f>YEAR(B548)</f>
        <v>2025</v>
      </c>
      <c r="AE548" s="10">
        <f t="shared" si="8"/>
        <v>3.9999999971769284E-3</v>
      </c>
      <c r="AF548" t="s">
        <v>2804</v>
      </c>
      <c r="AG548" t="s">
        <v>2811</v>
      </c>
    </row>
    <row r="549" spans="1:33">
      <c r="A549" t="s">
        <v>522</v>
      </c>
      <c r="B549" s="4">
        <v>45666</v>
      </c>
      <c r="C549" s="4">
        <v>45666</v>
      </c>
      <c r="D549">
        <f>_xlfn.DAYS(C549,B549)</f>
        <v>0</v>
      </c>
      <c r="E549" t="s">
        <v>2804</v>
      </c>
      <c r="F549" t="s">
        <v>523</v>
      </c>
      <c r="G549" t="s">
        <v>132</v>
      </c>
      <c r="H549" t="s">
        <v>37</v>
      </c>
      <c r="I549" t="s">
        <v>25</v>
      </c>
      <c r="J549" t="s">
        <v>26</v>
      </c>
      <c r="K549" t="s">
        <v>27</v>
      </c>
      <c r="L549" t="s">
        <v>41</v>
      </c>
      <c r="M549" t="s">
        <v>66</v>
      </c>
      <c r="N549" t="s">
        <v>524</v>
      </c>
      <c r="O549" t="s">
        <v>44</v>
      </c>
      <c r="P549">
        <v>8</v>
      </c>
      <c r="Q549">
        <v>2667.07</v>
      </c>
      <c r="R549">
        <v>0.1</v>
      </c>
      <c r="S549">
        <f>IF(ISNUMBER(SEARCH("%",R549)), VALUE(SUBSTITUTE(R549,"%",""))/100,IF(ISNUMBER(R549), R549, 0))</f>
        <v>0.1</v>
      </c>
      <c r="T549" t="str">
        <f>IF(S549&lt;0,"Negative discount (invalid)",IF(S549&gt;0.5,"Discount above allowed range (invalid)",IF(AND(R549="",S549=0),"Missing discount set to 0","OK")))</f>
        <v>OK</v>
      </c>
      <c r="U549">
        <v>19202.900000000001</v>
      </c>
      <c r="V549">
        <v>15526.62</v>
      </c>
      <c r="W549">
        <v>3676.28</v>
      </c>
      <c r="X549" t="s">
        <v>32</v>
      </c>
      <c r="Y549" t="s">
        <v>33</v>
      </c>
      <c r="Z549">
        <f>IF(T549="OK",P549*Q549*(1-S549),"invalid")</f>
        <v>19202.904000000002</v>
      </c>
      <c r="AA549">
        <f>IF(Z549="N/A","N/A",Z549-V549)</f>
        <v>3676.2840000000015</v>
      </c>
      <c r="AB549" s="8">
        <f>IF(Z549&lt;&gt;"N/A", AA549/Z549, "N/A")</f>
        <v>0.19144416906942829</v>
      </c>
      <c r="AC549">
        <f>MONTH(B549)</f>
        <v>1</v>
      </c>
      <c r="AD549">
        <f>YEAR(B549)</f>
        <v>2025</v>
      </c>
      <c r="AE549" s="10">
        <f t="shared" si="8"/>
        <v>4.0000000008149073E-3</v>
      </c>
      <c r="AF549" t="s">
        <v>2804</v>
      </c>
      <c r="AG549" t="s">
        <v>2811</v>
      </c>
    </row>
    <row r="550" spans="1:33">
      <c r="A550" t="s">
        <v>528</v>
      </c>
      <c r="B550" s="4">
        <v>45718</v>
      </c>
      <c r="C550" s="4">
        <v>45723</v>
      </c>
      <c r="D550">
        <f>_xlfn.DAYS(C550,B550)</f>
        <v>5</v>
      </c>
      <c r="E550" t="s">
        <v>2804</v>
      </c>
      <c r="F550" t="s">
        <v>529</v>
      </c>
      <c r="G550" t="s">
        <v>79</v>
      </c>
      <c r="H550" t="s">
        <v>95</v>
      </c>
      <c r="I550" t="s">
        <v>54</v>
      </c>
      <c r="J550" t="s">
        <v>175</v>
      </c>
      <c r="K550" t="s">
        <v>176</v>
      </c>
      <c r="L550" t="s">
        <v>28</v>
      </c>
      <c r="M550" t="s">
        <v>91</v>
      </c>
      <c r="N550" t="s">
        <v>530</v>
      </c>
      <c r="O550" t="s">
        <v>59</v>
      </c>
      <c r="P550">
        <v>8</v>
      </c>
      <c r="Q550">
        <v>1287.6300000000001</v>
      </c>
      <c r="R550">
        <v>0</v>
      </c>
      <c r="S550">
        <f>IF(ISNUMBER(SEARCH("%",R550)), VALUE(SUBSTITUTE(R550,"%",""))/100,IF(ISNUMBER(R550), R550, 0))</f>
        <v>0</v>
      </c>
      <c r="T550" t="str">
        <f>IF(S550&lt;0,"Negative discount (invalid)",IF(S550&gt;0.5,"Discount above allowed range (invalid)",IF(AND(R550="",S550=0),"Missing discount set to 0","OK")))</f>
        <v>OK</v>
      </c>
      <c r="U550">
        <v>10301.040000000001</v>
      </c>
      <c r="V550">
        <v>6564.06</v>
      </c>
      <c r="W550">
        <v>3736.98</v>
      </c>
      <c r="X550" t="s">
        <v>32</v>
      </c>
      <c r="Y550" t="s">
        <v>33</v>
      </c>
      <c r="Z550">
        <f>IF(T550="OK",P550*Q550*(1-S550),"invalid")</f>
        <v>10301.040000000001</v>
      </c>
      <c r="AA550">
        <f>IF(Z550="N/A","N/A",Z550-V550)</f>
        <v>3736.9800000000005</v>
      </c>
      <c r="AB550" s="8">
        <f>IF(Z550&lt;&gt;"N/A", AA550/Z550, "N/A")</f>
        <v>0.3627769623261341</v>
      </c>
      <c r="AC550">
        <f>MONTH(B550)</f>
        <v>3</v>
      </c>
      <c r="AD550">
        <f>YEAR(B550)</f>
        <v>2025</v>
      </c>
      <c r="AE550" s="10">
        <f t="shared" si="8"/>
        <v>0</v>
      </c>
      <c r="AF550" t="s">
        <v>2804</v>
      </c>
      <c r="AG550" t="s">
        <v>2811</v>
      </c>
    </row>
    <row r="551" spans="1:33">
      <c r="A551" t="s">
        <v>546</v>
      </c>
      <c r="B551" s="4">
        <v>45758</v>
      </c>
      <c r="C551" s="4">
        <v>45760</v>
      </c>
      <c r="D551">
        <f>_xlfn.DAYS(C551,B551)</f>
        <v>2</v>
      </c>
      <c r="E551" t="s">
        <v>2804</v>
      </c>
      <c r="F551" t="s">
        <v>547</v>
      </c>
      <c r="G551" t="s">
        <v>36</v>
      </c>
      <c r="H551" t="s">
        <v>37</v>
      </c>
      <c r="I551" t="s">
        <v>63</v>
      </c>
      <c r="J551" t="s">
        <v>190</v>
      </c>
      <c r="K551" t="s">
        <v>191</v>
      </c>
      <c r="L551" t="s">
        <v>28</v>
      </c>
      <c r="M551" t="s">
        <v>29</v>
      </c>
      <c r="N551" t="s">
        <v>548</v>
      </c>
      <c r="O551" t="s">
        <v>59</v>
      </c>
      <c r="P551">
        <v>4</v>
      </c>
      <c r="Q551">
        <v>4182.1499999999996</v>
      </c>
      <c r="R551">
        <v>0.1</v>
      </c>
      <c r="S551">
        <f>IF(ISNUMBER(SEARCH("%",R551)), VALUE(SUBSTITUTE(R551,"%",""))/100,IF(ISNUMBER(R551), R551, 0))</f>
        <v>0.1</v>
      </c>
      <c r="T551" t="str">
        <f>IF(S551&lt;0,"Negative discount (invalid)",IF(S551&gt;0.5,"Discount above allowed range (invalid)",IF(AND(R551="",S551=0),"Missing discount set to 0","OK")))</f>
        <v>OK</v>
      </c>
      <c r="U551">
        <v>15055.74</v>
      </c>
      <c r="V551">
        <v>9808.83</v>
      </c>
      <c r="W551">
        <v>5246.91</v>
      </c>
      <c r="X551" t="s">
        <v>32</v>
      </c>
      <c r="Y551" t="s">
        <v>33</v>
      </c>
      <c r="Z551">
        <f>IF(T551="OK",P551*Q551*(1-S551),"invalid")</f>
        <v>15055.74</v>
      </c>
      <c r="AA551">
        <f>IF(Z551="N/A","N/A",Z551-V551)</f>
        <v>5246.91</v>
      </c>
      <c r="AB551" s="8">
        <f>IF(Z551&lt;&gt;"N/A", AA551/Z551, "N/A")</f>
        <v>0.34849897779850075</v>
      </c>
      <c r="AC551">
        <f>MONTH(B551)</f>
        <v>4</v>
      </c>
      <c r="AD551">
        <f>YEAR(B551)</f>
        <v>2025</v>
      </c>
      <c r="AE551" s="10">
        <f t="shared" si="8"/>
        <v>0</v>
      </c>
      <c r="AF551" t="s">
        <v>2804</v>
      </c>
      <c r="AG551" t="s">
        <v>2811</v>
      </c>
    </row>
    <row r="552" spans="1:33">
      <c r="A552" t="s">
        <v>549</v>
      </c>
      <c r="B552" s="4">
        <v>45868</v>
      </c>
      <c r="C552" s="4">
        <v>45870</v>
      </c>
      <c r="D552">
        <f>_xlfn.DAYS(C552,B552)</f>
        <v>2</v>
      </c>
      <c r="E552" t="s">
        <v>2804</v>
      </c>
      <c r="F552" t="s">
        <v>550</v>
      </c>
      <c r="G552" t="s">
        <v>132</v>
      </c>
      <c r="H552" t="s">
        <v>37</v>
      </c>
      <c r="I552" t="s">
        <v>54</v>
      </c>
      <c r="J552" t="s">
        <v>247</v>
      </c>
      <c r="K552" t="s">
        <v>248</v>
      </c>
      <c r="L552" t="s">
        <v>28</v>
      </c>
      <c r="M552" t="s">
        <v>124</v>
      </c>
      <c r="N552" t="s">
        <v>551</v>
      </c>
      <c r="O552" t="s">
        <v>44</v>
      </c>
      <c r="P552">
        <v>9</v>
      </c>
      <c r="Q552">
        <v>3165.43</v>
      </c>
      <c r="R552">
        <v>0.1</v>
      </c>
      <c r="S552">
        <f>IF(ISNUMBER(SEARCH("%",R552)), VALUE(SUBSTITUTE(R552,"%",""))/100,IF(ISNUMBER(R552), R552, 0))</f>
        <v>0.1</v>
      </c>
      <c r="T552" t="str">
        <f>IF(S552&lt;0,"Negative discount (invalid)",IF(S552&gt;0.5,"Discount above allowed range (invalid)",IF(AND(R552="",S552=0),"Missing discount set to 0","OK")))</f>
        <v>OK</v>
      </c>
      <c r="U552">
        <v>25639.98</v>
      </c>
      <c r="V552">
        <v>21635.08</v>
      </c>
      <c r="W552">
        <v>4004.9</v>
      </c>
      <c r="X552" t="s">
        <v>32</v>
      </c>
      <c r="Y552" t="s">
        <v>33</v>
      </c>
      <c r="Z552">
        <f>IF(T552="OK",P552*Q552*(1-S552),"invalid")</f>
        <v>25639.983</v>
      </c>
      <c r="AA552">
        <f>IF(Z552="N/A","N/A",Z552-V552)</f>
        <v>4004.9029999999984</v>
      </c>
      <c r="AB552" s="8">
        <f>IF(Z552&lt;&gt;"N/A", AA552/Z552, "N/A")</f>
        <v>0.1561975684617263</v>
      </c>
      <c r="AC552">
        <f>MONTH(B552)</f>
        <v>7</v>
      </c>
      <c r="AD552">
        <f>YEAR(B552)</f>
        <v>2025</v>
      </c>
      <c r="AE552" s="10">
        <f t="shared" si="8"/>
        <v>3.0000000006111804E-3</v>
      </c>
      <c r="AF552" t="s">
        <v>2804</v>
      </c>
      <c r="AG552" t="s">
        <v>2811</v>
      </c>
    </row>
    <row r="553" spans="1:33">
      <c r="A553" t="s">
        <v>555</v>
      </c>
      <c r="B553" s="4">
        <v>45697</v>
      </c>
      <c r="C553" s="4">
        <v>45701</v>
      </c>
      <c r="D553">
        <f>_xlfn.DAYS(C553,B553)</f>
        <v>4</v>
      </c>
      <c r="E553" t="s">
        <v>2804</v>
      </c>
      <c r="F553" t="s">
        <v>556</v>
      </c>
      <c r="G553" t="s">
        <v>36</v>
      </c>
      <c r="H553" t="s">
        <v>95</v>
      </c>
      <c r="I553" t="s">
        <v>63</v>
      </c>
      <c r="J553" t="s">
        <v>72</v>
      </c>
      <c r="K553" t="s">
        <v>73</v>
      </c>
      <c r="L553" t="s">
        <v>74</v>
      </c>
      <c r="M553" t="s">
        <v>171</v>
      </c>
      <c r="N553" t="s">
        <v>557</v>
      </c>
      <c r="O553" t="s">
        <v>2785</v>
      </c>
      <c r="P553">
        <v>8</v>
      </c>
      <c r="Q553">
        <v>1696.07</v>
      </c>
      <c r="R553">
        <v>0.25</v>
      </c>
      <c r="S553">
        <f>IF(ISNUMBER(SEARCH("%",R553)), VALUE(SUBSTITUTE(R553,"%",""))/100,IF(ISNUMBER(R553), R553, 0))</f>
        <v>0.25</v>
      </c>
      <c r="T553" t="str">
        <f>IF(S553&lt;0,"Negative discount (invalid)",IF(S553&gt;0.5,"Discount above allowed range (invalid)",IF(AND(R553="",S553=0),"Missing discount set to 0","OK")))</f>
        <v>OK</v>
      </c>
      <c r="U553">
        <v>10176.42</v>
      </c>
      <c r="V553">
        <v>7604.47</v>
      </c>
      <c r="W553">
        <v>2571.9499999999998</v>
      </c>
      <c r="X553" t="s">
        <v>32</v>
      </c>
      <c r="Y553" t="s">
        <v>33</v>
      </c>
      <c r="Z553">
        <f>IF(T553="OK",P553*Q553*(1-S553),"invalid")</f>
        <v>10176.42</v>
      </c>
      <c r="AA553">
        <f>IF(Z553="N/A","N/A",Z553-V553)</f>
        <v>2571.9499999999998</v>
      </c>
      <c r="AB553" s="8">
        <f>IF(Z553&lt;&gt;"N/A", AA553/Z553, "N/A")</f>
        <v>0.252736227474888</v>
      </c>
      <c r="AC553">
        <f>MONTH(B553)</f>
        <v>2</v>
      </c>
      <c r="AD553">
        <f>YEAR(B553)</f>
        <v>2025</v>
      </c>
      <c r="AE553" s="10">
        <f t="shared" si="8"/>
        <v>0</v>
      </c>
      <c r="AF553" t="s">
        <v>2800</v>
      </c>
      <c r="AG553" t="s">
        <v>2798</v>
      </c>
    </row>
    <row r="554" spans="1:33">
      <c r="A554" t="s">
        <v>570</v>
      </c>
      <c r="B554" s="4">
        <v>45923</v>
      </c>
      <c r="C554" s="4">
        <v>45925</v>
      </c>
      <c r="D554">
        <f>_xlfn.DAYS(C554,B554)</f>
        <v>2</v>
      </c>
      <c r="E554" t="s">
        <v>2804</v>
      </c>
      <c r="F554" t="s">
        <v>571</v>
      </c>
      <c r="G554" t="s">
        <v>89</v>
      </c>
      <c r="H554" t="s">
        <v>24</v>
      </c>
      <c r="I554" t="s">
        <v>38</v>
      </c>
      <c r="J554" t="s">
        <v>39</v>
      </c>
      <c r="K554" t="s">
        <v>40</v>
      </c>
      <c r="L554" t="s">
        <v>28</v>
      </c>
      <c r="M554" t="s">
        <v>91</v>
      </c>
      <c r="N554" t="s">
        <v>572</v>
      </c>
      <c r="O554" t="s">
        <v>59</v>
      </c>
      <c r="P554">
        <v>7</v>
      </c>
      <c r="Q554">
        <v>3280.31</v>
      </c>
      <c r="R554">
        <v>0</v>
      </c>
      <c r="S554">
        <f>IF(ISNUMBER(SEARCH("%",R554)), VALUE(SUBSTITUTE(R554,"%",""))/100,IF(ISNUMBER(R554), R554, 0))</f>
        <v>0</v>
      </c>
      <c r="T554" t="str">
        <f>IF(S554&lt;0,"Negative discount (invalid)",IF(S554&gt;0.5,"Discount above allowed range (invalid)",IF(AND(R554="",S554=0),"Missing discount set to 0","OK")))</f>
        <v>OK</v>
      </c>
      <c r="U554">
        <v>22962.17</v>
      </c>
      <c r="V554">
        <v>15716.5</v>
      </c>
      <c r="W554">
        <v>7245.67</v>
      </c>
      <c r="X554" t="s">
        <v>102</v>
      </c>
      <c r="Y554" t="s">
        <v>103</v>
      </c>
      <c r="Z554">
        <f>IF(T554="OK",P554*Q554*(1-S554),"invalid")</f>
        <v>22962.17</v>
      </c>
      <c r="AA554">
        <f>IF(Z554="N/A","N/A",Z554-V554)</f>
        <v>7245.6699999999983</v>
      </c>
      <c r="AB554" s="8">
        <f>IF(Z554&lt;&gt;"N/A", AA554/Z554, "N/A")</f>
        <v>0.31554813852523517</v>
      </c>
      <c r="AC554">
        <f>MONTH(B554)</f>
        <v>9</v>
      </c>
      <c r="AD554">
        <f>YEAR(B554)</f>
        <v>2025</v>
      </c>
      <c r="AE554" s="10">
        <f t="shared" si="8"/>
        <v>0</v>
      </c>
      <c r="AF554" t="s">
        <v>2804</v>
      </c>
      <c r="AG554" t="s">
        <v>2811</v>
      </c>
    </row>
    <row r="555" spans="1:33">
      <c r="A555" t="s">
        <v>575</v>
      </c>
      <c r="B555" s="4">
        <v>45683</v>
      </c>
      <c r="C555" s="4">
        <v>45691</v>
      </c>
      <c r="D555">
        <f>_xlfn.DAYS(C555,B555)</f>
        <v>8</v>
      </c>
      <c r="E555" t="s">
        <v>2804</v>
      </c>
      <c r="F555" t="s">
        <v>576</v>
      </c>
      <c r="G555" t="s">
        <v>23</v>
      </c>
      <c r="H555" t="s">
        <v>90</v>
      </c>
      <c r="I555" t="s">
        <v>63</v>
      </c>
      <c r="J555" t="s">
        <v>26</v>
      </c>
      <c r="K555" t="s">
        <v>109</v>
      </c>
      <c r="L555" t="s">
        <v>41</v>
      </c>
      <c r="M555" t="s">
        <v>57</v>
      </c>
      <c r="N555" t="s">
        <v>577</v>
      </c>
      <c r="O555" t="s">
        <v>44</v>
      </c>
      <c r="P555">
        <v>3</v>
      </c>
      <c r="Q555">
        <v>2859.32</v>
      </c>
      <c r="R555">
        <v>0.1</v>
      </c>
      <c r="S555">
        <f>IF(ISNUMBER(SEARCH("%",R555)), VALUE(SUBSTITUTE(R555,"%",""))/100,IF(ISNUMBER(R555), R555, 0))</f>
        <v>0.1</v>
      </c>
      <c r="T555" t="str">
        <f>IF(S555&lt;0,"Negative discount (invalid)",IF(S555&gt;0.5,"Discount above allowed range (invalid)",IF(AND(R555="",S555=0),"Missing discount set to 0","OK")))</f>
        <v>OK</v>
      </c>
      <c r="U555">
        <v>7720.16</v>
      </c>
      <c r="V555">
        <v>5881</v>
      </c>
      <c r="W555">
        <v>1839.16</v>
      </c>
      <c r="X555" t="s">
        <v>102</v>
      </c>
      <c r="Y555" t="s">
        <v>103</v>
      </c>
      <c r="Z555">
        <f>IF(T555="OK",P555*Q555*(1-S555),"invalid")</f>
        <v>7720.1640000000007</v>
      </c>
      <c r="AA555">
        <f>IF(Z555="N/A","N/A",Z555-V555)</f>
        <v>1839.1640000000007</v>
      </c>
      <c r="AB555" s="8">
        <f>IF(Z555&lt;&gt;"N/A", AA555/Z555, "N/A")</f>
        <v>0.23822861794127695</v>
      </c>
      <c r="AC555">
        <f>MONTH(B555)</f>
        <v>1</v>
      </c>
      <c r="AD555">
        <f>YEAR(B555)</f>
        <v>2025</v>
      </c>
      <c r="AE555" s="10">
        <f t="shared" si="8"/>
        <v>4.0000000008149073E-3</v>
      </c>
      <c r="AF555" t="s">
        <v>2804</v>
      </c>
      <c r="AG555" t="s">
        <v>2811</v>
      </c>
    </row>
    <row r="556" spans="1:33">
      <c r="A556" t="s">
        <v>578</v>
      </c>
      <c r="B556" s="4">
        <v>45743</v>
      </c>
      <c r="C556" s="4">
        <v>45743</v>
      </c>
      <c r="D556">
        <f>_xlfn.DAYS(C556,B556)</f>
        <v>0</v>
      </c>
      <c r="E556" t="s">
        <v>2804</v>
      </c>
      <c r="F556" t="s">
        <v>579</v>
      </c>
      <c r="G556" t="s">
        <v>71</v>
      </c>
      <c r="H556" t="s">
        <v>37</v>
      </c>
      <c r="I556" t="s">
        <v>38</v>
      </c>
      <c r="J556" t="s">
        <v>145</v>
      </c>
      <c r="K556" t="s">
        <v>146</v>
      </c>
      <c r="L556" t="s">
        <v>74</v>
      </c>
      <c r="M556" t="s">
        <v>274</v>
      </c>
      <c r="N556" t="s">
        <v>580</v>
      </c>
      <c r="O556" t="s">
        <v>31</v>
      </c>
      <c r="P556">
        <v>7</v>
      </c>
      <c r="Q556">
        <v>2305.37</v>
      </c>
      <c r="R556">
        <v>0.25</v>
      </c>
      <c r="S556">
        <f>IF(ISNUMBER(SEARCH("%",R556)), VALUE(SUBSTITUTE(R556,"%",""))/100,IF(ISNUMBER(R556), R556, 0))</f>
        <v>0.25</v>
      </c>
      <c r="T556" t="str">
        <f>IF(S556&lt;0,"Negative discount (invalid)",IF(S556&gt;0.5,"Discount above allowed range (invalid)",IF(AND(R556="",S556=0),"Missing discount set to 0","OK")))</f>
        <v>OK</v>
      </c>
      <c r="U556">
        <v>12103.19</v>
      </c>
      <c r="V556">
        <v>6717.87</v>
      </c>
      <c r="W556">
        <v>5385.32</v>
      </c>
      <c r="X556" t="s">
        <v>32</v>
      </c>
      <c r="Y556" t="s">
        <v>33</v>
      </c>
      <c r="Z556">
        <f>IF(T556="OK",P556*Q556*(1-S556),"invalid")</f>
        <v>12103.192500000001</v>
      </c>
      <c r="AA556">
        <f>IF(Z556="N/A","N/A",Z556-V556)</f>
        <v>5385.3225000000011</v>
      </c>
      <c r="AB556" s="8">
        <f>IF(Z556&lt;&gt;"N/A", AA556/Z556, "N/A")</f>
        <v>0.44495057812225997</v>
      </c>
      <c r="AC556">
        <f>MONTH(B556)</f>
        <v>3</v>
      </c>
      <c r="AD556">
        <f>YEAR(B556)</f>
        <v>2025</v>
      </c>
      <c r="AE556" s="10">
        <f t="shared" si="8"/>
        <v>2.500000000509317E-3</v>
      </c>
      <c r="AF556" t="s">
        <v>2804</v>
      </c>
      <c r="AG556" t="s">
        <v>2811</v>
      </c>
    </row>
    <row r="557" spans="1:33">
      <c r="A557" t="s">
        <v>587</v>
      </c>
      <c r="B557" s="4">
        <v>45687</v>
      </c>
      <c r="C557" s="4">
        <v>45692</v>
      </c>
      <c r="D557">
        <f>_xlfn.DAYS(C557,B557)</f>
        <v>5</v>
      </c>
      <c r="E557" t="s">
        <v>2804</v>
      </c>
      <c r="F557" t="s">
        <v>588</v>
      </c>
      <c r="G557" t="s">
        <v>114</v>
      </c>
      <c r="H557" t="s">
        <v>90</v>
      </c>
      <c r="I557" t="s">
        <v>25</v>
      </c>
      <c r="J557" t="s">
        <v>236</v>
      </c>
      <c r="K557" t="s">
        <v>237</v>
      </c>
      <c r="L557" t="s">
        <v>41</v>
      </c>
      <c r="M557" t="s">
        <v>66</v>
      </c>
      <c r="N557" t="s">
        <v>589</v>
      </c>
      <c r="O557" t="s">
        <v>44</v>
      </c>
      <c r="P557">
        <v>9</v>
      </c>
      <c r="Q557">
        <v>4430.5</v>
      </c>
      <c r="R557">
        <v>0.15</v>
      </c>
      <c r="S557">
        <f>IF(ISNUMBER(SEARCH("%",R557)), VALUE(SUBSTITUTE(R557,"%",""))/100,IF(ISNUMBER(R557), R557, 0))</f>
        <v>0.15</v>
      </c>
      <c r="T557" t="str">
        <f>IF(S557&lt;0,"Negative discount (invalid)",IF(S557&gt;0.5,"Discount above allowed range (invalid)",IF(AND(R557="",S557=0),"Missing discount set to 0","OK")))</f>
        <v>OK</v>
      </c>
      <c r="U557">
        <v>33893.32</v>
      </c>
      <c r="V557">
        <v>25750.35</v>
      </c>
      <c r="W557">
        <v>8142.97</v>
      </c>
      <c r="X557" t="s">
        <v>111</v>
      </c>
      <c r="Y557" t="s">
        <v>68</v>
      </c>
      <c r="Z557">
        <f>IF(T557="OK",P557*Q557*(1-S557),"invalid")</f>
        <v>33893.324999999997</v>
      </c>
      <c r="AA557">
        <f>IF(Z557="N/A","N/A",Z557-V557)</f>
        <v>8142.9749999999985</v>
      </c>
      <c r="AB557" s="8">
        <f>IF(Z557&lt;&gt;"N/A", AA557/Z557, "N/A")</f>
        <v>0.24025305867748292</v>
      </c>
      <c r="AC557">
        <f>MONTH(B557)</f>
        <v>1</v>
      </c>
      <c r="AD557">
        <f>YEAR(B557)</f>
        <v>2025</v>
      </c>
      <c r="AE557" s="10">
        <f t="shared" si="8"/>
        <v>4.9999999973806553E-3</v>
      </c>
      <c r="AF557" t="s">
        <v>2804</v>
      </c>
      <c r="AG557" t="s">
        <v>2811</v>
      </c>
    </row>
    <row r="558" spans="1:33">
      <c r="A558" t="s">
        <v>590</v>
      </c>
      <c r="B558" s="4">
        <v>45938</v>
      </c>
      <c r="C558" s="4">
        <v>45936</v>
      </c>
      <c r="D558">
        <f>_xlfn.DAYS(C558,B558)</f>
        <v>-2</v>
      </c>
      <c r="E558" t="str">
        <f>IF(B558="INVALID","Missing/Invalid order_date", IF(C558="INVALID","Missing/Invalid ship_date",IF(AND(B558&lt;&gt;"",C558&lt;&gt;"",C558&lt;B558),"Ship date before order date","")))</f>
        <v>Ship date before order date</v>
      </c>
      <c r="F558" t="s">
        <v>591</v>
      </c>
      <c r="G558" t="s">
        <v>71</v>
      </c>
      <c r="H558" t="s">
        <v>37</v>
      </c>
      <c r="I558" t="s">
        <v>63</v>
      </c>
      <c r="J558" t="s">
        <v>64</v>
      </c>
      <c r="K558" t="s">
        <v>65</v>
      </c>
      <c r="L558" t="s">
        <v>28</v>
      </c>
      <c r="M558" t="s">
        <v>29</v>
      </c>
      <c r="N558" t="s">
        <v>592</v>
      </c>
      <c r="O558" t="s">
        <v>31</v>
      </c>
      <c r="P558">
        <v>4</v>
      </c>
      <c r="Q558">
        <v>1260.42</v>
      </c>
      <c r="R558">
        <v>0.05</v>
      </c>
      <c r="S558">
        <f>IF(ISNUMBER(SEARCH("%",R558)), VALUE(SUBSTITUTE(R558,"%",""))/100,IF(ISNUMBER(R558), R558, 0))</f>
        <v>0.05</v>
      </c>
      <c r="T558" t="str">
        <f>IF(S558&lt;0,"Negative discount (invalid)",IF(S558&gt;0.5,"Discount above allowed range (invalid)",IF(AND(R558="",S558=0),"Missing discount set to 0","OK")))</f>
        <v>OK</v>
      </c>
      <c r="U558">
        <v>4789.6000000000004</v>
      </c>
      <c r="V558">
        <v>4037.64</v>
      </c>
      <c r="W558">
        <v>751.96</v>
      </c>
      <c r="X558" t="s">
        <v>111</v>
      </c>
      <c r="Y558" t="s">
        <v>68</v>
      </c>
      <c r="Z558">
        <f>IF(T558="OK",P558*Q558*(1-S558),"invalid")</f>
        <v>4789.5960000000005</v>
      </c>
      <c r="AA558">
        <f>IF(Z558="N/A","N/A",Z558-V558)</f>
        <v>751.95600000000059</v>
      </c>
      <c r="AB558" s="8">
        <f>IF(Z558&lt;&gt;"N/A", AA558/Z558, "N/A")</f>
        <v>0.1569977927157114</v>
      </c>
      <c r="AC558">
        <f>MONTH(B558)</f>
        <v>10</v>
      </c>
      <c r="AD558">
        <f>YEAR(B558)</f>
        <v>2025</v>
      </c>
      <c r="AE558" s="10">
        <f t="shared" si="8"/>
        <v>3.9999999999054126E-3</v>
      </c>
      <c r="AF558" t="s">
        <v>2806</v>
      </c>
      <c r="AG558" t="s">
        <v>2789</v>
      </c>
    </row>
    <row r="559" spans="1:33">
      <c r="A559" t="s">
        <v>593</v>
      </c>
      <c r="B559" s="4">
        <v>45862</v>
      </c>
      <c r="C559" s="4">
        <v>45868</v>
      </c>
      <c r="D559">
        <f>_xlfn.DAYS(C559,B559)</f>
        <v>6</v>
      </c>
      <c r="E559" t="s">
        <v>2804</v>
      </c>
      <c r="F559" t="s">
        <v>594</v>
      </c>
      <c r="G559" t="s">
        <v>53</v>
      </c>
      <c r="H559" t="s">
        <v>24</v>
      </c>
      <c r="I559" t="s">
        <v>63</v>
      </c>
      <c r="J559" t="s">
        <v>26</v>
      </c>
      <c r="K559" t="s">
        <v>109</v>
      </c>
      <c r="L559" t="s">
        <v>28</v>
      </c>
      <c r="M559" t="s">
        <v>153</v>
      </c>
      <c r="N559" t="s">
        <v>595</v>
      </c>
      <c r="O559" t="s">
        <v>59</v>
      </c>
      <c r="P559">
        <v>1</v>
      </c>
      <c r="Q559">
        <v>1643.41</v>
      </c>
      <c r="R559">
        <v>0</v>
      </c>
      <c r="S559">
        <f>IF(ISNUMBER(SEARCH("%",R559)), VALUE(SUBSTITUTE(R559,"%",""))/100,IF(ISNUMBER(R559), R559, 0))</f>
        <v>0</v>
      </c>
      <c r="T559" t="str">
        <f>IF(S559&lt;0,"Negative discount (invalid)",IF(S559&gt;0.5,"Discount above allowed range (invalid)",IF(AND(R559="",S559=0),"Missing discount set to 0","OK")))</f>
        <v>OK</v>
      </c>
      <c r="U559">
        <v>1643.41</v>
      </c>
      <c r="V559">
        <v>907.4</v>
      </c>
      <c r="W559">
        <v>736.01</v>
      </c>
      <c r="X559" t="s">
        <v>111</v>
      </c>
      <c r="Y559" t="s">
        <v>68</v>
      </c>
      <c r="Z559">
        <f>IF(T559="OK",P559*Q559*(1-S559),"invalid")</f>
        <v>1643.41</v>
      </c>
      <c r="AA559">
        <f>IF(Z559="N/A","N/A",Z559-V559)</f>
        <v>736.0100000000001</v>
      </c>
      <c r="AB559" s="8">
        <f>IF(Z559&lt;&gt;"N/A", AA559/Z559, "N/A")</f>
        <v>0.44785537388722235</v>
      </c>
      <c r="AC559">
        <f>MONTH(B559)</f>
        <v>7</v>
      </c>
      <c r="AD559">
        <f>YEAR(B559)</f>
        <v>2025</v>
      </c>
      <c r="AE559" s="10">
        <f t="shared" si="8"/>
        <v>0</v>
      </c>
      <c r="AF559" t="s">
        <v>2804</v>
      </c>
      <c r="AG559" t="s">
        <v>2811</v>
      </c>
    </row>
    <row r="560" spans="1:33">
      <c r="A560" t="s">
        <v>599</v>
      </c>
      <c r="B560" s="4">
        <v>45921</v>
      </c>
      <c r="C560" s="4">
        <v>45926</v>
      </c>
      <c r="D560">
        <f>_xlfn.DAYS(C560,B560)</f>
        <v>5</v>
      </c>
      <c r="E560" t="s">
        <v>2804</v>
      </c>
      <c r="F560" t="s">
        <v>600</v>
      </c>
      <c r="G560" t="s">
        <v>141</v>
      </c>
      <c r="H560" t="s">
        <v>95</v>
      </c>
      <c r="I560" t="s">
        <v>63</v>
      </c>
      <c r="J560" t="s">
        <v>180</v>
      </c>
      <c r="K560" t="s">
        <v>181</v>
      </c>
      <c r="L560" t="s">
        <v>41</v>
      </c>
      <c r="M560" t="s">
        <v>42</v>
      </c>
      <c r="N560" t="s">
        <v>601</v>
      </c>
      <c r="O560" t="s">
        <v>2785</v>
      </c>
      <c r="P560">
        <v>6</v>
      </c>
      <c r="Q560">
        <v>2903.58</v>
      </c>
      <c r="R560">
        <v>0.1</v>
      </c>
      <c r="S560">
        <f>IF(ISNUMBER(SEARCH("%",R560)), VALUE(SUBSTITUTE(R560,"%",""))/100,IF(ISNUMBER(R560), R560, 0))</f>
        <v>0.1</v>
      </c>
      <c r="T560" t="str">
        <f>IF(S560&lt;0,"Negative discount (invalid)",IF(S560&gt;0.5,"Discount above allowed range (invalid)",IF(AND(R560="",S560=0),"Missing discount set to 0","OK")))</f>
        <v>OK</v>
      </c>
      <c r="U560">
        <v>15679.33</v>
      </c>
      <c r="V560">
        <v>12477.82</v>
      </c>
      <c r="W560">
        <v>3201.51</v>
      </c>
      <c r="X560" t="s">
        <v>111</v>
      </c>
      <c r="Y560" t="s">
        <v>103</v>
      </c>
      <c r="Z560">
        <f>IF(T560="OK",P560*Q560*(1-S560),"invalid")</f>
        <v>15679.332</v>
      </c>
      <c r="AA560">
        <f>IF(Z560="N/A","N/A",Z560-V560)</f>
        <v>3201.5120000000006</v>
      </c>
      <c r="AB560" s="8">
        <f>IF(Z560&lt;&gt;"N/A", AA560/Z560, "N/A")</f>
        <v>0.20418675999717339</v>
      </c>
      <c r="AC560">
        <f>MONTH(B560)</f>
        <v>9</v>
      </c>
      <c r="AD560">
        <f>YEAR(B560)</f>
        <v>2025</v>
      </c>
      <c r="AE560" s="10">
        <f t="shared" si="8"/>
        <v>2.0000000004074536E-3</v>
      </c>
      <c r="AF560" t="s">
        <v>2800</v>
      </c>
      <c r="AG560" t="s">
        <v>2798</v>
      </c>
    </row>
    <row r="561" spans="1:33">
      <c r="A561" t="s">
        <v>602</v>
      </c>
      <c r="B561" s="4">
        <v>45909</v>
      </c>
      <c r="C561" s="4">
        <v>45914</v>
      </c>
      <c r="D561">
        <f>_xlfn.DAYS(C561,B561)</f>
        <v>5</v>
      </c>
      <c r="E561" t="s">
        <v>2804</v>
      </c>
      <c r="F561" t="s">
        <v>603</v>
      </c>
      <c r="G561" t="s">
        <v>118</v>
      </c>
      <c r="H561" t="s">
        <v>37</v>
      </c>
      <c r="I561" t="s">
        <v>38</v>
      </c>
      <c r="J561" t="s">
        <v>99</v>
      </c>
      <c r="K561" t="s">
        <v>100</v>
      </c>
      <c r="L561" t="s">
        <v>41</v>
      </c>
      <c r="M561" t="s">
        <v>158</v>
      </c>
      <c r="N561" t="s">
        <v>604</v>
      </c>
      <c r="O561" t="s">
        <v>31</v>
      </c>
      <c r="P561">
        <v>1</v>
      </c>
      <c r="Q561">
        <v>3154.42</v>
      </c>
      <c r="R561">
        <v>0.25</v>
      </c>
      <c r="S561">
        <f>IF(ISNUMBER(SEARCH("%",R561)), VALUE(SUBSTITUTE(R561,"%",""))/100,IF(ISNUMBER(R561), R561, 0))</f>
        <v>0.25</v>
      </c>
      <c r="T561" t="str">
        <f>IF(S561&lt;0,"Negative discount (invalid)",IF(S561&gt;0.5,"Discount above allowed range (invalid)",IF(AND(R561="",S561=0),"Missing discount set to 0","OK")))</f>
        <v>OK</v>
      </c>
      <c r="U561">
        <v>2365.8200000000002</v>
      </c>
      <c r="V561">
        <v>1547.99</v>
      </c>
      <c r="W561">
        <v>817.83</v>
      </c>
      <c r="X561" t="s">
        <v>32</v>
      </c>
      <c r="Y561" t="s">
        <v>33</v>
      </c>
      <c r="Z561">
        <f>IF(T561="OK",P561*Q561*(1-S561),"invalid")</f>
        <v>2365.8150000000001</v>
      </c>
      <c r="AA561">
        <f>IF(Z561="N/A","N/A",Z561-V561)</f>
        <v>817.82500000000005</v>
      </c>
      <c r="AB561" s="8">
        <f>IF(Z561&lt;&gt;"N/A", AA561/Z561, "N/A")</f>
        <v>0.34568425679945392</v>
      </c>
      <c r="AC561">
        <f>MONTH(B561)</f>
        <v>9</v>
      </c>
      <c r="AD561">
        <f>YEAR(B561)</f>
        <v>2025</v>
      </c>
      <c r="AE561" s="10">
        <f t="shared" si="8"/>
        <v>5.0000000001091394E-3</v>
      </c>
      <c r="AF561" t="s">
        <v>2804</v>
      </c>
      <c r="AG561" t="s">
        <v>2811</v>
      </c>
    </row>
    <row r="562" spans="1:33">
      <c r="A562" t="s">
        <v>608</v>
      </c>
      <c r="B562" s="4">
        <v>45708</v>
      </c>
      <c r="C562" s="4">
        <v>45714</v>
      </c>
      <c r="D562">
        <f>_xlfn.DAYS(C562,B562)</f>
        <v>6</v>
      </c>
      <c r="E562" t="s">
        <v>2804</v>
      </c>
      <c r="F562" t="s">
        <v>609</v>
      </c>
      <c r="G562" t="s">
        <v>23</v>
      </c>
      <c r="H562" t="s">
        <v>37</v>
      </c>
      <c r="I562" t="s">
        <v>63</v>
      </c>
      <c r="J562" t="s">
        <v>180</v>
      </c>
      <c r="K562" t="s">
        <v>181</v>
      </c>
      <c r="L562" t="s">
        <v>28</v>
      </c>
      <c r="M562" t="s">
        <v>91</v>
      </c>
      <c r="N562" t="s">
        <v>610</v>
      </c>
      <c r="O562" t="s">
        <v>50</v>
      </c>
      <c r="P562">
        <v>1</v>
      </c>
      <c r="Q562">
        <v>2557.85</v>
      </c>
      <c r="R562">
        <v>0.2</v>
      </c>
      <c r="S562">
        <f>IF(ISNUMBER(SEARCH("%",R562)), VALUE(SUBSTITUTE(R562,"%",""))/100,IF(ISNUMBER(R562), R562, 0))</f>
        <v>0.2</v>
      </c>
      <c r="T562" t="str">
        <f>IF(S562&lt;0,"Negative discount (invalid)",IF(S562&gt;0.5,"Discount above allowed range (invalid)",IF(AND(R562="",S562=0),"Missing discount set to 0","OK")))</f>
        <v>OK</v>
      </c>
      <c r="U562">
        <v>2046.28</v>
      </c>
      <c r="V562">
        <v>1449.54</v>
      </c>
      <c r="W562">
        <v>596.74</v>
      </c>
      <c r="X562" t="s">
        <v>32</v>
      </c>
      <c r="Y562" t="s">
        <v>33</v>
      </c>
      <c r="Z562">
        <f>IF(T562="OK",P562*Q562*(1-S562),"invalid")</f>
        <v>2046.28</v>
      </c>
      <c r="AA562">
        <f>IF(Z562="N/A","N/A",Z562-V562)</f>
        <v>596.74</v>
      </c>
      <c r="AB562" s="8">
        <f>IF(Z562&lt;&gt;"N/A", AA562/Z562, "N/A")</f>
        <v>0.29162186992982386</v>
      </c>
      <c r="AC562">
        <f>MONTH(B562)</f>
        <v>2</v>
      </c>
      <c r="AD562">
        <f>YEAR(B562)</f>
        <v>2025</v>
      </c>
      <c r="AE562" s="10">
        <f t="shared" si="8"/>
        <v>0</v>
      </c>
      <c r="AF562" t="s">
        <v>2804</v>
      </c>
      <c r="AG562" t="s">
        <v>2811</v>
      </c>
    </row>
    <row r="563" spans="1:33">
      <c r="A563" t="s">
        <v>611</v>
      </c>
      <c r="B563" s="4">
        <v>45887</v>
      </c>
      <c r="C563" s="4">
        <v>45887</v>
      </c>
      <c r="D563">
        <f>_xlfn.DAYS(C563,B563)</f>
        <v>0</v>
      </c>
      <c r="E563" t="s">
        <v>2804</v>
      </c>
      <c r="F563" t="s">
        <v>612</v>
      </c>
      <c r="G563" t="s">
        <v>53</v>
      </c>
      <c r="H563" t="s">
        <v>95</v>
      </c>
      <c r="I563" t="s">
        <v>54</v>
      </c>
      <c r="J563" t="s">
        <v>175</v>
      </c>
      <c r="K563" t="s">
        <v>176</v>
      </c>
      <c r="L563" t="s">
        <v>28</v>
      </c>
      <c r="M563" t="s">
        <v>124</v>
      </c>
      <c r="N563" t="s">
        <v>613</v>
      </c>
      <c r="O563" t="s">
        <v>50</v>
      </c>
      <c r="P563">
        <v>9</v>
      </c>
      <c r="Q563">
        <v>3030.93</v>
      </c>
      <c r="R563">
        <v>0.15</v>
      </c>
      <c r="S563">
        <f>IF(ISNUMBER(SEARCH("%",R563)), VALUE(SUBSTITUTE(R563,"%",""))/100,IF(ISNUMBER(R563), R563, 0))</f>
        <v>0.15</v>
      </c>
      <c r="T563" t="str">
        <f>IF(S563&lt;0,"Negative discount (invalid)",IF(S563&gt;0.5,"Discount above allowed range (invalid)",IF(AND(R563="",S563=0),"Missing discount set to 0","OK")))</f>
        <v>OK</v>
      </c>
      <c r="U563">
        <v>23186.61</v>
      </c>
      <c r="V563">
        <v>17906.54</v>
      </c>
      <c r="W563">
        <v>5280.07</v>
      </c>
      <c r="X563" t="s">
        <v>32</v>
      </c>
      <c r="Y563" t="s">
        <v>103</v>
      </c>
      <c r="Z563">
        <f>IF(T563="OK",P563*Q563*(1-S563),"invalid")</f>
        <v>23186.6145</v>
      </c>
      <c r="AA563">
        <f>IF(Z563="N/A","N/A",Z563-V563)</f>
        <v>5280.0744999999988</v>
      </c>
      <c r="AB563" s="8">
        <f>IF(Z563&lt;&gt;"N/A", AA563/Z563, "N/A")</f>
        <v>0.22772080417345961</v>
      </c>
      <c r="AC563">
        <f>MONTH(B563)</f>
        <v>8</v>
      </c>
      <c r="AD563">
        <f>YEAR(B563)</f>
        <v>2025</v>
      </c>
      <c r="AE563" s="10">
        <f t="shared" si="8"/>
        <v>4.4999999990977813E-3</v>
      </c>
      <c r="AF563" t="s">
        <v>2804</v>
      </c>
      <c r="AG563" t="s">
        <v>2811</v>
      </c>
    </row>
    <row r="564" spans="1:33">
      <c r="A564" t="s">
        <v>614</v>
      </c>
      <c r="B564" s="4">
        <v>45677</v>
      </c>
      <c r="C564" s="4">
        <v>45680</v>
      </c>
      <c r="D564">
        <f>_xlfn.DAYS(C564,B564)</f>
        <v>3</v>
      </c>
      <c r="E564" t="s">
        <v>2804</v>
      </c>
      <c r="F564" t="s">
        <v>615</v>
      </c>
      <c r="G564" t="s">
        <v>264</v>
      </c>
      <c r="H564" t="s">
        <v>24</v>
      </c>
      <c r="I564" t="s">
        <v>63</v>
      </c>
      <c r="J564" t="s">
        <v>64</v>
      </c>
      <c r="K564" t="s">
        <v>65</v>
      </c>
      <c r="L564" t="s">
        <v>74</v>
      </c>
      <c r="M564" t="s">
        <v>75</v>
      </c>
      <c r="N564" t="s">
        <v>616</v>
      </c>
      <c r="O564" t="s">
        <v>44</v>
      </c>
      <c r="P564">
        <v>5</v>
      </c>
      <c r="Q564">
        <v>639.27</v>
      </c>
      <c r="R564">
        <v>0.2</v>
      </c>
      <c r="S564">
        <f>IF(ISNUMBER(SEARCH("%",R564)), VALUE(SUBSTITUTE(R564,"%",""))/100,IF(ISNUMBER(R564), R564, 0))</f>
        <v>0.2</v>
      </c>
      <c r="T564" t="str">
        <f>IF(S564&lt;0,"Negative discount (invalid)",IF(S564&gt;0.5,"Discount above allowed range (invalid)",IF(AND(R564="",S564=0),"Missing discount set to 0","OK")))</f>
        <v>OK</v>
      </c>
      <c r="U564">
        <v>2557.08</v>
      </c>
      <c r="V564">
        <v>2025.69</v>
      </c>
      <c r="W564">
        <v>531.39</v>
      </c>
      <c r="X564" t="s">
        <v>32</v>
      </c>
      <c r="Y564" t="s">
        <v>68</v>
      </c>
      <c r="Z564">
        <f>IF(T564="OK",P564*Q564*(1-S564),"invalid")</f>
        <v>2557.08</v>
      </c>
      <c r="AA564">
        <f>IF(Z564="N/A","N/A",Z564-V564)</f>
        <v>531.38999999999987</v>
      </c>
      <c r="AB564" s="8">
        <f>IF(Z564&lt;&gt;"N/A", AA564/Z564, "N/A")</f>
        <v>0.2078112534609789</v>
      </c>
      <c r="AC564">
        <f>MONTH(B564)</f>
        <v>1</v>
      </c>
      <c r="AD564">
        <f>YEAR(B564)</f>
        <v>2025</v>
      </c>
      <c r="AE564" s="10">
        <f t="shared" si="8"/>
        <v>0</v>
      </c>
      <c r="AF564" t="s">
        <v>2804</v>
      </c>
      <c r="AG564" t="s">
        <v>2811</v>
      </c>
    </row>
    <row r="565" spans="1:33">
      <c r="A565" t="s">
        <v>617</v>
      </c>
      <c r="B565" s="4">
        <v>45913</v>
      </c>
      <c r="C565" s="4">
        <v>45913</v>
      </c>
      <c r="D565">
        <f>_xlfn.DAYS(C565,B565)</f>
        <v>0</v>
      </c>
      <c r="E565" t="s">
        <v>2804</v>
      </c>
      <c r="F565" t="s">
        <v>618</v>
      </c>
      <c r="G565" t="s">
        <v>162</v>
      </c>
      <c r="H565" t="s">
        <v>24</v>
      </c>
      <c r="I565" t="s">
        <v>38</v>
      </c>
      <c r="J565" t="s">
        <v>166</v>
      </c>
      <c r="K565" t="s">
        <v>167</v>
      </c>
      <c r="L565" t="s">
        <v>28</v>
      </c>
      <c r="M565" t="s">
        <v>48</v>
      </c>
      <c r="N565" t="s">
        <v>619</v>
      </c>
      <c r="O565" t="s">
        <v>59</v>
      </c>
      <c r="P565">
        <v>8</v>
      </c>
      <c r="Q565">
        <v>733.9</v>
      </c>
      <c r="R565">
        <v>0.05</v>
      </c>
      <c r="S565">
        <f>IF(ISNUMBER(SEARCH("%",R565)), VALUE(SUBSTITUTE(R565,"%",""))/100,IF(ISNUMBER(R565), R565, 0))</f>
        <v>0.05</v>
      </c>
      <c r="T565" t="str">
        <f>IF(S565&lt;0,"Negative discount (invalid)",IF(S565&gt;0.5,"Discount above allowed range (invalid)",IF(AND(R565="",S565=0),"Missing discount set to 0","OK")))</f>
        <v>OK</v>
      </c>
      <c r="U565">
        <v>5577.64</v>
      </c>
      <c r="V565">
        <v>3541.29</v>
      </c>
      <c r="W565">
        <v>2036.35</v>
      </c>
      <c r="X565" t="s">
        <v>111</v>
      </c>
      <c r="Y565" t="s">
        <v>103</v>
      </c>
      <c r="Z565">
        <f>IF(T565="OK",P565*Q565*(1-S565),"invalid")</f>
        <v>5577.6399999999994</v>
      </c>
      <c r="AA565">
        <f>IF(Z565="N/A","N/A",Z565-V565)</f>
        <v>2036.3499999999995</v>
      </c>
      <c r="AB565" s="8">
        <f>IF(Z565&lt;&gt;"N/A", AA565/Z565, "N/A")</f>
        <v>0.36509168752375548</v>
      </c>
      <c r="AC565">
        <f>MONTH(B565)</f>
        <v>9</v>
      </c>
      <c r="AD565">
        <f>YEAR(B565)</f>
        <v>2025</v>
      </c>
      <c r="AE565" s="10">
        <f t="shared" si="8"/>
        <v>9.0949470177292824E-13</v>
      </c>
      <c r="AF565" t="s">
        <v>2804</v>
      </c>
      <c r="AG565" t="s">
        <v>2811</v>
      </c>
    </row>
    <row r="566" spans="1:33">
      <c r="A566" t="s">
        <v>620</v>
      </c>
      <c r="B566" s="4">
        <v>45907</v>
      </c>
      <c r="C566" s="4">
        <v>45915</v>
      </c>
      <c r="D566">
        <f>_xlfn.DAYS(C566,B566)</f>
        <v>8</v>
      </c>
      <c r="E566" t="s">
        <v>2804</v>
      </c>
      <c r="F566" t="s">
        <v>621</v>
      </c>
      <c r="G566" t="s">
        <v>141</v>
      </c>
      <c r="H566" t="s">
        <v>90</v>
      </c>
      <c r="I566" t="s">
        <v>38</v>
      </c>
      <c r="J566" t="s">
        <v>145</v>
      </c>
      <c r="K566" t="s">
        <v>146</v>
      </c>
      <c r="L566" t="s">
        <v>74</v>
      </c>
      <c r="M566" t="s">
        <v>80</v>
      </c>
      <c r="N566" t="s">
        <v>622</v>
      </c>
      <c r="O566" t="s">
        <v>59</v>
      </c>
      <c r="P566">
        <v>3</v>
      </c>
      <c r="Q566">
        <v>1711.32</v>
      </c>
      <c r="R566">
        <v>0</v>
      </c>
      <c r="S566">
        <f>IF(ISNUMBER(SEARCH("%",R566)), VALUE(SUBSTITUTE(R566,"%",""))/100,IF(ISNUMBER(R566), R566, 0))</f>
        <v>0</v>
      </c>
      <c r="T566" t="str">
        <f>IF(S566&lt;0,"Negative discount (invalid)",IF(S566&gt;0.5,"Discount above allowed range (invalid)",IF(AND(R566="",S566=0),"Missing discount set to 0","OK")))</f>
        <v>OK</v>
      </c>
      <c r="U566">
        <v>5133.96</v>
      </c>
      <c r="V566">
        <v>3930</v>
      </c>
      <c r="W566">
        <v>1203.96</v>
      </c>
      <c r="X566" t="s">
        <v>32</v>
      </c>
      <c r="Y566" t="s">
        <v>33</v>
      </c>
      <c r="Z566">
        <f>IF(T566="OK",P566*Q566*(1-S566),"invalid")</f>
        <v>5133.96</v>
      </c>
      <c r="AA566">
        <f>IF(Z566="N/A","N/A",Z566-V566)</f>
        <v>1203.96</v>
      </c>
      <c r="AB566" s="8">
        <f>IF(Z566&lt;&gt;"N/A", AA566/Z566, "N/A")</f>
        <v>0.23450903396208775</v>
      </c>
      <c r="AC566">
        <f>MONTH(B566)</f>
        <v>9</v>
      </c>
      <c r="AD566">
        <f>YEAR(B566)</f>
        <v>2025</v>
      </c>
      <c r="AE566" s="10">
        <f t="shared" si="8"/>
        <v>0</v>
      </c>
      <c r="AF566" t="s">
        <v>2804</v>
      </c>
      <c r="AG566" t="s">
        <v>2811</v>
      </c>
    </row>
    <row r="567" spans="1:33">
      <c r="A567" t="s">
        <v>620</v>
      </c>
      <c r="B567" s="4">
        <v>45907</v>
      </c>
      <c r="C567" s="4">
        <v>45915</v>
      </c>
      <c r="D567">
        <f>_xlfn.DAYS(C567,B567)</f>
        <v>8</v>
      </c>
      <c r="E567" t="s">
        <v>2804</v>
      </c>
      <c r="F567" t="s">
        <v>621</v>
      </c>
      <c r="G567" t="s">
        <v>141</v>
      </c>
      <c r="H567" t="s">
        <v>90</v>
      </c>
      <c r="I567" t="s">
        <v>38</v>
      </c>
      <c r="J567" t="s">
        <v>145</v>
      </c>
      <c r="K567" t="s">
        <v>146</v>
      </c>
      <c r="L567" t="s">
        <v>74</v>
      </c>
      <c r="M567" t="s">
        <v>80</v>
      </c>
      <c r="N567" t="s">
        <v>622</v>
      </c>
      <c r="O567" t="s">
        <v>59</v>
      </c>
      <c r="P567">
        <v>3</v>
      </c>
      <c r="Q567">
        <v>1711.32</v>
      </c>
      <c r="R567">
        <v>0</v>
      </c>
      <c r="S567">
        <f>IF(ISNUMBER(SEARCH("%",R567)), VALUE(SUBSTITUTE(R567,"%",""))/100,IF(ISNUMBER(R567), R567, 0))</f>
        <v>0</v>
      </c>
      <c r="T567" t="str">
        <f>IF(S567&lt;0,"Negative discount (invalid)",IF(S567&gt;0.5,"Discount above allowed range (invalid)",IF(AND(R567="",S567=0),"Missing discount set to 0","OK")))</f>
        <v>OK</v>
      </c>
      <c r="U567">
        <v>5206.53</v>
      </c>
      <c r="V567">
        <v>3930</v>
      </c>
      <c r="W567">
        <v>1203.96</v>
      </c>
      <c r="X567" t="s">
        <v>32</v>
      </c>
      <c r="Y567" t="s">
        <v>103</v>
      </c>
      <c r="Z567">
        <f>IF(T567="OK",P567*Q567*(1-S567),"invalid")</f>
        <v>5133.96</v>
      </c>
      <c r="AA567">
        <f>IF(Z567="N/A","N/A",Z567-V567)</f>
        <v>1203.96</v>
      </c>
      <c r="AB567" s="8">
        <f>IF(Z567&lt;&gt;"N/A", AA567/Z567, "N/A")</f>
        <v>0.23450903396208775</v>
      </c>
      <c r="AC567">
        <f>MONTH(B567)</f>
        <v>9</v>
      </c>
      <c r="AD567">
        <f>YEAR(B567)</f>
        <v>2025</v>
      </c>
      <c r="AE567" s="10">
        <f t="shared" si="8"/>
        <v>72.569999999999709</v>
      </c>
      <c r="AF567" t="s">
        <v>2807</v>
      </c>
      <c r="AG567" t="s">
        <v>2789</v>
      </c>
    </row>
    <row r="568" spans="1:33">
      <c r="A568" t="s">
        <v>623</v>
      </c>
      <c r="B568" s="4">
        <v>45711</v>
      </c>
      <c r="C568" s="4">
        <v>45713</v>
      </c>
      <c r="D568">
        <f>_xlfn.DAYS(C568,B568)</f>
        <v>2</v>
      </c>
      <c r="E568" t="s">
        <v>2804</v>
      </c>
      <c r="F568" t="s">
        <v>624</v>
      </c>
      <c r="G568" t="s">
        <v>23</v>
      </c>
      <c r="H568" t="s">
        <v>90</v>
      </c>
      <c r="I568" t="s">
        <v>38</v>
      </c>
      <c r="J568" t="s">
        <v>145</v>
      </c>
      <c r="K568" t="s">
        <v>146</v>
      </c>
      <c r="L568" t="s">
        <v>28</v>
      </c>
      <c r="M568" t="s">
        <v>91</v>
      </c>
      <c r="N568" t="s">
        <v>625</v>
      </c>
      <c r="O568" t="s">
        <v>44</v>
      </c>
      <c r="P568">
        <v>5</v>
      </c>
      <c r="Q568">
        <v>4246.2700000000004</v>
      </c>
      <c r="R568">
        <v>0.25</v>
      </c>
      <c r="S568">
        <f>IF(ISNUMBER(SEARCH("%",R568)), VALUE(SUBSTITUTE(R568,"%",""))/100,IF(ISNUMBER(R568), R568, 0))</f>
        <v>0.25</v>
      </c>
      <c r="T568" t="str">
        <f>IF(S568&lt;0,"Negative discount (invalid)",IF(S568&gt;0.5,"Discount above allowed range (invalid)",IF(AND(R568="",S568=0),"Missing discount set to 0","OK")))</f>
        <v>OK</v>
      </c>
      <c r="U568">
        <v>15923.51</v>
      </c>
      <c r="V568">
        <v>11291.8</v>
      </c>
      <c r="W568">
        <v>4631.71</v>
      </c>
      <c r="X568" t="s">
        <v>32</v>
      </c>
      <c r="Y568" t="s">
        <v>33</v>
      </c>
      <c r="Z568">
        <f>IF(T568="OK",P568*Q568*(1-S568),"invalid")</f>
        <v>15923.512500000001</v>
      </c>
      <c r="AA568">
        <f>IF(Z568="N/A","N/A",Z568-V568)</f>
        <v>4631.7125000000015</v>
      </c>
      <c r="AB568" s="8">
        <f>IF(Z568&lt;&gt;"N/A", AA568/Z568, "N/A")</f>
        <v>0.29087253832971849</v>
      </c>
      <c r="AC568">
        <f>MONTH(B568)</f>
        <v>2</v>
      </c>
      <c r="AD568">
        <f>YEAR(B568)</f>
        <v>2025</v>
      </c>
      <c r="AE568" s="10">
        <f t="shared" si="8"/>
        <v>2.500000000509317E-3</v>
      </c>
      <c r="AF568" t="s">
        <v>2804</v>
      </c>
      <c r="AG568" t="s">
        <v>2811</v>
      </c>
    </row>
    <row r="569" spans="1:33">
      <c r="A569" t="s">
        <v>626</v>
      </c>
      <c r="B569" s="4">
        <v>45871</v>
      </c>
      <c r="C569" s="4">
        <v>45879</v>
      </c>
      <c r="D569">
        <f>_xlfn.DAYS(C569,B569)</f>
        <v>8</v>
      </c>
      <c r="E569" t="s">
        <v>2804</v>
      </c>
      <c r="F569" t="s">
        <v>627</v>
      </c>
      <c r="G569" t="s">
        <v>23</v>
      </c>
      <c r="H569" t="s">
        <v>90</v>
      </c>
      <c r="I569" t="s">
        <v>25</v>
      </c>
      <c r="J569" t="s">
        <v>350</v>
      </c>
      <c r="K569" t="s">
        <v>351</v>
      </c>
      <c r="L569" t="s">
        <v>41</v>
      </c>
      <c r="M569" t="s">
        <v>57</v>
      </c>
      <c r="N569" t="s">
        <v>628</v>
      </c>
      <c r="O569" t="s">
        <v>44</v>
      </c>
      <c r="P569">
        <v>9</v>
      </c>
      <c r="Q569">
        <v>2962.62</v>
      </c>
      <c r="R569">
        <v>0.1</v>
      </c>
      <c r="S569">
        <f>IF(ISNUMBER(SEARCH("%",R569)), VALUE(SUBSTITUTE(R569,"%",""))/100,IF(ISNUMBER(R569), R569, 0))</f>
        <v>0.1</v>
      </c>
      <c r="T569" t="str">
        <f>IF(S569&lt;0,"Negative discount (invalid)",IF(S569&gt;0.5,"Discount above allowed range (invalid)",IF(AND(R569="",S569=0),"Missing discount set to 0","OK")))</f>
        <v>OK</v>
      </c>
      <c r="U569">
        <v>23997.22</v>
      </c>
      <c r="V569">
        <v>16134.63</v>
      </c>
      <c r="W569">
        <v>7862.59</v>
      </c>
      <c r="X569" t="s">
        <v>102</v>
      </c>
      <c r="Y569" t="s">
        <v>103</v>
      </c>
      <c r="Z569">
        <f>IF(T569="OK",P569*Q569*(1-S569),"invalid")</f>
        <v>23997.221999999998</v>
      </c>
      <c r="AA569">
        <f>IF(Z569="N/A","N/A",Z569-V569)</f>
        <v>7862.5919999999987</v>
      </c>
      <c r="AB569" s="8">
        <f>IF(Z569&lt;&gt;"N/A", AA569/Z569, "N/A")</f>
        <v>0.32764592501582057</v>
      </c>
      <c r="AC569">
        <f>MONTH(B569)</f>
        <v>8</v>
      </c>
      <c r="AD569">
        <f>YEAR(B569)</f>
        <v>2025</v>
      </c>
      <c r="AE569" s="10">
        <f t="shared" si="8"/>
        <v>1.9999999967694748E-3</v>
      </c>
      <c r="AF569" t="s">
        <v>2804</v>
      </c>
      <c r="AG569" t="s">
        <v>2811</v>
      </c>
    </row>
    <row r="570" spans="1:33">
      <c r="A570" t="s">
        <v>632</v>
      </c>
      <c r="B570" s="4">
        <v>45928</v>
      </c>
      <c r="C570" s="4">
        <v>45934</v>
      </c>
      <c r="D570">
        <f>_xlfn.DAYS(C570,B570)</f>
        <v>6</v>
      </c>
      <c r="E570" t="s">
        <v>2804</v>
      </c>
      <c r="F570" t="s">
        <v>633</v>
      </c>
      <c r="G570" t="s">
        <v>23</v>
      </c>
      <c r="H570" t="s">
        <v>37</v>
      </c>
      <c r="I570" t="s">
        <v>54</v>
      </c>
      <c r="J570" t="s">
        <v>175</v>
      </c>
      <c r="K570" t="s">
        <v>176</v>
      </c>
      <c r="L570" t="s">
        <v>41</v>
      </c>
      <c r="M570" t="s">
        <v>158</v>
      </c>
      <c r="N570" t="s">
        <v>634</v>
      </c>
      <c r="O570" t="s">
        <v>50</v>
      </c>
      <c r="P570">
        <v>6</v>
      </c>
      <c r="Q570">
        <v>1620.53</v>
      </c>
      <c r="R570">
        <v>0.15</v>
      </c>
      <c r="S570">
        <f>IF(ISNUMBER(SEARCH("%",R570)), VALUE(SUBSTITUTE(R570,"%",""))/100,IF(ISNUMBER(R570), R570, 0))</f>
        <v>0.15</v>
      </c>
      <c r="T570" t="str">
        <f>IF(S570&lt;0,"Negative discount (invalid)",IF(S570&gt;0.5,"Discount above allowed range (invalid)",IF(AND(R570="",S570=0),"Missing discount set to 0","OK")))</f>
        <v>OK</v>
      </c>
      <c r="U570">
        <v>8264.7000000000007</v>
      </c>
      <c r="V570">
        <v>4768.75</v>
      </c>
      <c r="W570">
        <v>3495.95</v>
      </c>
      <c r="X570" t="s">
        <v>111</v>
      </c>
      <c r="Y570" t="s">
        <v>103</v>
      </c>
      <c r="Z570">
        <f>IF(T570="OK",P570*Q570*(1-S570),"invalid")</f>
        <v>8264.7029999999995</v>
      </c>
      <c r="AA570">
        <f>IF(Z570="N/A","N/A",Z570-V570)</f>
        <v>3495.9529999999995</v>
      </c>
      <c r="AB570" s="8">
        <f>IF(Z570&lt;&gt;"N/A", AA570/Z570, "N/A")</f>
        <v>0.42299801940856191</v>
      </c>
      <c r="AC570">
        <f>MONTH(B570)</f>
        <v>9</v>
      </c>
      <c r="AD570">
        <f>YEAR(B570)</f>
        <v>2025</v>
      </c>
      <c r="AE570" s="10">
        <f t="shared" si="8"/>
        <v>2.999999998792191E-3</v>
      </c>
      <c r="AF570" t="s">
        <v>2804</v>
      </c>
      <c r="AG570" t="s">
        <v>2811</v>
      </c>
    </row>
    <row r="571" spans="1:33">
      <c r="A571" t="s">
        <v>638</v>
      </c>
      <c r="B571" s="4">
        <v>45734</v>
      </c>
      <c r="C571" s="4">
        <v>45742</v>
      </c>
      <c r="D571">
        <f>_xlfn.DAYS(C571,B571)</f>
        <v>8</v>
      </c>
      <c r="E571" t="s">
        <v>2804</v>
      </c>
      <c r="F571" t="s">
        <v>639</v>
      </c>
      <c r="G571" t="s">
        <v>71</v>
      </c>
      <c r="H571" t="s">
        <v>90</v>
      </c>
      <c r="I571" t="s">
        <v>38</v>
      </c>
      <c r="J571" t="s">
        <v>228</v>
      </c>
      <c r="K571" t="s">
        <v>229</v>
      </c>
      <c r="L571" t="s">
        <v>41</v>
      </c>
      <c r="M571" t="s">
        <v>158</v>
      </c>
      <c r="N571" t="s">
        <v>640</v>
      </c>
      <c r="O571" t="s">
        <v>59</v>
      </c>
      <c r="P571">
        <v>8</v>
      </c>
      <c r="Q571">
        <v>3563.09</v>
      </c>
      <c r="R571">
        <v>0.15</v>
      </c>
      <c r="S571">
        <f>IF(ISNUMBER(SEARCH("%",R571)), VALUE(SUBSTITUTE(R571,"%",""))/100,IF(ISNUMBER(R571), R571, 0))</f>
        <v>0.15</v>
      </c>
      <c r="T571" t="str">
        <f>IF(S571&lt;0,"Negative discount (invalid)",IF(S571&gt;0.5,"Discount above allowed range (invalid)",IF(AND(R571="",S571=0),"Missing discount set to 0","OK")))</f>
        <v>OK</v>
      </c>
      <c r="U571">
        <v>24229.01</v>
      </c>
      <c r="V571">
        <v>13910.64</v>
      </c>
      <c r="W571">
        <v>10318.370000000001</v>
      </c>
      <c r="X571" t="s">
        <v>32</v>
      </c>
      <c r="Y571" t="s">
        <v>33</v>
      </c>
      <c r="Z571">
        <f>IF(T571="OK",P571*Q571*(1-S571),"invalid")</f>
        <v>24229.011999999999</v>
      </c>
      <c r="AA571">
        <f>IF(Z571="N/A","N/A",Z571-V571)</f>
        <v>10318.371999999999</v>
      </c>
      <c r="AB571" s="8">
        <f>IF(Z571&lt;&gt;"N/A", AA571/Z571, "N/A")</f>
        <v>0.42586845885420338</v>
      </c>
      <c r="AC571">
        <f>MONTH(B571)</f>
        <v>3</v>
      </c>
      <c r="AD571">
        <f>YEAR(B571)</f>
        <v>2025</v>
      </c>
      <c r="AE571" s="10">
        <f t="shared" si="8"/>
        <v>2.0000000004074536E-3</v>
      </c>
      <c r="AF571" t="s">
        <v>2804</v>
      </c>
      <c r="AG571" t="s">
        <v>2811</v>
      </c>
    </row>
    <row r="572" spans="1:33">
      <c r="A572" t="s">
        <v>653</v>
      </c>
      <c r="B572" s="4">
        <v>45909</v>
      </c>
      <c r="C572" s="4">
        <v>45910</v>
      </c>
      <c r="D572">
        <f>_xlfn.DAYS(C572,B572)</f>
        <v>1</v>
      </c>
      <c r="E572" t="s">
        <v>2804</v>
      </c>
      <c r="F572" t="s">
        <v>654</v>
      </c>
      <c r="G572" t="s">
        <v>114</v>
      </c>
      <c r="H572" t="s">
        <v>95</v>
      </c>
      <c r="I572" t="s">
        <v>54</v>
      </c>
      <c r="J572" t="s">
        <v>247</v>
      </c>
      <c r="K572" t="s">
        <v>248</v>
      </c>
      <c r="L572" t="s">
        <v>28</v>
      </c>
      <c r="M572" t="s">
        <v>48</v>
      </c>
      <c r="N572" t="s">
        <v>655</v>
      </c>
      <c r="O572" t="s">
        <v>31</v>
      </c>
      <c r="P572">
        <v>4</v>
      </c>
      <c r="Q572">
        <v>2551.4499999999998</v>
      </c>
      <c r="R572">
        <v>0</v>
      </c>
      <c r="S572">
        <f>IF(ISNUMBER(SEARCH("%",R572)), VALUE(SUBSTITUTE(R572,"%",""))/100,IF(ISNUMBER(R572), R572, 0))</f>
        <v>0</v>
      </c>
      <c r="T572" t="str">
        <f>IF(S572&lt;0,"Negative discount (invalid)",IF(S572&gt;0.5,"Discount above allowed range (invalid)",IF(AND(R572="",S572=0),"Missing discount set to 0","OK")))</f>
        <v>OK</v>
      </c>
      <c r="U572">
        <v>10205.799999999999</v>
      </c>
      <c r="V572">
        <v>5986.31</v>
      </c>
      <c r="W572">
        <v>4219.49</v>
      </c>
      <c r="X572" t="s">
        <v>32</v>
      </c>
      <c r="Y572" t="s">
        <v>33</v>
      </c>
      <c r="Z572">
        <f>IF(T572="OK",P572*Q572*(1-S572),"invalid")</f>
        <v>10205.799999999999</v>
      </c>
      <c r="AA572">
        <f>IF(Z572="N/A","N/A",Z572-V572)</f>
        <v>4219.4899999999989</v>
      </c>
      <c r="AB572" s="8">
        <f>IF(Z572&lt;&gt;"N/A", AA572/Z572, "N/A")</f>
        <v>0.41344039663720622</v>
      </c>
      <c r="AC572">
        <f>MONTH(B572)</f>
        <v>9</v>
      </c>
      <c r="AD572">
        <f>YEAR(B572)</f>
        <v>2025</v>
      </c>
      <c r="AE572" s="10">
        <f t="shared" si="8"/>
        <v>0</v>
      </c>
      <c r="AF572" t="s">
        <v>2804</v>
      </c>
      <c r="AG572" t="s">
        <v>2811</v>
      </c>
    </row>
    <row r="573" spans="1:33">
      <c r="A573" t="s">
        <v>659</v>
      </c>
      <c r="B573" s="4">
        <v>45832</v>
      </c>
      <c r="C573" s="4">
        <v>45835</v>
      </c>
      <c r="D573">
        <f>_xlfn.DAYS(C573,B573)</f>
        <v>3</v>
      </c>
      <c r="E573" t="s">
        <v>2804</v>
      </c>
      <c r="F573" t="s">
        <v>660</v>
      </c>
      <c r="G573" t="s">
        <v>71</v>
      </c>
      <c r="H573" t="s">
        <v>95</v>
      </c>
      <c r="I573" t="s">
        <v>54</v>
      </c>
      <c r="J573" t="s">
        <v>55</v>
      </c>
      <c r="K573" t="s">
        <v>56</v>
      </c>
      <c r="L573" t="s">
        <v>74</v>
      </c>
      <c r="M573" t="s">
        <v>80</v>
      </c>
      <c r="N573" t="s">
        <v>661</v>
      </c>
      <c r="O573" t="s">
        <v>59</v>
      </c>
      <c r="P573">
        <v>7</v>
      </c>
      <c r="Q573">
        <v>2304.86</v>
      </c>
      <c r="R573">
        <v>0.2</v>
      </c>
      <c r="S573">
        <f>IF(ISNUMBER(SEARCH("%",R573)), VALUE(SUBSTITUTE(R573,"%",""))/100,IF(ISNUMBER(R573), R573, 0))</f>
        <v>0.2</v>
      </c>
      <c r="T573" t="str">
        <f>IF(S573&lt;0,"Negative discount (invalid)",IF(S573&gt;0.5,"Discount above allowed range (invalid)",IF(AND(R573="",S573=0),"Missing discount set to 0","OK")))</f>
        <v>OK</v>
      </c>
      <c r="U573">
        <v>12907.22</v>
      </c>
      <c r="V573">
        <v>8327.89</v>
      </c>
      <c r="W573">
        <v>4579.33</v>
      </c>
      <c r="X573" t="s">
        <v>32</v>
      </c>
      <c r="Y573" t="s">
        <v>103</v>
      </c>
      <c r="Z573">
        <f>IF(T573="OK",P573*Q573*(1-S573),"invalid")</f>
        <v>12907.216</v>
      </c>
      <c r="AA573">
        <f>IF(Z573="N/A","N/A",Z573-V573)</f>
        <v>4579.3260000000009</v>
      </c>
      <c r="AB573" s="8">
        <f>IF(Z573&lt;&gt;"N/A", AA573/Z573, "N/A")</f>
        <v>0.3547880503433119</v>
      </c>
      <c r="AC573">
        <f>MONTH(B573)</f>
        <v>6</v>
      </c>
      <c r="AD573">
        <f>YEAR(B573)</f>
        <v>2025</v>
      </c>
      <c r="AE573" s="10">
        <f t="shared" si="8"/>
        <v>3.9999999989959178E-3</v>
      </c>
      <c r="AF573" t="s">
        <v>2804</v>
      </c>
      <c r="AG573" t="s">
        <v>2811</v>
      </c>
    </row>
    <row r="574" spans="1:33">
      <c r="A574" t="s">
        <v>670</v>
      </c>
      <c r="B574" s="4">
        <v>45778</v>
      </c>
      <c r="C574" s="4">
        <v>45779</v>
      </c>
      <c r="D574">
        <f>_xlfn.DAYS(C574,B574)</f>
        <v>1</v>
      </c>
      <c r="E574" t="s">
        <v>2804</v>
      </c>
      <c r="F574" t="s">
        <v>671</v>
      </c>
      <c r="G574" t="s">
        <v>36</v>
      </c>
      <c r="H574" t="s">
        <v>24</v>
      </c>
      <c r="I574" t="s">
        <v>63</v>
      </c>
      <c r="J574" t="s">
        <v>72</v>
      </c>
      <c r="K574" t="s">
        <v>73</v>
      </c>
      <c r="L574" t="s">
        <v>41</v>
      </c>
      <c r="M574" t="s">
        <v>66</v>
      </c>
      <c r="N574" t="s">
        <v>672</v>
      </c>
      <c r="O574" t="s">
        <v>44</v>
      </c>
      <c r="P574">
        <v>3</v>
      </c>
      <c r="Q574">
        <v>2905.74</v>
      </c>
      <c r="R574">
        <v>0</v>
      </c>
      <c r="S574">
        <f>IF(ISNUMBER(SEARCH("%",R574)), VALUE(SUBSTITUTE(R574,"%",""))/100,IF(ISNUMBER(R574), R574, 0))</f>
        <v>0</v>
      </c>
      <c r="T574" t="str">
        <f>IF(S574&lt;0,"Negative discount (invalid)",IF(S574&gt;0.5,"Discount above allowed range (invalid)",IF(AND(R574="",S574=0),"Missing discount set to 0","OK")))</f>
        <v>OK</v>
      </c>
      <c r="U574">
        <v>8717.2199999999993</v>
      </c>
      <c r="V574">
        <v>6215.96</v>
      </c>
      <c r="W574">
        <v>2501.2600000000002</v>
      </c>
      <c r="X574" t="s">
        <v>32</v>
      </c>
      <c r="Y574" t="s">
        <v>103</v>
      </c>
      <c r="Z574">
        <f>IF(T574="OK",P574*Q574*(1-S574),"invalid")</f>
        <v>8717.2199999999993</v>
      </c>
      <c r="AA574">
        <f>IF(Z574="N/A","N/A",Z574-V574)</f>
        <v>2501.2599999999993</v>
      </c>
      <c r="AB574" s="8">
        <f>IF(Z574&lt;&gt;"N/A", AA574/Z574, "N/A")</f>
        <v>0.28693321953558582</v>
      </c>
      <c r="AC574">
        <f>MONTH(B574)</f>
        <v>5</v>
      </c>
      <c r="AD574">
        <f>YEAR(B574)</f>
        <v>2025</v>
      </c>
      <c r="AE574" s="10">
        <f t="shared" si="8"/>
        <v>0</v>
      </c>
      <c r="AF574" t="s">
        <v>2804</v>
      </c>
      <c r="AG574" t="s">
        <v>2811</v>
      </c>
    </row>
    <row r="575" spans="1:33">
      <c r="A575" t="s">
        <v>673</v>
      </c>
      <c r="B575" s="4">
        <v>45798</v>
      </c>
      <c r="C575" s="4">
        <v>45805</v>
      </c>
      <c r="D575">
        <f>_xlfn.DAYS(C575,B575)</f>
        <v>7</v>
      </c>
      <c r="E575" t="s">
        <v>2804</v>
      </c>
      <c r="F575" t="s">
        <v>674</v>
      </c>
      <c r="G575" t="s">
        <v>114</v>
      </c>
      <c r="H575" t="s">
        <v>90</v>
      </c>
      <c r="I575" t="s">
        <v>38</v>
      </c>
      <c r="J575" t="s">
        <v>99</v>
      </c>
      <c r="K575" t="s">
        <v>100</v>
      </c>
      <c r="L575" t="s">
        <v>41</v>
      </c>
      <c r="M575" t="s">
        <v>158</v>
      </c>
      <c r="N575" t="s">
        <v>675</v>
      </c>
      <c r="O575" t="s">
        <v>44</v>
      </c>
      <c r="P575">
        <v>2</v>
      </c>
      <c r="Q575">
        <v>3559.57</v>
      </c>
      <c r="R575">
        <v>0.1</v>
      </c>
      <c r="S575">
        <f>IF(ISNUMBER(SEARCH("%",R575)), VALUE(SUBSTITUTE(R575,"%",""))/100,IF(ISNUMBER(R575), R575, 0))</f>
        <v>0.1</v>
      </c>
      <c r="T575" t="str">
        <f>IF(S575&lt;0,"Negative discount (invalid)",IF(S575&gt;0.5,"Discount above allowed range (invalid)",IF(AND(R575="",S575=0),"Missing discount set to 0","OK")))</f>
        <v>OK</v>
      </c>
      <c r="U575">
        <v>6553.95</v>
      </c>
      <c r="V575">
        <v>4923.09</v>
      </c>
      <c r="W575">
        <v>1484.14</v>
      </c>
      <c r="X575" t="s">
        <v>32</v>
      </c>
      <c r="Y575" t="s">
        <v>33</v>
      </c>
      <c r="Z575">
        <f>IF(T575="OK",P575*Q575*(1-S575),"invalid")</f>
        <v>6407.2260000000006</v>
      </c>
      <c r="AA575">
        <f>IF(Z575="N/A","N/A",Z575-V575)</f>
        <v>1484.1360000000004</v>
      </c>
      <c r="AB575" s="8">
        <f>IF(Z575&lt;&gt;"N/A", AA575/Z575, "N/A")</f>
        <v>0.23163471992403581</v>
      </c>
      <c r="AC575">
        <f>MONTH(B575)</f>
        <v>5</v>
      </c>
      <c r="AD575">
        <f>YEAR(B575)</f>
        <v>2025</v>
      </c>
      <c r="AE575" s="10">
        <f t="shared" si="8"/>
        <v>146.72399999999925</v>
      </c>
      <c r="AF575" t="s">
        <v>2807</v>
      </c>
      <c r="AG575" t="s">
        <v>2789</v>
      </c>
    </row>
    <row r="576" spans="1:33">
      <c r="A576" t="s">
        <v>676</v>
      </c>
      <c r="B576" s="4">
        <v>45783</v>
      </c>
      <c r="C576" s="4">
        <v>45784</v>
      </c>
      <c r="D576">
        <f>_xlfn.DAYS(C576,B576)</f>
        <v>1</v>
      </c>
      <c r="E576" t="s">
        <v>2804</v>
      </c>
      <c r="F576" t="s">
        <v>677</v>
      </c>
      <c r="G576" t="s">
        <v>53</v>
      </c>
      <c r="H576" t="s">
        <v>24</v>
      </c>
      <c r="I576" t="s">
        <v>63</v>
      </c>
      <c r="J576" t="s">
        <v>26</v>
      </c>
      <c r="K576" t="s">
        <v>109</v>
      </c>
      <c r="L576" t="s">
        <v>41</v>
      </c>
      <c r="M576" t="s">
        <v>158</v>
      </c>
      <c r="N576" t="s">
        <v>678</v>
      </c>
      <c r="O576" t="s">
        <v>50</v>
      </c>
      <c r="P576">
        <v>9</v>
      </c>
      <c r="Q576">
        <v>3318.24</v>
      </c>
      <c r="R576">
        <v>0</v>
      </c>
      <c r="S576">
        <f>IF(ISNUMBER(SEARCH("%",R576)), VALUE(SUBSTITUTE(R576,"%",""))/100,IF(ISNUMBER(R576), R576, 0))</f>
        <v>0</v>
      </c>
      <c r="T576" t="str">
        <f>IF(S576&lt;0,"Negative discount (invalid)",IF(S576&gt;0.5,"Discount above allowed range (invalid)",IF(AND(R576="",S576=0),"Missing discount set to 0","OK")))</f>
        <v>OK</v>
      </c>
      <c r="U576">
        <v>25384.54</v>
      </c>
      <c r="V576">
        <v>16872.39</v>
      </c>
      <c r="W576">
        <v>8512.15</v>
      </c>
      <c r="X576" t="s">
        <v>32</v>
      </c>
      <c r="Y576" t="s">
        <v>33</v>
      </c>
      <c r="Z576">
        <f>IF(T576="OK",P576*Q576*(1-S576),"invalid")</f>
        <v>29864.159999999996</v>
      </c>
      <c r="AA576">
        <f>IF(Z576="N/A","N/A",Z576-V576)</f>
        <v>12991.769999999997</v>
      </c>
      <c r="AB576" s="8">
        <f>IF(Z576&lt;&gt;"N/A", AA576/Z576, "N/A")</f>
        <v>0.43502881045373448</v>
      </c>
      <c r="AC576">
        <f>MONTH(B576)</f>
        <v>5</v>
      </c>
      <c r="AD576">
        <f>YEAR(B576)</f>
        <v>2025</v>
      </c>
      <c r="AE576" s="10">
        <f t="shared" si="8"/>
        <v>4479.6199999999953</v>
      </c>
      <c r="AF576" t="s">
        <v>2807</v>
      </c>
      <c r="AG576" t="s">
        <v>2789</v>
      </c>
    </row>
    <row r="577" spans="1:33">
      <c r="A577" t="s">
        <v>679</v>
      </c>
      <c r="B577" s="4">
        <v>45767</v>
      </c>
      <c r="C577" s="4">
        <v>45768</v>
      </c>
      <c r="D577">
        <f>_xlfn.DAYS(C577,B577)</f>
        <v>1</v>
      </c>
      <c r="E577" t="s">
        <v>2804</v>
      </c>
      <c r="F577" t="s">
        <v>680</v>
      </c>
      <c r="G577" t="s">
        <v>89</v>
      </c>
      <c r="H577" t="s">
        <v>24</v>
      </c>
      <c r="I577" t="s">
        <v>54</v>
      </c>
      <c r="J577" t="s">
        <v>247</v>
      </c>
      <c r="K577" t="s">
        <v>248</v>
      </c>
      <c r="L577" t="s">
        <v>28</v>
      </c>
      <c r="M577" t="s">
        <v>124</v>
      </c>
      <c r="N577" t="s">
        <v>681</v>
      </c>
      <c r="O577" t="s">
        <v>50</v>
      </c>
      <c r="P577">
        <v>3</v>
      </c>
      <c r="Q577">
        <v>540.09</v>
      </c>
      <c r="R577">
        <v>0.1</v>
      </c>
      <c r="S577">
        <f>IF(ISNUMBER(SEARCH("%",R577)), VALUE(SUBSTITUTE(R577,"%",""))/100,IF(ISNUMBER(R577), R577, 0))</f>
        <v>0.1</v>
      </c>
      <c r="T577" t="str">
        <f>IF(S577&lt;0,"Negative discount (invalid)",IF(S577&gt;0.5,"Discount above allowed range (invalid)",IF(AND(R577="",S577=0),"Missing discount set to 0","OK")))</f>
        <v>OK</v>
      </c>
      <c r="U577">
        <v>1458.24</v>
      </c>
      <c r="V577">
        <v>943.32</v>
      </c>
      <c r="W577">
        <v>514.91999999999996</v>
      </c>
      <c r="X577" t="s">
        <v>32</v>
      </c>
      <c r="Y577" t="s">
        <v>33</v>
      </c>
      <c r="Z577">
        <f>IF(T577="OK",P577*Q577*(1-S577),"invalid")</f>
        <v>1458.2429999999999</v>
      </c>
      <c r="AA577">
        <f>IF(Z577="N/A","N/A",Z577-V577)</f>
        <v>514.92299999999989</v>
      </c>
      <c r="AB577" s="8">
        <f>IF(Z577&lt;&gt;"N/A", AA577/Z577, "N/A")</f>
        <v>0.35311192990468659</v>
      </c>
      <c r="AC577">
        <f>MONTH(B577)</f>
        <v>4</v>
      </c>
      <c r="AD577">
        <f>YEAR(B577)</f>
        <v>2025</v>
      </c>
      <c r="AE577" s="10">
        <f t="shared" si="8"/>
        <v>2.9999999999290594E-3</v>
      </c>
      <c r="AF577" t="s">
        <v>2804</v>
      </c>
      <c r="AG577" t="s">
        <v>2811</v>
      </c>
    </row>
    <row r="578" spans="1:33">
      <c r="A578" t="s">
        <v>691</v>
      </c>
      <c r="B578" s="4">
        <v>45685</v>
      </c>
      <c r="C578" s="4">
        <v>45688</v>
      </c>
      <c r="D578">
        <f>_xlfn.DAYS(C578,B578)</f>
        <v>3</v>
      </c>
      <c r="E578" t="s">
        <v>2804</v>
      </c>
      <c r="F578" t="s">
        <v>692</v>
      </c>
      <c r="G578" t="s">
        <v>114</v>
      </c>
      <c r="H578" t="s">
        <v>24</v>
      </c>
      <c r="I578" t="s">
        <v>63</v>
      </c>
      <c r="J578" t="s">
        <v>64</v>
      </c>
      <c r="K578" t="s">
        <v>65</v>
      </c>
      <c r="L578" t="s">
        <v>41</v>
      </c>
      <c r="M578" t="s">
        <v>57</v>
      </c>
      <c r="N578" t="s">
        <v>693</v>
      </c>
      <c r="O578" t="s">
        <v>50</v>
      </c>
      <c r="P578">
        <v>9</v>
      </c>
      <c r="Q578">
        <v>858.39</v>
      </c>
      <c r="R578">
        <v>0.05</v>
      </c>
      <c r="S578">
        <f>IF(ISNUMBER(SEARCH("%",R578)), VALUE(SUBSTITUTE(R578,"%",""))/100,IF(ISNUMBER(R578), R578, 0))</f>
        <v>0.05</v>
      </c>
      <c r="T578" t="str">
        <f>IF(S578&lt;0,"Negative discount (invalid)",IF(S578&gt;0.5,"Discount above allowed range (invalid)",IF(AND(R578="",S578=0),"Missing discount set to 0","OK")))</f>
        <v>OK</v>
      </c>
      <c r="U578">
        <v>7339.23</v>
      </c>
      <c r="V578">
        <v>5434.12</v>
      </c>
      <c r="W578">
        <v>1905.11</v>
      </c>
      <c r="X578" t="s">
        <v>111</v>
      </c>
      <c r="Y578" t="s">
        <v>103</v>
      </c>
      <c r="Z578">
        <f>IF(T578="OK",P578*Q578*(1-S578),"invalid")</f>
        <v>7339.2344999999996</v>
      </c>
      <c r="AA578">
        <f>IF(Z578="N/A","N/A",Z578-V578)</f>
        <v>1905.1144999999997</v>
      </c>
      <c r="AB578" s="8">
        <f>IF(Z578&lt;&gt;"N/A", AA578/Z578, "N/A")</f>
        <v>0.25957945614082772</v>
      </c>
      <c r="AC578">
        <f>MONTH(B578)</f>
        <v>1</v>
      </c>
      <c r="AD578">
        <f>YEAR(B578)</f>
        <v>2025</v>
      </c>
      <c r="AE578" s="10">
        <f t="shared" si="8"/>
        <v>4.500000000007276E-3</v>
      </c>
      <c r="AF578" t="s">
        <v>2804</v>
      </c>
      <c r="AG578" t="s">
        <v>2811</v>
      </c>
    </row>
    <row r="579" spans="1:33">
      <c r="A579" t="s">
        <v>694</v>
      </c>
      <c r="B579" s="4">
        <v>45860</v>
      </c>
      <c r="C579" s="4">
        <v>45862</v>
      </c>
      <c r="D579">
        <f>_xlfn.DAYS(C579,B579)</f>
        <v>2</v>
      </c>
      <c r="E579" t="s">
        <v>2804</v>
      </c>
      <c r="F579" t="s">
        <v>695</v>
      </c>
      <c r="G579" t="s">
        <v>79</v>
      </c>
      <c r="H579" t="s">
        <v>95</v>
      </c>
      <c r="I579" t="s">
        <v>54</v>
      </c>
      <c r="J579" t="s">
        <v>84</v>
      </c>
      <c r="K579" t="s">
        <v>85</v>
      </c>
      <c r="L579" t="s">
        <v>41</v>
      </c>
      <c r="M579" t="s">
        <v>57</v>
      </c>
      <c r="N579" t="s">
        <v>696</v>
      </c>
      <c r="O579" t="s">
        <v>44</v>
      </c>
      <c r="P579">
        <v>5</v>
      </c>
      <c r="Q579">
        <v>1922.83</v>
      </c>
      <c r="R579">
        <v>0</v>
      </c>
      <c r="S579">
        <f>IF(ISNUMBER(SEARCH("%",R579)), VALUE(SUBSTITUTE(R579,"%",""))/100,IF(ISNUMBER(R579), R579, 0))</f>
        <v>0</v>
      </c>
      <c r="T579" t="str">
        <f>IF(S579&lt;0,"Negative discount (invalid)",IF(S579&gt;0.5,"Discount above allowed range (invalid)",IF(AND(R579="",S579=0),"Missing discount set to 0","OK")))</f>
        <v>OK</v>
      </c>
      <c r="U579">
        <v>9614.15</v>
      </c>
      <c r="V579">
        <v>7576.84</v>
      </c>
      <c r="W579">
        <v>2037.31</v>
      </c>
      <c r="X579" t="s">
        <v>32</v>
      </c>
      <c r="Y579" t="s">
        <v>33</v>
      </c>
      <c r="Z579">
        <f>IF(T579="OK",P579*Q579*(1-S579),"invalid")</f>
        <v>9614.15</v>
      </c>
      <c r="AA579">
        <f>IF(Z579="N/A","N/A",Z579-V579)</f>
        <v>2037.3099999999995</v>
      </c>
      <c r="AB579" s="8">
        <f>IF(Z579&lt;&gt;"N/A", AA579/Z579, "N/A")</f>
        <v>0.21190744891644084</v>
      </c>
      <c r="AC579">
        <f>MONTH(B579)</f>
        <v>7</v>
      </c>
      <c r="AD579">
        <f>YEAR(B579)</f>
        <v>2025</v>
      </c>
      <c r="AE579" s="10">
        <f t="shared" ref="AE579:AE642" si="9">IF(Z579&lt;&gt;"N/A",ABS(Z579-U579),"N/A")</f>
        <v>0</v>
      </c>
      <c r="AF579" t="s">
        <v>2804</v>
      </c>
      <c r="AG579" t="s">
        <v>2811</v>
      </c>
    </row>
    <row r="580" spans="1:33">
      <c r="A580" t="s">
        <v>700</v>
      </c>
      <c r="B580" s="4">
        <v>45747</v>
      </c>
      <c r="C580" s="4">
        <v>45754</v>
      </c>
      <c r="D580">
        <f>_xlfn.DAYS(C580,B580)</f>
        <v>7</v>
      </c>
      <c r="E580" t="s">
        <v>2804</v>
      </c>
      <c r="F580" t="s">
        <v>390</v>
      </c>
      <c r="G580" t="s">
        <v>118</v>
      </c>
      <c r="H580" t="s">
        <v>37</v>
      </c>
      <c r="I580" t="s">
        <v>38</v>
      </c>
      <c r="J580" t="s">
        <v>145</v>
      </c>
      <c r="K580" t="s">
        <v>146</v>
      </c>
      <c r="L580" t="s">
        <v>28</v>
      </c>
      <c r="M580" t="s">
        <v>124</v>
      </c>
      <c r="N580" t="s">
        <v>701</v>
      </c>
      <c r="O580" t="s">
        <v>31</v>
      </c>
      <c r="P580">
        <v>5</v>
      </c>
      <c r="Q580">
        <v>4096.4399999999996</v>
      </c>
      <c r="R580">
        <v>0.15</v>
      </c>
      <c r="S580">
        <f>IF(ISNUMBER(SEARCH("%",R580)), VALUE(SUBSTITUTE(R580,"%",""))/100,IF(ISNUMBER(R580), R580, 0))</f>
        <v>0.15</v>
      </c>
      <c r="T580" t="str">
        <f>IF(S580&lt;0,"Negative discount (invalid)",IF(S580&gt;0.5,"Discount above allowed range (invalid)",IF(AND(R580="",S580=0),"Missing discount set to 0","OK")))</f>
        <v>OK</v>
      </c>
      <c r="U580">
        <v>17409.87</v>
      </c>
      <c r="V580">
        <v>14076.25</v>
      </c>
      <c r="W580">
        <v>3333.62</v>
      </c>
      <c r="X580" t="s">
        <v>32</v>
      </c>
      <c r="Y580" t="s">
        <v>33</v>
      </c>
      <c r="Z580">
        <f>IF(T580="OK",P580*Q580*(1-S580),"invalid")</f>
        <v>17409.869999999995</v>
      </c>
      <c r="AA580">
        <f>IF(Z580="N/A","N/A",Z580-V580)</f>
        <v>3333.6199999999953</v>
      </c>
      <c r="AB580" s="8">
        <f>IF(Z580&lt;&gt;"N/A", AA580/Z580, "N/A")</f>
        <v>0.19147874165631312</v>
      </c>
      <c r="AC580">
        <f>MONTH(B580)</f>
        <v>3</v>
      </c>
      <c r="AD580">
        <f>YEAR(B580)</f>
        <v>2025</v>
      </c>
      <c r="AE580" s="10">
        <f t="shared" si="9"/>
        <v>3.637978807091713E-12</v>
      </c>
      <c r="AF580" t="s">
        <v>2804</v>
      </c>
      <c r="AG580" t="s">
        <v>2811</v>
      </c>
    </row>
    <row r="581" spans="1:33">
      <c r="A581" t="s">
        <v>708</v>
      </c>
      <c r="B581" s="4">
        <v>45835</v>
      </c>
      <c r="C581" s="4">
        <v>45843</v>
      </c>
      <c r="D581">
        <f>_xlfn.DAYS(C581,B581)</f>
        <v>8</v>
      </c>
      <c r="E581" t="s">
        <v>2804</v>
      </c>
      <c r="F581" t="s">
        <v>709</v>
      </c>
      <c r="G581" t="s">
        <v>114</v>
      </c>
      <c r="H581" t="s">
        <v>37</v>
      </c>
      <c r="I581" t="s">
        <v>25</v>
      </c>
      <c r="J581" t="s">
        <v>26</v>
      </c>
      <c r="K581" t="s">
        <v>27</v>
      </c>
      <c r="L581" t="s">
        <v>74</v>
      </c>
      <c r="M581" t="s">
        <v>80</v>
      </c>
      <c r="N581" t="s">
        <v>710</v>
      </c>
      <c r="O581" t="s">
        <v>50</v>
      </c>
      <c r="P581">
        <v>5</v>
      </c>
      <c r="Q581">
        <v>2868.44</v>
      </c>
      <c r="R581">
        <v>0.1</v>
      </c>
      <c r="S581">
        <f>IF(ISNUMBER(SEARCH("%",R581)), VALUE(SUBSTITUTE(R581,"%",""))/100,IF(ISNUMBER(R581), R581, 0))</f>
        <v>0.1</v>
      </c>
      <c r="T581" t="str">
        <f>IF(S581&lt;0,"Negative discount (invalid)",IF(S581&gt;0.5,"Discount above allowed range (invalid)",IF(AND(R581="",S581=0),"Missing discount set to 0","OK")))</f>
        <v>OK</v>
      </c>
      <c r="U581">
        <v>12907.98</v>
      </c>
      <c r="V581">
        <v>9197.08</v>
      </c>
      <c r="W581">
        <v>3710.9</v>
      </c>
      <c r="X581" t="s">
        <v>111</v>
      </c>
      <c r="Y581" t="s">
        <v>68</v>
      </c>
      <c r="Z581">
        <f>IF(T581="OK",P581*Q581*(1-S581),"invalid")</f>
        <v>12907.980000000001</v>
      </c>
      <c r="AA581">
        <f>IF(Z581="N/A","N/A",Z581-V581)</f>
        <v>3710.9000000000015</v>
      </c>
      <c r="AB581" s="8">
        <f>IF(Z581&lt;&gt;"N/A", AA581/Z581, "N/A")</f>
        <v>0.28748882474252369</v>
      </c>
      <c r="AC581">
        <f>MONTH(B581)</f>
        <v>6</v>
      </c>
      <c r="AD581">
        <f>YEAR(B581)</f>
        <v>2025</v>
      </c>
      <c r="AE581" s="10">
        <f t="shared" si="9"/>
        <v>1.8189894035458565E-12</v>
      </c>
      <c r="AF581" t="s">
        <v>2804</v>
      </c>
      <c r="AG581" t="s">
        <v>2811</v>
      </c>
    </row>
    <row r="582" spans="1:33">
      <c r="A582" t="s">
        <v>711</v>
      </c>
      <c r="B582" s="4">
        <v>45864</v>
      </c>
      <c r="C582" s="4">
        <v>45872</v>
      </c>
      <c r="D582">
        <f>_xlfn.DAYS(C582,B582)</f>
        <v>8</v>
      </c>
      <c r="E582" t="s">
        <v>2804</v>
      </c>
      <c r="F582" t="s">
        <v>712</v>
      </c>
      <c r="G582" t="s">
        <v>71</v>
      </c>
      <c r="H582" t="s">
        <v>24</v>
      </c>
      <c r="I582" t="s">
        <v>63</v>
      </c>
      <c r="J582" t="s">
        <v>72</v>
      </c>
      <c r="K582" t="s">
        <v>73</v>
      </c>
      <c r="L582" t="s">
        <v>28</v>
      </c>
      <c r="M582" t="s">
        <v>91</v>
      </c>
      <c r="N582" t="s">
        <v>713</v>
      </c>
      <c r="O582" t="s">
        <v>31</v>
      </c>
      <c r="P582">
        <v>2</v>
      </c>
      <c r="Q582">
        <v>2503.5300000000002</v>
      </c>
      <c r="R582">
        <v>-0.16</v>
      </c>
      <c r="S582">
        <f>IF(ISNUMBER(SEARCH("%",R582)), VALUE(SUBSTITUTE(R582,"%",""))/100,IF(ISNUMBER(R582), R582, 0))</f>
        <v>-0.16</v>
      </c>
      <c r="T582" t="str">
        <f>IF(S582&lt;0,"Negative discount (invalid)",IF(S582&gt;0.5,"Discount above allowed range (invalid)",IF(AND(R582="",S582=0),"Missing discount set to 0","OK")))</f>
        <v>Negative discount (invalid)</v>
      </c>
      <c r="U582">
        <v>4756.71</v>
      </c>
      <c r="V582">
        <v>2954.86</v>
      </c>
      <c r="W582">
        <v>1801.85</v>
      </c>
      <c r="X582" t="s">
        <v>102</v>
      </c>
      <c r="Y582" t="s">
        <v>68</v>
      </c>
      <c r="Z582" t="s">
        <v>2793</v>
      </c>
      <c r="AA582" t="str">
        <f>IF(Z582="N/A","N/A",Z582-V582)</f>
        <v>N/A</v>
      </c>
      <c r="AB582" s="8" t="str">
        <f>IF(Z582&lt;&gt;"N/A", AA582/Z582, "N/A")</f>
        <v>N/A</v>
      </c>
      <c r="AC582">
        <f>MONTH(B582)</f>
        <v>7</v>
      </c>
      <c r="AD582">
        <f>YEAR(B582)</f>
        <v>2025</v>
      </c>
      <c r="AE582" s="10" t="str">
        <f t="shared" si="9"/>
        <v>N/A</v>
      </c>
      <c r="AF582" t="s">
        <v>2802</v>
      </c>
      <c r="AG582" t="s">
        <v>2789</v>
      </c>
    </row>
    <row r="583" spans="1:33">
      <c r="A583" t="s">
        <v>714</v>
      </c>
      <c r="B583" s="4">
        <v>45744</v>
      </c>
      <c r="C583" s="4">
        <v>45744</v>
      </c>
      <c r="D583">
        <f>_xlfn.DAYS(C583,B583)</f>
        <v>0</v>
      </c>
      <c r="E583" t="s">
        <v>2804</v>
      </c>
      <c r="F583" t="s">
        <v>715</v>
      </c>
      <c r="G583" t="s">
        <v>132</v>
      </c>
      <c r="H583" t="s">
        <v>90</v>
      </c>
      <c r="I583" t="s">
        <v>63</v>
      </c>
      <c r="J583" t="s">
        <v>190</v>
      </c>
      <c r="K583" t="s">
        <v>191</v>
      </c>
      <c r="L583" t="s">
        <v>74</v>
      </c>
      <c r="M583" t="s">
        <v>75</v>
      </c>
      <c r="N583" t="s">
        <v>716</v>
      </c>
      <c r="O583" t="s">
        <v>59</v>
      </c>
      <c r="P583">
        <v>8</v>
      </c>
      <c r="Q583">
        <v>1740.94</v>
      </c>
      <c r="R583">
        <v>0.05</v>
      </c>
      <c r="S583">
        <f>IF(ISNUMBER(SEARCH("%",R583)), VALUE(SUBSTITUTE(R583,"%",""))/100,IF(ISNUMBER(R583), R583, 0))</f>
        <v>0.05</v>
      </c>
      <c r="T583" t="str">
        <f>IF(S583&lt;0,"Negative discount (invalid)",IF(S583&gt;0.5,"Discount above allowed range (invalid)",IF(AND(R583="",S583=0),"Missing discount set to 0","OK")))</f>
        <v>OK</v>
      </c>
      <c r="U583">
        <v>13231.14</v>
      </c>
      <c r="V583">
        <v>11290.06</v>
      </c>
      <c r="W583">
        <v>1941.08</v>
      </c>
      <c r="X583" t="s">
        <v>32</v>
      </c>
      <c r="Y583" t="s">
        <v>33</v>
      </c>
      <c r="Z583">
        <f>IF(T583="OK",P583*Q583*(1-S583),"invalid")</f>
        <v>13231.144</v>
      </c>
      <c r="AA583">
        <f>IF(Z583="N/A","N/A",Z583-V583)</f>
        <v>1941.0840000000007</v>
      </c>
      <c r="AB583" s="8">
        <f>IF(Z583&lt;&gt;"N/A", AA583/Z583, "N/A")</f>
        <v>0.14670568168557463</v>
      </c>
      <c r="AC583">
        <f>MONTH(B583)</f>
        <v>3</v>
      </c>
      <c r="AD583">
        <f>YEAR(B583)</f>
        <v>2025</v>
      </c>
      <c r="AE583" s="10">
        <f t="shared" si="9"/>
        <v>4.0000000008149073E-3</v>
      </c>
      <c r="AF583" t="s">
        <v>2804</v>
      </c>
      <c r="AG583" t="s">
        <v>2811</v>
      </c>
    </row>
    <row r="584" spans="1:33">
      <c r="A584" t="s">
        <v>720</v>
      </c>
      <c r="B584" s="4">
        <v>45858</v>
      </c>
      <c r="C584" s="4">
        <v>45861</v>
      </c>
      <c r="D584">
        <f>_xlfn.DAYS(C584,B584)</f>
        <v>3</v>
      </c>
      <c r="E584" t="s">
        <v>2804</v>
      </c>
      <c r="F584" t="s">
        <v>721</v>
      </c>
      <c r="G584" t="s">
        <v>36</v>
      </c>
      <c r="H584" t="s">
        <v>95</v>
      </c>
      <c r="I584" t="s">
        <v>38</v>
      </c>
      <c r="J584" t="s">
        <v>99</v>
      </c>
      <c r="K584" t="s">
        <v>100</v>
      </c>
      <c r="L584" t="s">
        <v>41</v>
      </c>
      <c r="M584" t="s">
        <v>42</v>
      </c>
      <c r="N584" t="s">
        <v>722</v>
      </c>
      <c r="O584" t="s">
        <v>31</v>
      </c>
      <c r="P584">
        <v>4</v>
      </c>
      <c r="Q584">
        <v>477.69</v>
      </c>
      <c r="R584">
        <v>0.15</v>
      </c>
      <c r="S584">
        <f>IF(ISNUMBER(SEARCH("%",R584)), VALUE(SUBSTITUTE(R584,"%",""))/100,IF(ISNUMBER(R584), R584, 0))</f>
        <v>0.15</v>
      </c>
      <c r="T584" t="str">
        <f>IF(S584&lt;0,"Negative discount (invalid)",IF(S584&gt;0.5,"Discount above allowed range (invalid)",IF(AND(R584="",S584=0),"Missing discount set to 0","OK")))</f>
        <v>OK</v>
      </c>
      <c r="U584">
        <v>1624.15</v>
      </c>
      <c r="V584">
        <v>1217.99</v>
      </c>
      <c r="W584">
        <v>406.16</v>
      </c>
      <c r="X584" t="s">
        <v>32</v>
      </c>
      <c r="Y584" t="s">
        <v>33</v>
      </c>
      <c r="Z584">
        <f>IF(T584="OK",P584*Q584*(1-S584),"invalid")</f>
        <v>1624.146</v>
      </c>
      <c r="AA584">
        <f>IF(Z584="N/A","N/A",Z584-V584)</f>
        <v>406.15599999999995</v>
      </c>
      <c r="AB584" s="8">
        <f>IF(Z584&lt;&gt;"N/A", AA584/Z584, "N/A")</f>
        <v>0.25007357712914968</v>
      </c>
      <c r="AC584">
        <f>MONTH(B584)</f>
        <v>7</v>
      </c>
      <c r="AD584">
        <f>YEAR(B584)</f>
        <v>2025</v>
      </c>
      <c r="AE584" s="10">
        <f t="shared" si="9"/>
        <v>4.0000000001327862E-3</v>
      </c>
      <c r="AF584" t="s">
        <v>2804</v>
      </c>
      <c r="AG584" t="s">
        <v>2811</v>
      </c>
    </row>
    <row r="585" spans="1:33">
      <c r="A585" t="s">
        <v>723</v>
      </c>
      <c r="B585" s="4">
        <v>45768</v>
      </c>
      <c r="C585" s="4">
        <v>45773</v>
      </c>
      <c r="D585">
        <f>_xlfn.DAYS(C585,B585)</f>
        <v>5</v>
      </c>
      <c r="E585" t="s">
        <v>2804</v>
      </c>
      <c r="F585" t="s">
        <v>724</v>
      </c>
      <c r="G585" t="s">
        <v>62</v>
      </c>
      <c r="H585" t="s">
        <v>24</v>
      </c>
      <c r="I585" t="s">
        <v>63</v>
      </c>
      <c r="J585" t="s">
        <v>64</v>
      </c>
      <c r="K585" t="s">
        <v>65</v>
      </c>
      <c r="L585" t="s">
        <v>28</v>
      </c>
      <c r="M585" t="s">
        <v>91</v>
      </c>
      <c r="N585" t="s">
        <v>725</v>
      </c>
      <c r="O585" t="s">
        <v>44</v>
      </c>
      <c r="P585">
        <v>6</v>
      </c>
      <c r="Q585">
        <v>873.59</v>
      </c>
      <c r="R585">
        <v>0.2</v>
      </c>
      <c r="S585">
        <f>IF(ISNUMBER(SEARCH("%",R585)), VALUE(SUBSTITUTE(R585,"%",""))/100,IF(ISNUMBER(R585), R585, 0))</f>
        <v>0.2</v>
      </c>
      <c r="T585" t="str">
        <f>IF(S585&lt;0,"Negative discount (invalid)",IF(S585&gt;0.5,"Discount above allowed range (invalid)",IF(AND(R585="",S585=0),"Missing discount set to 0","OK")))</f>
        <v>OK</v>
      </c>
      <c r="U585">
        <v>4193.2299999999996</v>
      </c>
      <c r="V585">
        <v>3329.99</v>
      </c>
      <c r="W585">
        <v>863.24</v>
      </c>
      <c r="X585" t="s">
        <v>32</v>
      </c>
      <c r="Y585" t="s">
        <v>33</v>
      </c>
      <c r="Z585">
        <f>IF(T585="OK",P585*Q585*(1-S585),"invalid")</f>
        <v>4193.232</v>
      </c>
      <c r="AA585">
        <f>IF(Z585="N/A","N/A",Z585-V585)</f>
        <v>863.24200000000019</v>
      </c>
      <c r="AB585" s="8">
        <f>IF(Z585&lt;&gt;"N/A", AA585/Z585, "N/A")</f>
        <v>0.2058655471483572</v>
      </c>
      <c r="AC585">
        <f>MONTH(B585)</f>
        <v>4</v>
      </c>
      <c r="AD585">
        <f>YEAR(B585)</f>
        <v>2025</v>
      </c>
      <c r="AE585" s="10">
        <f t="shared" si="9"/>
        <v>2.0000000004074536E-3</v>
      </c>
      <c r="AF585" t="s">
        <v>2804</v>
      </c>
      <c r="AG585" t="s">
        <v>2811</v>
      </c>
    </row>
    <row r="586" spans="1:33">
      <c r="A586" t="s">
        <v>726</v>
      </c>
      <c r="B586" s="4">
        <v>45795</v>
      </c>
      <c r="C586" s="4">
        <v>45797</v>
      </c>
      <c r="D586">
        <f>_xlfn.DAYS(C586,B586)</f>
        <v>2</v>
      </c>
      <c r="E586" t="s">
        <v>2804</v>
      </c>
      <c r="F586" t="s">
        <v>727</v>
      </c>
      <c r="G586" t="s">
        <v>162</v>
      </c>
      <c r="H586" t="s">
        <v>37</v>
      </c>
      <c r="I586" t="s">
        <v>25</v>
      </c>
      <c r="J586" t="s">
        <v>136</v>
      </c>
      <c r="K586" t="s">
        <v>137</v>
      </c>
      <c r="L586" t="s">
        <v>41</v>
      </c>
      <c r="M586" t="s">
        <v>57</v>
      </c>
      <c r="N586" t="s">
        <v>728</v>
      </c>
      <c r="O586" t="s">
        <v>50</v>
      </c>
      <c r="P586">
        <v>2</v>
      </c>
      <c r="Q586">
        <v>215.13</v>
      </c>
      <c r="R586">
        <v>0</v>
      </c>
      <c r="S586">
        <f>IF(ISNUMBER(SEARCH("%",R586)), VALUE(SUBSTITUTE(R586,"%",""))/100,IF(ISNUMBER(R586), R586, 0))</f>
        <v>0</v>
      </c>
      <c r="T586" t="str">
        <f>IF(S586&lt;0,"Negative discount (invalid)",IF(S586&gt;0.5,"Discount above allowed range (invalid)",IF(AND(R586="",S586=0),"Missing discount set to 0","OK")))</f>
        <v>OK</v>
      </c>
      <c r="U586">
        <v>430.26</v>
      </c>
      <c r="V586">
        <v>286.38</v>
      </c>
      <c r="W586">
        <v>143.88</v>
      </c>
      <c r="X586" t="s">
        <v>32</v>
      </c>
      <c r="Y586" t="s">
        <v>33</v>
      </c>
      <c r="Z586">
        <f>IF(T586="OK",P586*Q586*(1-S586),"invalid")</f>
        <v>430.26</v>
      </c>
      <c r="AA586">
        <f>IF(Z586="N/A","N/A",Z586-V586)</f>
        <v>143.88</v>
      </c>
      <c r="AB586" s="8">
        <f>IF(Z586&lt;&gt;"N/A", AA586/Z586, "N/A")</f>
        <v>0.33440245432994004</v>
      </c>
      <c r="AC586">
        <f>MONTH(B586)</f>
        <v>5</v>
      </c>
      <c r="AD586">
        <f>YEAR(B586)</f>
        <v>2025</v>
      </c>
      <c r="AE586" s="10">
        <f t="shared" si="9"/>
        <v>0</v>
      </c>
      <c r="AF586" t="s">
        <v>2804</v>
      </c>
      <c r="AG586" t="s">
        <v>2811</v>
      </c>
    </row>
    <row r="587" spans="1:33">
      <c r="A587" t="s">
        <v>732</v>
      </c>
      <c r="B587" s="4">
        <v>45837</v>
      </c>
      <c r="C587" s="4">
        <v>45843</v>
      </c>
      <c r="D587">
        <f>_xlfn.DAYS(C587,B587)</f>
        <v>6</v>
      </c>
      <c r="E587" t="s">
        <v>2804</v>
      </c>
      <c r="F587" t="s">
        <v>733</v>
      </c>
      <c r="G587" t="s">
        <v>162</v>
      </c>
      <c r="H587" t="s">
        <v>24</v>
      </c>
      <c r="I587" t="s">
        <v>25</v>
      </c>
      <c r="J587" t="s">
        <v>122</v>
      </c>
      <c r="K587" t="s">
        <v>123</v>
      </c>
      <c r="L587" t="s">
        <v>41</v>
      </c>
      <c r="M587" t="s">
        <v>66</v>
      </c>
      <c r="N587" t="s">
        <v>734</v>
      </c>
      <c r="O587" t="s">
        <v>44</v>
      </c>
      <c r="P587">
        <v>1</v>
      </c>
      <c r="Q587">
        <v>999.83</v>
      </c>
      <c r="R587">
        <v>0</v>
      </c>
      <c r="S587">
        <f>IF(ISNUMBER(SEARCH("%",R587)), VALUE(SUBSTITUTE(R587,"%",""))/100,IF(ISNUMBER(R587), R587, 0))</f>
        <v>0</v>
      </c>
      <c r="T587" t="str">
        <f>IF(S587&lt;0,"Negative discount (invalid)",IF(S587&gt;0.5,"Discount above allowed range (invalid)",IF(AND(R587="",S587=0),"Missing discount set to 0","OK")))</f>
        <v>OK</v>
      </c>
      <c r="U587">
        <v>999.83</v>
      </c>
      <c r="V587">
        <v>634.91</v>
      </c>
      <c r="W587">
        <v>364.92</v>
      </c>
      <c r="X587" t="s">
        <v>32</v>
      </c>
      <c r="Y587" t="s">
        <v>33</v>
      </c>
      <c r="Z587">
        <f>IF(T587="OK",P587*Q587*(1-S587),"invalid")</f>
        <v>999.83</v>
      </c>
      <c r="AA587">
        <f>IF(Z587="N/A","N/A",Z587-V587)</f>
        <v>364.92000000000007</v>
      </c>
      <c r="AB587" s="8">
        <f>IF(Z587&lt;&gt;"N/A", AA587/Z587, "N/A")</f>
        <v>0.3649820469479812</v>
      </c>
      <c r="AC587">
        <f>MONTH(B587)</f>
        <v>6</v>
      </c>
      <c r="AD587">
        <f>YEAR(B587)</f>
        <v>2025</v>
      </c>
      <c r="AE587" s="10">
        <f t="shared" si="9"/>
        <v>0</v>
      </c>
      <c r="AF587" t="s">
        <v>2804</v>
      </c>
      <c r="AG587" t="s">
        <v>2811</v>
      </c>
    </row>
    <row r="588" spans="1:33">
      <c r="A588" t="s">
        <v>735</v>
      </c>
      <c r="B588" s="4">
        <v>45882</v>
      </c>
      <c r="C588" s="4">
        <v>45883</v>
      </c>
      <c r="D588">
        <f>_xlfn.DAYS(C588,B588)</f>
        <v>1</v>
      </c>
      <c r="E588" t="s">
        <v>2804</v>
      </c>
      <c r="F588" t="s">
        <v>736</v>
      </c>
      <c r="G588" t="s">
        <v>141</v>
      </c>
      <c r="H588" t="s">
        <v>37</v>
      </c>
      <c r="I588" t="s">
        <v>54</v>
      </c>
      <c r="J588" t="s">
        <v>84</v>
      </c>
      <c r="K588" t="s">
        <v>85</v>
      </c>
      <c r="L588" t="s">
        <v>28</v>
      </c>
      <c r="M588" t="s">
        <v>29</v>
      </c>
      <c r="N588" t="s">
        <v>737</v>
      </c>
      <c r="O588" t="s">
        <v>50</v>
      </c>
      <c r="P588">
        <v>9</v>
      </c>
      <c r="Q588">
        <v>864.98</v>
      </c>
      <c r="R588">
        <v>0.1</v>
      </c>
      <c r="S588">
        <f>IF(ISNUMBER(SEARCH("%",R588)), VALUE(SUBSTITUTE(R588,"%",""))/100,IF(ISNUMBER(R588), R588, 0))</f>
        <v>0.1</v>
      </c>
      <c r="T588" t="str">
        <f>IF(S588&lt;0,"Negative discount (invalid)",IF(S588&gt;0.5,"Discount above allowed range (invalid)",IF(AND(R588="",S588=0),"Missing discount set to 0","OK")))</f>
        <v>OK</v>
      </c>
      <c r="U588">
        <v>7006.34</v>
      </c>
      <c r="V588">
        <v>4640.88</v>
      </c>
      <c r="W588">
        <v>2365.46</v>
      </c>
      <c r="X588" t="s">
        <v>32</v>
      </c>
      <c r="Y588" t="s">
        <v>33</v>
      </c>
      <c r="Z588">
        <f>IF(T588="OK",P588*Q588*(1-S588),"invalid")</f>
        <v>7006.3379999999997</v>
      </c>
      <c r="AA588">
        <f>IF(Z588="N/A","N/A",Z588-V588)</f>
        <v>2365.4579999999996</v>
      </c>
      <c r="AB588" s="8">
        <f>IF(Z588&lt;&gt;"N/A", AA588/Z588, "N/A")</f>
        <v>0.33761688345609359</v>
      </c>
      <c r="AC588">
        <f>MONTH(B588)</f>
        <v>8</v>
      </c>
      <c r="AD588">
        <f>YEAR(B588)</f>
        <v>2025</v>
      </c>
      <c r="AE588" s="10">
        <f t="shared" si="9"/>
        <v>2.0000000004074536E-3</v>
      </c>
      <c r="AF588" t="s">
        <v>2804</v>
      </c>
      <c r="AG588" t="s">
        <v>2811</v>
      </c>
    </row>
    <row r="589" spans="1:33">
      <c r="A589" t="s">
        <v>756</v>
      </c>
      <c r="B589" s="4">
        <v>45757</v>
      </c>
      <c r="C589" s="4">
        <v>45762</v>
      </c>
      <c r="D589">
        <f>_xlfn.DAYS(C589,B589)</f>
        <v>5</v>
      </c>
      <c r="E589" t="s">
        <v>2804</v>
      </c>
      <c r="F589" t="s">
        <v>757</v>
      </c>
      <c r="G589" t="s">
        <v>47</v>
      </c>
      <c r="H589" t="s">
        <v>24</v>
      </c>
      <c r="I589" t="s">
        <v>63</v>
      </c>
      <c r="J589" t="s">
        <v>180</v>
      </c>
      <c r="K589" t="s">
        <v>181</v>
      </c>
      <c r="L589" t="s">
        <v>41</v>
      </c>
      <c r="M589" t="s">
        <v>42</v>
      </c>
      <c r="N589" t="s">
        <v>758</v>
      </c>
      <c r="O589" t="s">
        <v>59</v>
      </c>
      <c r="P589">
        <v>8</v>
      </c>
      <c r="Q589">
        <v>1839.87</v>
      </c>
      <c r="R589">
        <v>0.25</v>
      </c>
      <c r="S589">
        <f>IF(ISNUMBER(SEARCH("%",R589)), VALUE(SUBSTITUTE(R589,"%",""))/100,IF(ISNUMBER(R589), R589, 0))</f>
        <v>0.25</v>
      </c>
      <c r="T589" t="str">
        <f>IF(S589&lt;0,"Negative discount (invalid)",IF(S589&gt;0.5,"Discount above allowed range (invalid)",IF(AND(R589="",S589=0),"Missing discount set to 0","OK")))</f>
        <v>OK</v>
      </c>
      <c r="U589">
        <v>11039.22</v>
      </c>
      <c r="V589">
        <v>7642.91</v>
      </c>
      <c r="W589">
        <v>3396.31</v>
      </c>
      <c r="X589" t="s">
        <v>155</v>
      </c>
      <c r="Y589" t="s">
        <v>103</v>
      </c>
      <c r="Z589">
        <f>IF(T589="OK",P589*Q589*(1-S589),"invalid")</f>
        <v>11039.22</v>
      </c>
      <c r="AA589">
        <f>IF(Z589="N/A","N/A",Z589-V589)</f>
        <v>3396.3099999999995</v>
      </c>
      <c r="AB589" s="8">
        <f>IF(Z589&lt;&gt;"N/A", AA589/Z589, "N/A")</f>
        <v>0.30765851210502188</v>
      </c>
      <c r="AC589">
        <f>MONTH(B589)</f>
        <v>4</v>
      </c>
      <c r="AD589">
        <f>YEAR(B589)</f>
        <v>2025</v>
      </c>
      <c r="AE589" s="10">
        <f t="shared" si="9"/>
        <v>0</v>
      </c>
      <c r="AF589" t="s">
        <v>2804</v>
      </c>
      <c r="AG589" t="s">
        <v>2811</v>
      </c>
    </row>
    <row r="590" spans="1:33">
      <c r="A590" t="s">
        <v>759</v>
      </c>
      <c r="B590" s="4">
        <v>45748</v>
      </c>
      <c r="C590" s="4">
        <v>45755</v>
      </c>
      <c r="D590">
        <f>_xlfn.DAYS(C590,B590)</f>
        <v>7</v>
      </c>
      <c r="E590" t="s">
        <v>2804</v>
      </c>
      <c r="F590" t="s">
        <v>760</v>
      </c>
      <c r="G590" t="s">
        <v>89</v>
      </c>
      <c r="H590" t="s">
        <v>24</v>
      </c>
      <c r="I590" t="s">
        <v>38</v>
      </c>
      <c r="J590" t="s">
        <v>39</v>
      </c>
      <c r="K590" t="s">
        <v>40</v>
      </c>
      <c r="L590" t="s">
        <v>41</v>
      </c>
      <c r="M590" t="s">
        <v>158</v>
      </c>
      <c r="N590" t="s">
        <v>761</v>
      </c>
      <c r="O590" t="s">
        <v>31</v>
      </c>
      <c r="P590">
        <v>5</v>
      </c>
      <c r="Q590">
        <v>1021.28</v>
      </c>
      <c r="R590">
        <v>0.1</v>
      </c>
      <c r="S590">
        <f>IF(ISNUMBER(SEARCH("%",R590)), VALUE(SUBSTITUTE(R590,"%",""))/100,IF(ISNUMBER(R590), R590, 0))</f>
        <v>0.1</v>
      </c>
      <c r="T590" t="str">
        <f>IF(S590&lt;0,"Negative discount (invalid)",IF(S590&gt;0.5,"Discount above allowed range (invalid)",IF(AND(R590="",S590=0),"Missing discount set to 0","OK")))</f>
        <v>OK</v>
      </c>
      <c r="U590">
        <v>4595.76</v>
      </c>
      <c r="V590">
        <v>3396.8</v>
      </c>
      <c r="W590">
        <v>1198.96</v>
      </c>
      <c r="X590" t="s">
        <v>102</v>
      </c>
      <c r="Y590" t="s">
        <v>68</v>
      </c>
      <c r="Z590">
        <f>IF(T590="OK",P590*Q590*(1-S590),"invalid")</f>
        <v>4595.76</v>
      </c>
      <c r="AA590">
        <f>IF(Z590="N/A","N/A",Z590-V590)</f>
        <v>1198.96</v>
      </c>
      <c r="AB590" s="8">
        <f>IF(Z590&lt;&gt;"N/A", AA590/Z590, "N/A")</f>
        <v>0.26088394520166414</v>
      </c>
      <c r="AC590">
        <f>MONTH(B590)</f>
        <v>4</v>
      </c>
      <c r="AD590">
        <f>YEAR(B590)</f>
        <v>2025</v>
      </c>
      <c r="AE590" s="10">
        <f t="shared" si="9"/>
        <v>0</v>
      </c>
      <c r="AF590" t="s">
        <v>2804</v>
      </c>
      <c r="AG590" t="s">
        <v>2811</v>
      </c>
    </row>
    <row r="591" spans="1:33">
      <c r="A591" t="s">
        <v>762</v>
      </c>
      <c r="B591" s="4">
        <v>45714</v>
      </c>
      <c r="C591" s="4">
        <v>45715</v>
      </c>
      <c r="D591">
        <f>_xlfn.DAYS(C591,B591)</f>
        <v>1</v>
      </c>
      <c r="E591" t="s">
        <v>2804</v>
      </c>
      <c r="F591" t="s">
        <v>763</v>
      </c>
      <c r="G591" t="s">
        <v>114</v>
      </c>
      <c r="H591" t="s">
        <v>90</v>
      </c>
      <c r="I591" t="s">
        <v>63</v>
      </c>
      <c r="J591" t="s">
        <v>180</v>
      </c>
      <c r="K591" t="s">
        <v>181</v>
      </c>
      <c r="L591" t="s">
        <v>41</v>
      </c>
      <c r="M591" t="s">
        <v>158</v>
      </c>
      <c r="N591" t="s">
        <v>764</v>
      </c>
      <c r="O591" t="s">
        <v>59</v>
      </c>
      <c r="P591">
        <v>5</v>
      </c>
      <c r="Q591">
        <v>258.27999999999997</v>
      </c>
      <c r="R591">
        <v>0</v>
      </c>
      <c r="S591">
        <f>IF(ISNUMBER(SEARCH("%",R591)), VALUE(SUBSTITUTE(R591,"%",""))/100,IF(ISNUMBER(R591), R591, 0))</f>
        <v>0</v>
      </c>
      <c r="T591" t="str">
        <f>IF(S591&lt;0,"Negative discount (invalid)",IF(S591&gt;0.5,"Discount above allowed range (invalid)",IF(AND(R591="",S591=0),"Missing discount set to 0","OK")))</f>
        <v>OK</v>
      </c>
      <c r="U591">
        <v>1291.4000000000001</v>
      </c>
      <c r="V591">
        <v>756.93</v>
      </c>
      <c r="W591">
        <v>534.47</v>
      </c>
      <c r="X591" t="s">
        <v>32</v>
      </c>
      <c r="Y591" t="s">
        <v>33</v>
      </c>
      <c r="Z591">
        <f>IF(T591="OK",P591*Q591*(1-S591),"invalid")</f>
        <v>1291.3999999999999</v>
      </c>
      <c r="AA591">
        <f>IF(Z591="N/A","N/A",Z591-V591)</f>
        <v>534.46999999999991</v>
      </c>
      <c r="AB591" s="8">
        <f>IF(Z591&lt;&gt;"N/A", AA591/Z591, "N/A")</f>
        <v>0.41386866966083319</v>
      </c>
      <c r="AC591">
        <f>MONTH(B591)</f>
        <v>2</v>
      </c>
      <c r="AD591">
        <f>YEAR(B591)</f>
        <v>2025</v>
      </c>
      <c r="AE591" s="10">
        <f t="shared" si="9"/>
        <v>2.2737367544323206E-13</v>
      </c>
      <c r="AF591" t="s">
        <v>2804</v>
      </c>
      <c r="AG591" t="s">
        <v>2811</v>
      </c>
    </row>
    <row r="592" spans="1:33">
      <c r="A592" t="s">
        <v>772</v>
      </c>
      <c r="B592" s="4">
        <v>45669</v>
      </c>
      <c r="C592" s="4">
        <v>45672</v>
      </c>
      <c r="D592">
        <f>_xlfn.DAYS(C592,B592)</f>
        <v>3</v>
      </c>
      <c r="E592" t="s">
        <v>2804</v>
      </c>
      <c r="F592" t="s">
        <v>773</v>
      </c>
      <c r="G592" t="s">
        <v>36</v>
      </c>
      <c r="H592" t="s">
        <v>90</v>
      </c>
      <c r="I592" t="s">
        <v>54</v>
      </c>
      <c r="J592" t="s">
        <v>175</v>
      </c>
      <c r="K592" t="s">
        <v>176</v>
      </c>
      <c r="L592" t="s">
        <v>41</v>
      </c>
      <c r="M592" t="s">
        <v>66</v>
      </c>
      <c r="N592" t="s">
        <v>774</v>
      </c>
      <c r="O592" t="s">
        <v>44</v>
      </c>
      <c r="P592">
        <v>4</v>
      </c>
      <c r="Q592">
        <v>1531.53</v>
      </c>
      <c r="R592">
        <v>0.2</v>
      </c>
      <c r="S592">
        <f>IF(ISNUMBER(SEARCH("%",R592)), VALUE(SUBSTITUTE(R592,"%",""))/100,IF(ISNUMBER(R592), R592, 0))</f>
        <v>0.2</v>
      </c>
      <c r="T592" t="str">
        <f>IF(S592&lt;0,"Negative discount (invalid)",IF(S592&gt;0.5,"Discount above allowed range (invalid)",IF(AND(R592="",S592=0),"Missing discount set to 0","OK")))</f>
        <v>OK</v>
      </c>
      <c r="U592">
        <v>4900.8999999999996</v>
      </c>
      <c r="V592">
        <v>3552.69</v>
      </c>
      <c r="W592">
        <v>1348.21</v>
      </c>
      <c r="X592" t="s">
        <v>32</v>
      </c>
      <c r="Y592" t="s">
        <v>33</v>
      </c>
      <c r="Z592">
        <f>IF(T592="OK",P592*Q592*(1-S592),"invalid")</f>
        <v>4900.8959999999997</v>
      </c>
      <c r="AA592">
        <f>IF(Z592="N/A","N/A",Z592-V592)</f>
        <v>1348.2059999999997</v>
      </c>
      <c r="AB592" s="8">
        <f>IF(Z592&lt;&gt;"N/A", AA592/Z592, "N/A")</f>
        <v>0.27509377877024932</v>
      </c>
      <c r="AC592">
        <f>MONTH(B592)</f>
        <v>1</v>
      </c>
      <c r="AD592">
        <f>YEAR(B592)</f>
        <v>2025</v>
      </c>
      <c r="AE592" s="10">
        <f t="shared" si="9"/>
        <v>3.9999999999054126E-3</v>
      </c>
      <c r="AF592" t="s">
        <v>2804</v>
      </c>
      <c r="AG592" t="s">
        <v>2811</v>
      </c>
    </row>
    <row r="593" spans="1:33">
      <c r="A593" t="s">
        <v>775</v>
      </c>
      <c r="B593" s="4">
        <v>45776</v>
      </c>
      <c r="C593" s="4">
        <v>45779</v>
      </c>
      <c r="D593">
        <f>_xlfn.DAYS(C593,B593)</f>
        <v>3</v>
      </c>
      <c r="E593" t="s">
        <v>2804</v>
      </c>
      <c r="F593" t="s">
        <v>776</v>
      </c>
      <c r="G593" t="s">
        <v>71</v>
      </c>
      <c r="H593" t="s">
        <v>37</v>
      </c>
      <c r="I593" t="s">
        <v>63</v>
      </c>
      <c r="J593" t="s">
        <v>190</v>
      </c>
      <c r="K593" t="s">
        <v>191</v>
      </c>
      <c r="L593" t="s">
        <v>28</v>
      </c>
      <c r="M593" t="s">
        <v>124</v>
      </c>
      <c r="N593" t="s">
        <v>777</v>
      </c>
      <c r="O593" t="s">
        <v>50</v>
      </c>
      <c r="P593">
        <v>6</v>
      </c>
      <c r="Q593">
        <v>4308.09</v>
      </c>
      <c r="R593">
        <v>0</v>
      </c>
      <c r="S593">
        <f>IF(ISNUMBER(SEARCH("%",R593)), VALUE(SUBSTITUTE(R593,"%",""))/100,IF(ISNUMBER(R593), R593, 0))</f>
        <v>0</v>
      </c>
      <c r="T593" t="str">
        <f>IF(S593&lt;0,"Negative discount (invalid)",IF(S593&gt;0.5,"Discount above allowed range (invalid)",IF(AND(R593="",S593=0),"Missing discount set to 0","OK")))</f>
        <v>OK</v>
      </c>
      <c r="U593">
        <v>25848.54</v>
      </c>
      <c r="V593">
        <v>17729.09</v>
      </c>
      <c r="W593">
        <v>8119.45</v>
      </c>
      <c r="X593" t="s">
        <v>32</v>
      </c>
      <c r="Y593" t="s">
        <v>33</v>
      </c>
      <c r="Z593">
        <f>IF(T593="OK",P593*Q593*(1-S593),"invalid")</f>
        <v>25848.54</v>
      </c>
      <c r="AA593">
        <f>IF(Z593="N/A","N/A",Z593-V593)</f>
        <v>8119.4500000000007</v>
      </c>
      <c r="AB593" s="8">
        <f>IF(Z593&lt;&gt;"N/A", AA593/Z593, "N/A")</f>
        <v>0.31411638723115504</v>
      </c>
      <c r="AC593">
        <f>MONTH(B593)</f>
        <v>4</v>
      </c>
      <c r="AD593">
        <f>YEAR(B593)</f>
        <v>2025</v>
      </c>
      <c r="AE593" s="10">
        <f t="shared" si="9"/>
        <v>0</v>
      </c>
      <c r="AF593" t="s">
        <v>2804</v>
      </c>
      <c r="AG593" t="s">
        <v>2811</v>
      </c>
    </row>
    <row r="594" spans="1:33">
      <c r="A594" t="s">
        <v>778</v>
      </c>
      <c r="B594" s="4">
        <v>45707</v>
      </c>
      <c r="C594" s="4">
        <v>45714</v>
      </c>
      <c r="D594">
        <f>_xlfn.DAYS(C594,B594)</f>
        <v>7</v>
      </c>
      <c r="E594" t="s">
        <v>2804</v>
      </c>
      <c r="F594" t="s">
        <v>779</v>
      </c>
      <c r="G594" t="s">
        <v>36</v>
      </c>
      <c r="H594" t="s">
        <v>90</v>
      </c>
      <c r="I594" t="s">
        <v>63</v>
      </c>
      <c r="J594" t="s">
        <v>64</v>
      </c>
      <c r="K594" t="s">
        <v>65</v>
      </c>
      <c r="L594" t="s">
        <v>41</v>
      </c>
      <c r="M594" t="s">
        <v>57</v>
      </c>
      <c r="N594" t="s">
        <v>780</v>
      </c>
      <c r="O594" t="s">
        <v>50</v>
      </c>
      <c r="P594">
        <v>3</v>
      </c>
      <c r="Q594">
        <v>490.3</v>
      </c>
      <c r="R594">
        <v>0.2</v>
      </c>
      <c r="S594">
        <f>IF(ISNUMBER(SEARCH("%",R594)), VALUE(SUBSTITUTE(R594,"%",""))/100,IF(ISNUMBER(R594), R594, 0))</f>
        <v>0.2</v>
      </c>
      <c r="T594" t="str">
        <f>IF(S594&lt;0,"Negative discount (invalid)",IF(S594&gt;0.5,"Discount above allowed range (invalid)",IF(AND(R594="",S594=0),"Missing discount set to 0","OK")))</f>
        <v>OK</v>
      </c>
      <c r="U594">
        <v>1176.72</v>
      </c>
      <c r="V594">
        <v>654.33000000000004</v>
      </c>
      <c r="W594">
        <v>522.39</v>
      </c>
      <c r="X594" t="s">
        <v>111</v>
      </c>
      <c r="Y594" t="s">
        <v>103</v>
      </c>
      <c r="Z594">
        <f>IF(T594="OK",P594*Q594*(1-S594),"invalid")</f>
        <v>1176.72</v>
      </c>
      <c r="AA594">
        <f>IF(Z594="N/A","N/A",Z594-V594)</f>
        <v>522.39</v>
      </c>
      <c r="AB594" s="8">
        <f>IF(Z594&lt;&gt;"N/A", AA594/Z594, "N/A")</f>
        <v>0.44393738527432181</v>
      </c>
      <c r="AC594">
        <f>MONTH(B594)</f>
        <v>2</v>
      </c>
      <c r="AD594">
        <f>YEAR(B594)</f>
        <v>2025</v>
      </c>
      <c r="AE594" s="10">
        <f t="shared" si="9"/>
        <v>0</v>
      </c>
      <c r="AF594" t="s">
        <v>2804</v>
      </c>
      <c r="AG594" t="s">
        <v>2811</v>
      </c>
    </row>
    <row r="595" spans="1:33">
      <c r="A595" t="s">
        <v>781</v>
      </c>
      <c r="B595" s="4">
        <v>45932</v>
      </c>
      <c r="C595" s="4">
        <v>45938</v>
      </c>
      <c r="D595">
        <f>_xlfn.DAYS(C595,B595)</f>
        <v>6</v>
      </c>
      <c r="E595" t="s">
        <v>2804</v>
      </c>
      <c r="F595" t="s">
        <v>782</v>
      </c>
      <c r="G595" t="s">
        <v>47</v>
      </c>
      <c r="H595" t="s">
        <v>37</v>
      </c>
      <c r="I595" t="s">
        <v>25</v>
      </c>
      <c r="J595" t="s">
        <v>122</v>
      </c>
      <c r="K595" t="s">
        <v>123</v>
      </c>
      <c r="L595" t="s">
        <v>41</v>
      </c>
      <c r="M595" t="s">
        <v>57</v>
      </c>
      <c r="N595" t="s">
        <v>783</v>
      </c>
      <c r="O595" t="s">
        <v>59</v>
      </c>
      <c r="P595">
        <v>4</v>
      </c>
      <c r="Q595">
        <v>3944.64</v>
      </c>
      <c r="R595">
        <v>0.25</v>
      </c>
      <c r="S595">
        <f>IF(ISNUMBER(SEARCH("%",R595)), VALUE(SUBSTITUTE(R595,"%",""))/100,IF(ISNUMBER(R595), R595, 0))</f>
        <v>0.25</v>
      </c>
      <c r="T595" t="str">
        <f>IF(S595&lt;0,"Negative discount (invalid)",IF(S595&gt;0.5,"Discount above allowed range (invalid)",IF(AND(R595="",S595=0),"Missing discount set to 0","OK")))</f>
        <v>OK</v>
      </c>
      <c r="U595">
        <v>11833.92</v>
      </c>
      <c r="V595">
        <v>6682.92</v>
      </c>
      <c r="W595">
        <v>5151</v>
      </c>
      <c r="X595" t="s">
        <v>32</v>
      </c>
      <c r="Y595" t="s">
        <v>68</v>
      </c>
      <c r="Z595">
        <f>IF(T595="OK",P595*Q595*(1-S595),"invalid")</f>
        <v>11833.92</v>
      </c>
      <c r="AA595">
        <f>IF(Z595="N/A","N/A",Z595-V595)</f>
        <v>5151</v>
      </c>
      <c r="AB595" s="8">
        <f>IF(Z595&lt;&gt;"N/A", AA595/Z595, "N/A")</f>
        <v>0.43527419485681834</v>
      </c>
      <c r="AC595">
        <f>MONTH(B595)</f>
        <v>10</v>
      </c>
      <c r="AD595">
        <f>YEAR(B595)</f>
        <v>2025</v>
      </c>
      <c r="AE595" s="10">
        <f t="shared" si="9"/>
        <v>0</v>
      </c>
      <c r="AF595" t="s">
        <v>2804</v>
      </c>
      <c r="AG595" t="s">
        <v>2811</v>
      </c>
    </row>
    <row r="596" spans="1:33">
      <c r="A596" t="s">
        <v>781</v>
      </c>
      <c r="B596" s="4">
        <v>45932</v>
      </c>
      <c r="C596" s="4">
        <v>45938</v>
      </c>
      <c r="D596">
        <f>_xlfn.DAYS(C596,B596)</f>
        <v>6</v>
      </c>
      <c r="E596" t="s">
        <v>2804</v>
      </c>
      <c r="F596" t="s">
        <v>782</v>
      </c>
      <c r="G596" t="s">
        <v>47</v>
      </c>
      <c r="H596" t="s">
        <v>37</v>
      </c>
      <c r="I596" t="s">
        <v>25</v>
      </c>
      <c r="J596" t="s">
        <v>122</v>
      </c>
      <c r="K596" t="s">
        <v>123</v>
      </c>
      <c r="L596" t="s">
        <v>41</v>
      </c>
      <c r="M596" t="s">
        <v>57</v>
      </c>
      <c r="N596" t="s">
        <v>783</v>
      </c>
      <c r="O596" t="s">
        <v>59</v>
      </c>
      <c r="P596">
        <v>4</v>
      </c>
      <c r="Q596">
        <v>3944.64</v>
      </c>
      <c r="R596">
        <v>0.25</v>
      </c>
      <c r="S596">
        <f>IF(ISNUMBER(SEARCH("%",R596)), VALUE(SUBSTITUTE(R596,"%",""))/100,IF(ISNUMBER(R596), R596, 0))</f>
        <v>0.25</v>
      </c>
      <c r="T596" t="str">
        <f>IF(S596&lt;0,"Negative discount (invalid)",IF(S596&gt;0.5,"Discount above allowed range (invalid)",IF(AND(R596="",S596=0),"Missing discount set to 0","OK")))</f>
        <v>OK</v>
      </c>
      <c r="U596">
        <v>12116.89</v>
      </c>
      <c r="V596">
        <v>6682.92</v>
      </c>
      <c r="W596">
        <v>5151</v>
      </c>
      <c r="X596" t="s">
        <v>32</v>
      </c>
      <c r="Y596" t="s">
        <v>103</v>
      </c>
      <c r="Z596">
        <f>IF(T596="OK",P596*Q596*(1-S596),"invalid")</f>
        <v>11833.92</v>
      </c>
      <c r="AA596">
        <f>IF(Z596="N/A","N/A",Z596-V596)</f>
        <v>5151</v>
      </c>
      <c r="AB596" s="8">
        <f>IF(Z596&lt;&gt;"N/A", AA596/Z596, "N/A")</f>
        <v>0.43527419485681834</v>
      </c>
      <c r="AC596">
        <f>MONTH(B596)</f>
        <v>10</v>
      </c>
      <c r="AD596">
        <f>YEAR(B596)</f>
        <v>2025</v>
      </c>
      <c r="AE596" s="10">
        <f t="shared" si="9"/>
        <v>282.96999999999935</v>
      </c>
      <c r="AF596" t="s">
        <v>2807</v>
      </c>
      <c r="AG596" t="s">
        <v>2789</v>
      </c>
    </row>
    <row r="597" spans="1:33">
      <c r="A597" t="s">
        <v>787</v>
      </c>
      <c r="B597" s="4">
        <v>45757</v>
      </c>
      <c r="C597" s="4">
        <v>45762</v>
      </c>
      <c r="D597">
        <f>_xlfn.DAYS(C597,B597)</f>
        <v>5</v>
      </c>
      <c r="E597" t="s">
        <v>2804</v>
      </c>
      <c r="F597" t="s">
        <v>788</v>
      </c>
      <c r="G597" t="s">
        <v>162</v>
      </c>
      <c r="H597" t="s">
        <v>95</v>
      </c>
      <c r="I597" t="s">
        <v>2785</v>
      </c>
      <c r="J597" t="s">
        <v>185</v>
      </c>
      <c r="K597" t="s">
        <v>186</v>
      </c>
      <c r="L597" t="s">
        <v>74</v>
      </c>
      <c r="M597" t="s">
        <v>80</v>
      </c>
      <c r="N597" t="s">
        <v>789</v>
      </c>
      <c r="O597" t="s">
        <v>44</v>
      </c>
      <c r="P597">
        <v>1</v>
      </c>
      <c r="Q597">
        <v>2208.27</v>
      </c>
      <c r="R597">
        <v>0.1</v>
      </c>
      <c r="S597">
        <f>IF(ISNUMBER(SEARCH("%",R597)), VALUE(SUBSTITUTE(R597,"%",""))/100,IF(ISNUMBER(R597), R597, 0))</f>
        <v>0.1</v>
      </c>
      <c r="T597" t="str">
        <f>IF(S597&lt;0,"Negative discount (invalid)",IF(S597&gt;0.5,"Discount above allowed range (invalid)",IF(AND(R597="",S597=0),"Missing discount set to 0","OK")))</f>
        <v>OK</v>
      </c>
      <c r="U597">
        <v>1987.44</v>
      </c>
      <c r="V597">
        <v>1110.23</v>
      </c>
      <c r="W597">
        <v>877.21</v>
      </c>
      <c r="X597" t="s">
        <v>32</v>
      </c>
      <c r="Y597" t="s">
        <v>33</v>
      </c>
      <c r="Z597">
        <f>IF(T597="OK",P597*Q597*(1-S597),"invalid")</f>
        <v>1987.443</v>
      </c>
      <c r="AA597">
        <f>IF(Z597="N/A","N/A",Z597-V597)</f>
        <v>877.21299999999997</v>
      </c>
      <c r="AB597" s="8">
        <f>IF(Z597&lt;&gt;"N/A", AA597/Z597, "N/A")</f>
        <v>0.44137768982556985</v>
      </c>
      <c r="AC597">
        <f>MONTH(B597)</f>
        <v>4</v>
      </c>
      <c r="AD597">
        <f>YEAR(B597)</f>
        <v>2025</v>
      </c>
      <c r="AE597" s="10">
        <f t="shared" si="9"/>
        <v>2.9999999999290594E-3</v>
      </c>
      <c r="AF597" t="s">
        <v>2799</v>
      </c>
      <c r="AG597" t="s">
        <v>2798</v>
      </c>
    </row>
    <row r="598" spans="1:33">
      <c r="A598" t="s">
        <v>796</v>
      </c>
      <c r="B598" s="4">
        <v>45836</v>
      </c>
      <c r="C598" s="4">
        <v>45842</v>
      </c>
      <c r="D598">
        <f>_xlfn.DAYS(C598,B598)</f>
        <v>6</v>
      </c>
      <c r="E598" t="s">
        <v>2804</v>
      </c>
      <c r="F598" t="s">
        <v>797</v>
      </c>
      <c r="G598" t="s">
        <v>141</v>
      </c>
      <c r="H598" t="s">
        <v>24</v>
      </c>
      <c r="I598" t="s">
        <v>54</v>
      </c>
      <c r="J598" t="s">
        <v>55</v>
      </c>
      <c r="K598" t="s">
        <v>56</v>
      </c>
      <c r="L598" t="s">
        <v>41</v>
      </c>
      <c r="M598" t="s">
        <v>158</v>
      </c>
      <c r="N598" t="s">
        <v>798</v>
      </c>
      <c r="O598" t="s">
        <v>50</v>
      </c>
      <c r="P598">
        <v>3</v>
      </c>
      <c r="Q598">
        <v>2886.23</v>
      </c>
      <c r="R598">
        <v>0</v>
      </c>
      <c r="S598">
        <f>IF(ISNUMBER(SEARCH("%",R598)), VALUE(SUBSTITUTE(R598,"%",""))/100,IF(ISNUMBER(R598), R598, 0))</f>
        <v>0</v>
      </c>
      <c r="T598" t="str">
        <f>IF(S598&lt;0,"Negative discount (invalid)",IF(S598&gt;0.5,"Discount above allowed range (invalid)",IF(AND(R598="",S598=0),"Missing discount set to 0","OK")))</f>
        <v>OK</v>
      </c>
      <c r="U598">
        <v>8658.69</v>
      </c>
      <c r="V598">
        <v>5535.94</v>
      </c>
      <c r="W598">
        <v>3122.75</v>
      </c>
      <c r="X598" t="s">
        <v>102</v>
      </c>
      <c r="Y598" t="s">
        <v>103</v>
      </c>
      <c r="Z598">
        <f>IF(T598="OK",P598*Q598*(1-S598),"invalid")</f>
        <v>8658.69</v>
      </c>
      <c r="AA598">
        <f>IF(Z598="N/A","N/A",Z598-V598)</f>
        <v>3122.7500000000009</v>
      </c>
      <c r="AB598" s="8">
        <f>IF(Z598&lt;&gt;"N/A", AA598/Z598, "N/A")</f>
        <v>0.36064924370776652</v>
      </c>
      <c r="AC598">
        <f>MONTH(B598)</f>
        <v>6</v>
      </c>
      <c r="AD598">
        <f>YEAR(B598)</f>
        <v>2025</v>
      </c>
      <c r="AE598" s="10">
        <f t="shared" si="9"/>
        <v>0</v>
      </c>
      <c r="AF598" t="s">
        <v>2804</v>
      </c>
      <c r="AG598" t="s">
        <v>2811</v>
      </c>
    </row>
    <row r="599" spans="1:33">
      <c r="A599" t="s">
        <v>805</v>
      </c>
      <c r="B599" s="4">
        <v>45812</v>
      </c>
      <c r="C599" s="4">
        <v>45818</v>
      </c>
      <c r="D599">
        <f>_xlfn.DAYS(C599,B599)</f>
        <v>6</v>
      </c>
      <c r="E599" t="s">
        <v>2804</v>
      </c>
      <c r="F599" t="s">
        <v>806</v>
      </c>
      <c r="G599" t="s">
        <v>118</v>
      </c>
      <c r="H599" t="s">
        <v>24</v>
      </c>
      <c r="I599" t="s">
        <v>54</v>
      </c>
      <c r="J599" t="s">
        <v>84</v>
      </c>
      <c r="K599" t="s">
        <v>85</v>
      </c>
      <c r="L599" t="s">
        <v>74</v>
      </c>
      <c r="M599" t="s">
        <v>171</v>
      </c>
      <c r="N599" t="s">
        <v>807</v>
      </c>
      <c r="O599" t="s">
        <v>59</v>
      </c>
      <c r="P599">
        <v>4</v>
      </c>
      <c r="Q599">
        <v>223.37</v>
      </c>
      <c r="R599">
        <v>0.25</v>
      </c>
      <c r="S599">
        <f>IF(ISNUMBER(SEARCH("%",R599)), VALUE(SUBSTITUTE(R599,"%",""))/100,IF(ISNUMBER(R599), R599, 0))</f>
        <v>0.25</v>
      </c>
      <c r="T599" t="str">
        <f>IF(S599&lt;0,"Negative discount (invalid)",IF(S599&gt;0.5,"Discount above allowed range (invalid)",IF(AND(R599="",S599=0),"Missing discount set to 0","OK")))</f>
        <v>OK</v>
      </c>
      <c r="U599">
        <v>670.11</v>
      </c>
      <c r="V599">
        <v>559.57000000000005</v>
      </c>
      <c r="W599">
        <v>110.54</v>
      </c>
      <c r="X599" t="s">
        <v>32</v>
      </c>
      <c r="Y599" t="s">
        <v>33</v>
      </c>
      <c r="Z599">
        <f>IF(T599="OK",P599*Q599*(1-S599),"invalid")</f>
        <v>670.11</v>
      </c>
      <c r="AA599">
        <f>IF(Z599="N/A","N/A",Z599-V599)</f>
        <v>110.53999999999996</v>
      </c>
      <c r="AB599" s="8">
        <f>IF(Z599&lt;&gt;"N/A", AA599/Z599, "N/A")</f>
        <v>0.16495799197146732</v>
      </c>
      <c r="AC599">
        <f>MONTH(B599)</f>
        <v>6</v>
      </c>
      <c r="AD599">
        <f>YEAR(B599)</f>
        <v>2025</v>
      </c>
      <c r="AE599" s="10">
        <f t="shared" si="9"/>
        <v>0</v>
      </c>
      <c r="AF599" t="s">
        <v>2804</v>
      </c>
      <c r="AG599" t="s">
        <v>2811</v>
      </c>
    </row>
    <row r="600" spans="1:33">
      <c r="A600" t="s">
        <v>832</v>
      </c>
      <c r="B600" s="4">
        <v>45844</v>
      </c>
      <c r="C600" s="4">
        <v>45844</v>
      </c>
      <c r="D600">
        <f>_xlfn.DAYS(C600,B600)</f>
        <v>0</v>
      </c>
      <c r="E600" t="s">
        <v>2804</v>
      </c>
      <c r="F600" t="s">
        <v>833</v>
      </c>
      <c r="G600" t="s">
        <v>132</v>
      </c>
      <c r="H600" t="s">
        <v>90</v>
      </c>
      <c r="I600" t="s">
        <v>25</v>
      </c>
      <c r="J600" t="s">
        <v>236</v>
      </c>
      <c r="K600" t="s">
        <v>237</v>
      </c>
      <c r="L600" t="s">
        <v>28</v>
      </c>
      <c r="M600" t="s">
        <v>124</v>
      </c>
      <c r="N600" t="s">
        <v>834</v>
      </c>
      <c r="O600" t="s">
        <v>59</v>
      </c>
      <c r="P600">
        <v>1</v>
      </c>
      <c r="Q600">
        <v>1617.2</v>
      </c>
      <c r="R600">
        <v>0.25</v>
      </c>
      <c r="S600">
        <f>IF(ISNUMBER(SEARCH("%",R600)), VALUE(SUBSTITUTE(R600,"%",""))/100,IF(ISNUMBER(R600), R600, 0))</f>
        <v>0.25</v>
      </c>
      <c r="T600" t="str">
        <f>IF(S600&lt;0,"Negative discount (invalid)",IF(S600&gt;0.5,"Discount above allowed range (invalid)",IF(AND(R600="",S600=0),"Missing discount set to 0","OK")))</f>
        <v>OK</v>
      </c>
      <c r="U600">
        <v>1212.9000000000001</v>
      </c>
      <c r="V600">
        <v>690.52</v>
      </c>
      <c r="W600">
        <v>522.38</v>
      </c>
      <c r="X600" t="s">
        <v>111</v>
      </c>
      <c r="Y600" t="s">
        <v>103</v>
      </c>
      <c r="Z600">
        <f>IF(T600="OK",P600*Q600*(1-S600),"invalid")</f>
        <v>1212.9000000000001</v>
      </c>
      <c r="AA600">
        <f>IF(Z600="N/A","N/A",Z600-V600)</f>
        <v>522.38000000000011</v>
      </c>
      <c r="AB600" s="8">
        <f>IF(Z600&lt;&gt;"N/A", AA600/Z600, "N/A")</f>
        <v>0.4306867837414462</v>
      </c>
      <c r="AC600">
        <f>MONTH(B600)</f>
        <v>7</v>
      </c>
      <c r="AD600">
        <f>YEAR(B600)</f>
        <v>2025</v>
      </c>
      <c r="AE600" s="10">
        <f t="shared" si="9"/>
        <v>0</v>
      </c>
      <c r="AF600" t="s">
        <v>2804</v>
      </c>
      <c r="AG600" t="s">
        <v>2811</v>
      </c>
    </row>
    <row r="601" spans="1:33">
      <c r="A601" t="s">
        <v>835</v>
      </c>
      <c r="B601" s="4">
        <v>45695</v>
      </c>
      <c r="C601" s="4">
        <v>45695</v>
      </c>
      <c r="D601">
        <f>_xlfn.DAYS(C601,B601)</f>
        <v>0</v>
      </c>
      <c r="E601" t="s">
        <v>2804</v>
      </c>
      <c r="F601" t="s">
        <v>836</v>
      </c>
      <c r="G601" t="s">
        <v>53</v>
      </c>
      <c r="H601" t="s">
        <v>24</v>
      </c>
      <c r="I601" t="s">
        <v>25</v>
      </c>
      <c r="J601" t="s">
        <v>136</v>
      </c>
      <c r="K601" t="s">
        <v>137</v>
      </c>
      <c r="L601" t="s">
        <v>28</v>
      </c>
      <c r="M601" t="s">
        <v>48</v>
      </c>
      <c r="N601" t="s">
        <v>837</v>
      </c>
      <c r="O601" t="s">
        <v>31</v>
      </c>
      <c r="P601">
        <v>3</v>
      </c>
      <c r="Q601">
        <v>1999.24</v>
      </c>
      <c r="R601">
        <v>0.05</v>
      </c>
      <c r="S601">
        <f>IF(ISNUMBER(SEARCH("%",R601)), VALUE(SUBSTITUTE(R601,"%",""))/100,IF(ISNUMBER(R601), R601, 0))</f>
        <v>0.05</v>
      </c>
      <c r="T601" t="str">
        <f>IF(S601&lt;0,"Negative discount (invalid)",IF(S601&gt;0.5,"Discount above allowed range (invalid)",IF(AND(R601="",S601=0),"Missing discount set to 0","OK")))</f>
        <v>OK</v>
      </c>
      <c r="U601">
        <v>5697.83</v>
      </c>
      <c r="V601">
        <v>4251.5</v>
      </c>
      <c r="W601">
        <v>1446.33</v>
      </c>
      <c r="X601" t="s">
        <v>32</v>
      </c>
      <c r="Y601" t="s">
        <v>33</v>
      </c>
      <c r="Z601">
        <f>IF(T601="OK",P601*Q601*(1-S601),"invalid")</f>
        <v>5697.8339999999998</v>
      </c>
      <c r="AA601">
        <f>IF(Z601="N/A","N/A",Z601-V601)</f>
        <v>1446.3339999999998</v>
      </c>
      <c r="AB601" s="8">
        <f>IF(Z601&lt;&gt;"N/A", AA601/Z601, "N/A")</f>
        <v>0.25383926593860051</v>
      </c>
      <c r="AC601">
        <f>MONTH(B601)</f>
        <v>2</v>
      </c>
      <c r="AD601">
        <f>YEAR(B601)</f>
        <v>2025</v>
      </c>
      <c r="AE601" s="10">
        <f t="shared" si="9"/>
        <v>3.9999999999054126E-3</v>
      </c>
      <c r="AF601" t="s">
        <v>2804</v>
      </c>
      <c r="AG601" t="s">
        <v>2811</v>
      </c>
    </row>
    <row r="602" spans="1:33">
      <c r="A602" t="s">
        <v>838</v>
      </c>
      <c r="B602" s="4">
        <v>45867</v>
      </c>
      <c r="C602" s="4">
        <v>45871</v>
      </c>
      <c r="D602">
        <f>_xlfn.DAYS(C602,B602)</f>
        <v>4</v>
      </c>
      <c r="E602" t="s">
        <v>2804</v>
      </c>
      <c r="F602" t="s">
        <v>839</v>
      </c>
      <c r="G602" t="s">
        <v>132</v>
      </c>
      <c r="H602" t="s">
        <v>37</v>
      </c>
      <c r="I602" t="s">
        <v>2785</v>
      </c>
      <c r="J602" t="s">
        <v>72</v>
      </c>
      <c r="K602" t="s">
        <v>73</v>
      </c>
      <c r="L602" t="s">
        <v>74</v>
      </c>
      <c r="M602" t="s">
        <v>75</v>
      </c>
      <c r="N602" t="s">
        <v>840</v>
      </c>
      <c r="O602" t="s">
        <v>50</v>
      </c>
      <c r="P602">
        <v>1</v>
      </c>
      <c r="Q602">
        <v>4499.46</v>
      </c>
      <c r="R602">
        <v>0.1</v>
      </c>
      <c r="S602">
        <f>IF(ISNUMBER(SEARCH("%",R602)), VALUE(SUBSTITUTE(R602,"%",""))/100,IF(ISNUMBER(R602), R602, 0))</f>
        <v>0.1</v>
      </c>
      <c r="T602" t="str">
        <f>IF(S602&lt;0,"Negative discount (invalid)",IF(S602&gt;0.5,"Discount above allowed range (invalid)",IF(AND(R602="",S602=0),"Missing discount set to 0","OK")))</f>
        <v>OK</v>
      </c>
      <c r="U602">
        <v>4049.51</v>
      </c>
      <c r="V602">
        <v>2509.1999999999998</v>
      </c>
      <c r="W602">
        <v>1540.31</v>
      </c>
      <c r="X602" t="s">
        <v>32</v>
      </c>
      <c r="Y602" t="s">
        <v>33</v>
      </c>
      <c r="Z602">
        <f>IF(T602="OK",P602*Q602*(1-S602),"invalid")</f>
        <v>4049.5140000000001</v>
      </c>
      <c r="AA602">
        <f>IF(Z602="N/A","N/A",Z602-V602)</f>
        <v>1540.3140000000003</v>
      </c>
      <c r="AB602" s="8">
        <f>IF(Z602&lt;&gt;"N/A", AA602/Z602, "N/A")</f>
        <v>0.38037008885510715</v>
      </c>
      <c r="AC602">
        <f>MONTH(B602)</f>
        <v>7</v>
      </c>
      <c r="AD602">
        <f>YEAR(B602)</f>
        <v>2025</v>
      </c>
      <c r="AE602" s="10">
        <f t="shared" si="9"/>
        <v>3.9999999999054126E-3</v>
      </c>
      <c r="AF602" t="s">
        <v>2799</v>
      </c>
      <c r="AG602" t="s">
        <v>2798</v>
      </c>
    </row>
    <row r="603" spans="1:33">
      <c r="A603" t="s">
        <v>856</v>
      </c>
      <c r="B603" s="4">
        <v>45870</v>
      </c>
      <c r="C603" s="4">
        <v>45871</v>
      </c>
      <c r="D603">
        <f>_xlfn.DAYS(C603,B603)</f>
        <v>1</v>
      </c>
      <c r="E603" t="s">
        <v>2804</v>
      </c>
      <c r="F603" t="s">
        <v>857</v>
      </c>
      <c r="G603" t="s">
        <v>36</v>
      </c>
      <c r="H603" t="s">
        <v>90</v>
      </c>
      <c r="I603" t="s">
        <v>25</v>
      </c>
      <c r="J603" t="s">
        <v>26</v>
      </c>
      <c r="K603" t="s">
        <v>27</v>
      </c>
      <c r="L603" t="s">
        <v>41</v>
      </c>
      <c r="M603" t="s">
        <v>57</v>
      </c>
      <c r="N603" t="s">
        <v>858</v>
      </c>
      <c r="O603" t="s">
        <v>50</v>
      </c>
      <c r="P603">
        <v>4</v>
      </c>
      <c r="Q603">
        <v>2790.29</v>
      </c>
      <c r="R603">
        <v>0.2</v>
      </c>
      <c r="S603">
        <f>IF(ISNUMBER(SEARCH("%",R603)), VALUE(SUBSTITUTE(R603,"%",""))/100,IF(ISNUMBER(R603), R603, 0))</f>
        <v>0.2</v>
      </c>
      <c r="T603" t="str">
        <f>IF(S603&lt;0,"Negative discount (invalid)",IF(S603&gt;0.5,"Discount above allowed range (invalid)",IF(AND(R603="",S603=0),"Missing discount set to 0","OK")))</f>
        <v>OK</v>
      </c>
      <c r="U603">
        <v>8928.93</v>
      </c>
      <c r="V603">
        <v>5634.38</v>
      </c>
      <c r="W603">
        <v>3294.55</v>
      </c>
      <c r="X603" t="s">
        <v>32</v>
      </c>
      <c r="Y603" t="s">
        <v>33</v>
      </c>
      <c r="Z603">
        <f>IF(T603="OK",P603*Q603*(1-S603),"invalid")</f>
        <v>8928.9279999999999</v>
      </c>
      <c r="AA603">
        <f>IF(Z603="N/A","N/A",Z603-V603)</f>
        <v>3294.5479999999998</v>
      </c>
      <c r="AB603" s="8">
        <f>IF(Z603&lt;&gt;"N/A", AA603/Z603, "N/A")</f>
        <v>0.36897464062875185</v>
      </c>
      <c r="AC603">
        <f>MONTH(B603)</f>
        <v>8</v>
      </c>
      <c r="AD603">
        <f>YEAR(B603)</f>
        <v>2025</v>
      </c>
      <c r="AE603" s="10">
        <f t="shared" si="9"/>
        <v>2.0000000004074536E-3</v>
      </c>
      <c r="AF603" t="s">
        <v>2804</v>
      </c>
      <c r="AG603" t="s">
        <v>2811</v>
      </c>
    </row>
    <row r="604" spans="1:33">
      <c r="A604" t="s">
        <v>862</v>
      </c>
      <c r="B604" s="4">
        <v>45753</v>
      </c>
      <c r="C604" s="4">
        <v>45757</v>
      </c>
      <c r="D604">
        <f>_xlfn.DAYS(C604,B604)</f>
        <v>4</v>
      </c>
      <c r="E604" t="s">
        <v>2804</v>
      </c>
      <c r="F604" t="s">
        <v>863</v>
      </c>
      <c r="G604" t="s">
        <v>62</v>
      </c>
      <c r="H604" t="s">
        <v>90</v>
      </c>
      <c r="I604" t="s">
        <v>63</v>
      </c>
      <c r="J604" t="s">
        <v>180</v>
      </c>
      <c r="K604" t="s">
        <v>181</v>
      </c>
      <c r="L604" t="s">
        <v>41</v>
      </c>
      <c r="M604" t="s">
        <v>42</v>
      </c>
      <c r="N604" t="s">
        <v>864</v>
      </c>
      <c r="O604" t="s">
        <v>31</v>
      </c>
      <c r="P604">
        <v>6</v>
      </c>
      <c r="Q604">
        <v>1022.16</v>
      </c>
      <c r="R604">
        <v>0</v>
      </c>
      <c r="S604">
        <f>IF(ISNUMBER(SEARCH("%",R604)), VALUE(SUBSTITUTE(R604,"%",""))/100,IF(ISNUMBER(R604), R604, 0))</f>
        <v>0</v>
      </c>
      <c r="T604" t="str">
        <f>IF(S604&lt;0,"Negative discount (invalid)",IF(S604&gt;0.5,"Discount above allowed range (invalid)",IF(AND(R604="",S604=0),"Missing discount set to 0","OK")))</f>
        <v>OK</v>
      </c>
      <c r="U604">
        <v>6132.96</v>
      </c>
      <c r="V604">
        <v>4881.1000000000004</v>
      </c>
      <c r="W604">
        <v>1251.8599999999999</v>
      </c>
      <c r="X604" t="s">
        <v>32</v>
      </c>
      <c r="Y604" t="s">
        <v>33</v>
      </c>
      <c r="Z604">
        <f>IF(T604="OK",P604*Q604*(1-S604),"invalid")</f>
        <v>6132.96</v>
      </c>
      <c r="AA604">
        <f>IF(Z604="N/A","N/A",Z604-V604)</f>
        <v>1251.8599999999997</v>
      </c>
      <c r="AB604" s="8">
        <f>IF(Z604&lt;&gt;"N/A", AA604/Z604, "N/A")</f>
        <v>0.20412003339333692</v>
      </c>
      <c r="AC604">
        <f>MONTH(B604)</f>
        <v>4</v>
      </c>
      <c r="AD604">
        <f>YEAR(B604)</f>
        <v>2025</v>
      </c>
      <c r="AE604" s="10">
        <f t="shared" si="9"/>
        <v>0</v>
      </c>
      <c r="AF604" t="s">
        <v>2804</v>
      </c>
      <c r="AG604" t="s">
        <v>2811</v>
      </c>
    </row>
    <row r="605" spans="1:33">
      <c r="A605" t="s">
        <v>865</v>
      </c>
      <c r="B605" s="4">
        <v>45833</v>
      </c>
      <c r="C605" s="4">
        <v>45836</v>
      </c>
      <c r="D605">
        <f>_xlfn.DAYS(C605,B605)</f>
        <v>3</v>
      </c>
      <c r="E605" t="s">
        <v>2804</v>
      </c>
      <c r="F605" t="s">
        <v>866</v>
      </c>
      <c r="G605" t="s">
        <v>53</v>
      </c>
      <c r="H605" t="s">
        <v>90</v>
      </c>
      <c r="I605" t="s">
        <v>25</v>
      </c>
      <c r="J605" t="s">
        <v>236</v>
      </c>
      <c r="K605" t="s">
        <v>237</v>
      </c>
      <c r="L605" t="s">
        <v>28</v>
      </c>
      <c r="M605" t="s">
        <v>124</v>
      </c>
      <c r="N605" t="s">
        <v>867</v>
      </c>
      <c r="O605" t="s">
        <v>50</v>
      </c>
      <c r="P605">
        <v>2</v>
      </c>
      <c r="Q605">
        <v>1455.92</v>
      </c>
      <c r="R605">
        <v>0.2</v>
      </c>
      <c r="S605">
        <f>IF(ISNUMBER(SEARCH("%",R605)), VALUE(SUBSTITUTE(R605,"%",""))/100,IF(ISNUMBER(R605), R605, 0))</f>
        <v>0.2</v>
      </c>
      <c r="T605" t="str">
        <f>IF(S605&lt;0,"Negative discount (invalid)",IF(S605&gt;0.5,"Discount above allowed range (invalid)",IF(AND(R605="",S605=0),"Missing discount set to 0","OK")))</f>
        <v>OK</v>
      </c>
      <c r="U605">
        <v>2329.4699999999998</v>
      </c>
      <c r="V605">
        <v>1603.62</v>
      </c>
      <c r="W605">
        <v>725.85</v>
      </c>
      <c r="X605" t="s">
        <v>111</v>
      </c>
      <c r="Y605" t="s">
        <v>103</v>
      </c>
      <c r="Z605">
        <f>IF(T605="OK",P605*Q605*(1-S605),"invalid")</f>
        <v>2329.4720000000002</v>
      </c>
      <c r="AA605">
        <f>IF(Z605="N/A","N/A",Z605-V605)</f>
        <v>725.85200000000032</v>
      </c>
      <c r="AB605" s="8">
        <f>IF(Z605&lt;&gt;"N/A", AA605/Z605, "N/A")</f>
        <v>0.31159507390515973</v>
      </c>
      <c r="AC605">
        <f>MONTH(B605)</f>
        <v>6</v>
      </c>
      <c r="AD605">
        <f>YEAR(B605)</f>
        <v>2025</v>
      </c>
      <c r="AE605" s="10">
        <f t="shared" si="9"/>
        <v>2.0000000004074536E-3</v>
      </c>
      <c r="AF605" t="s">
        <v>2804</v>
      </c>
      <c r="AG605" t="s">
        <v>2811</v>
      </c>
    </row>
    <row r="606" spans="1:33">
      <c r="A606" t="s">
        <v>871</v>
      </c>
      <c r="B606" s="4">
        <v>45658</v>
      </c>
      <c r="C606" s="4">
        <v>45660</v>
      </c>
      <c r="D606">
        <f>_xlfn.DAYS(C606,B606)</f>
        <v>2</v>
      </c>
      <c r="E606" t="s">
        <v>2804</v>
      </c>
      <c r="F606" t="s">
        <v>872</v>
      </c>
      <c r="G606" t="s">
        <v>62</v>
      </c>
      <c r="H606" t="s">
        <v>24</v>
      </c>
      <c r="I606" t="s">
        <v>63</v>
      </c>
      <c r="J606" t="s">
        <v>72</v>
      </c>
      <c r="K606" t="s">
        <v>73</v>
      </c>
      <c r="L606" t="s">
        <v>74</v>
      </c>
      <c r="M606" t="s">
        <v>75</v>
      </c>
      <c r="N606" t="s">
        <v>873</v>
      </c>
      <c r="O606" t="s">
        <v>44</v>
      </c>
      <c r="P606">
        <v>7</v>
      </c>
      <c r="Q606">
        <v>1000.55</v>
      </c>
      <c r="R606">
        <v>0.2</v>
      </c>
      <c r="S606">
        <f>IF(ISNUMBER(SEARCH("%",R606)), VALUE(SUBSTITUTE(R606,"%",""))/100,IF(ISNUMBER(R606), R606, 0))</f>
        <v>0.2</v>
      </c>
      <c r="T606" t="str">
        <f>IF(S606&lt;0,"Negative discount (invalid)",IF(S606&gt;0.5,"Discount above allowed range (invalid)",IF(AND(R606="",S606=0),"Missing discount set to 0","OK")))</f>
        <v>OK</v>
      </c>
      <c r="U606">
        <v>5603.08</v>
      </c>
      <c r="V606">
        <v>3132.52</v>
      </c>
      <c r="W606">
        <v>2470.56</v>
      </c>
      <c r="X606" t="s">
        <v>32</v>
      </c>
      <c r="Y606" t="s">
        <v>103</v>
      </c>
      <c r="Z606">
        <f>IF(T606="OK",P606*Q606*(1-S606),"invalid")</f>
        <v>5603.08</v>
      </c>
      <c r="AA606">
        <f>IF(Z606="N/A","N/A",Z606-V606)</f>
        <v>2470.56</v>
      </c>
      <c r="AB606" s="8">
        <f>IF(Z606&lt;&gt;"N/A", AA606/Z606, "N/A")</f>
        <v>0.44092891766671188</v>
      </c>
      <c r="AC606">
        <f>MONTH(B606)</f>
        <v>1</v>
      </c>
      <c r="AD606">
        <f>YEAR(B606)</f>
        <v>2025</v>
      </c>
      <c r="AE606" s="10">
        <f t="shared" si="9"/>
        <v>0</v>
      </c>
      <c r="AF606" t="s">
        <v>2804</v>
      </c>
      <c r="AG606" t="s">
        <v>2811</v>
      </c>
    </row>
    <row r="607" spans="1:33">
      <c r="A607" t="s">
        <v>874</v>
      </c>
      <c r="B607" s="4">
        <v>45692</v>
      </c>
      <c r="C607" s="4">
        <v>45698</v>
      </c>
      <c r="D607">
        <f>_xlfn.DAYS(C607,B607)</f>
        <v>6</v>
      </c>
      <c r="E607" t="s">
        <v>2804</v>
      </c>
      <c r="F607" t="s">
        <v>875</v>
      </c>
      <c r="G607" t="s">
        <v>47</v>
      </c>
      <c r="H607" t="s">
        <v>90</v>
      </c>
      <c r="I607" t="s">
        <v>63</v>
      </c>
      <c r="J607" t="s">
        <v>64</v>
      </c>
      <c r="K607" t="s">
        <v>65</v>
      </c>
      <c r="L607" t="s">
        <v>74</v>
      </c>
      <c r="M607" t="s">
        <v>171</v>
      </c>
      <c r="N607" t="s">
        <v>876</v>
      </c>
      <c r="O607" t="s">
        <v>50</v>
      </c>
      <c r="P607">
        <v>7</v>
      </c>
      <c r="Q607">
        <v>1830</v>
      </c>
      <c r="R607">
        <v>0</v>
      </c>
      <c r="S607">
        <f>IF(ISNUMBER(SEARCH("%",R607)), VALUE(SUBSTITUTE(R607,"%",""))/100,IF(ISNUMBER(R607), R607, 0))</f>
        <v>0</v>
      </c>
      <c r="T607" t="str">
        <f>IF(S607&lt;0,"Negative discount (invalid)",IF(S607&gt;0.5,"Discount above allowed range (invalid)",IF(AND(R607="",S607=0),"Missing discount set to 0","OK")))</f>
        <v>OK</v>
      </c>
      <c r="U607">
        <v>12810</v>
      </c>
      <c r="V607">
        <v>9334.1200000000008</v>
      </c>
      <c r="W607">
        <v>3475.88</v>
      </c>
      <c r="X607" t="s">
        <v>32</v>
      </c>
      <c r="Y607" t="s">
        <v>33</v>
      </c>
      <c r="Z607">
        <f>IF(T607="OK",P607*Q607*(1-S607),"invalid")</f>
        <v>12810</v>
      </c>
      <c r="AA607">
        <f>IF(Z607="N/A","N/A",Z607-V607)</f>
        <v>3475.8799999999992</v>
      </c>
      <c r="AB607" s="8">
        <f>IF(Z607&lt;&gt;"N/A", AA607/Z607, "N/A")</f>
        <v>0.27134113973458229</v>
      </c>
      <c r="AC607">
        <f>MONTH(B607)</f>
        <v>2</v>
      </c>
      <c r="AD607">
        <f>YEAR(B607)</f>
        <v>2025</v>
      </c>
      <c r="AE607" s="10">
        <f t="shared" si="9"/>
        <v>0</v>
      </c>
      <c r="AF607" t="s">
        <v>2804</v>
      </c>
      <c r="AG607" t="s">
        <v>2811</v>
      </c>
    </row>
    <row r="608" spans="1:33">
      <c r="A608" t="s">
        <v>880</v>
      </c>
      <c r="B608" s="4">
        <v>45878</v>
      </c>
      <c r="C608" s="4">
        <v>45881</v>
      </c>
      <c r="D608">
        <f>_xlfn.DAYS(C608,B608)</f>
        <v>3</v>
      </c>
      <c r="E608" t="s">
        <v>2804</v>
      </c>
      <c r="F608" t="s">
        <v>881</v>
      </c>
      <c r="G608" t="s">
        <v>162</v>
      </c>
      <c r="H608" t="s">
        <v>90</v>
      </c>
      <c r="I608" t="s">
        <v>54</v>
      </c>
      <c r="J608" t="s">
        <v>175</v>
      </c>
      <c r="K608" t="s">
        <v>176</v>
      </c>
      <c r="L608" t="s">
        <v>74</v>
      </c>
      <c r="M608" t="s">
        <v>75</v>
      </c>
      <c r="N608" t="s">
        <v>882</v>
      </c>
      <c r="O608" t="s">
        <v>31</v>
      </c>
      <c r="P608">
        <v>2</v>
      </c>
      <c r="Q608">
        <v>3237.27</v>
      </c>
      <c r="R608">
        <v>0</v>
      </c>
      <c r="S608">
        <f>IF(ISNUMBER(SEARCH("%",R608)), VALUE(SUBSTITUTE(R608,"%",""))/100,IF(ISNUMBER(R608), R608, 0))</f>
        <v>0</v>
      </c>
      <c r="T608" t="str">
        <f>IF(S608&lt;0,"Negative discount (invalid)",IF(S608&gt;0.5,"Discount above allowed range (invalid)",IF(AND(R608="",S608=0),"Missing discount set to 0","OK")))</f>
        <v>OK</v>
      </c>
      <c r="U608">
        <v>6474.54</v>
      </c>
      <c r="V608">
        <v>5095.91</v>
      </c>
      <c r="W608">
        <v>1378.63</v>
      </c>
      <c r="X608" t="s">
        <v>32</v>
      </c>
      <c r="Y608" t="s">
        <v>68</v>
      </c>
      <c r="Z608">
        <f>IF(T608="OK",P608*Q608*(1-S608),"invalid")</f>
        <v>6474.54</v>
      </c>
      <c r="AA608">
        <f>IF(Z608="N/A","N/A",Z608-V608)</f>
        <v>1378.63</v>
      </c>
      <c r="AB608" s="8">
        <f>IF(Z608&lt;&gt;"N/A", AA608/Z608, "N/A")</f>
        <v>0.21293095725719513</v>
      </c>
      <c r="AC608">
        <f>MONTH(B608)</f>
        <v>8</v>
      </c>
      <c r="AD608">
        <f>YEAR(B608)</f>
        <v>2025</v>
      </c>
      <c r="AE608" s="10">
        <f t="shared" si="9"/>
        <v>0</v>
      </c>
      <c r="AF608" t="s">
        <v>2804</v>
      </c>
      <c r="AG608" t="s">
        <v>2811</v>
      </c>
    </row>
    <row r="609" spans="1:33">
      <c r="A609" t="s">
        <v>889</v>
      </c>
      <c r="B609" s="4">
        <v>45923</v>
      </c>
      <c r="C609" s="4">
        <v>45927</v>
      </c>
      <c r="D609">
        <f>_xlfn.DAYS(C609,B609)</f>
        <v>4</v>
      </c>
      <c r="E609" t="s">
        <v>2804</v>
      </c>
      <c r="F609" t="s">
        <v>890</v>
      </c>
      <c r="G609" t="s">
        <v>89</v>
      </c>
      <c r="H609" t="s">
        <v>90</v>
      </c>
      <c r="I609" t="s">
        <v>38</v>
      </c>
      <c r="J609" t="s">
        <v>99</v>
      </c>
      <c r="K609" t="s">
        <v>100</v>
      </c>
      <c r="L609" t="s">
        <v>28</v>
      </c>
      <c r="M609" t="s">
        <v>153</v>
      </c>
      <c r="N609" t="s">
        <v>891</v>
      </c>
      <c r="O609" t="s">
        <v>44</v>
      </c>
      <c r="P609">
        <v>7</v>
      </c>
      <c r="Q609">
        <v>2897.12</v>
      </c>
      <c r="R609">
        <v>0.25</v>
      </c>
      <c r="S609">
        <f>IF(ISNUMBER(SEARCH("%",R609)), VALUE(SUBSTITUTE(R609,"%",""))/100,IF(ISNUMBER(R609), R609, 0))</f>
        <v>0.25</v>
      </c>
      <c r="T609" t="str">
        <f>IF(S609&lt;0,"Negative discount (invalid)",IF(S609&gt;0.5,"Discount above allowed range (invalid)",IF(AND(R609="",S609=0),"Missing discount set to 0","OK")))</f>
        <v>OK</v>
      </c>
      <c r="U609">
        <v>15209.88</v>
      </c>
      <c r="V609">
        <v>10891.15</v>
      </c>
      <c r="W609">
        <v>4318.7299999999996</v>
      </c>
      <c r="X609" t="s">
        <v>155</v>
      </c>
      <c r="Y609" t="s">
        <v>103</v>
      </c>
      <c r="Z609">
        <f>IF(T609="OK",P609*Q609*(1-S609),"invalid")</f>
        <v>15209.880000000001</v>
      </c>
      <c r="AA609">
        <f>IF(Z609="N/A","N/A",Z609-V609)</f>
        <v>4318.7300000000014</v>
      </c>
      <c r="AB609" s="8">
        <f>IF(Z609&lt;&gt;"N/A", AA609/Z609, "N/A")</f>
        <v>0.28394241111698454</v>
      </c>
      <c r="AC609">
        <f>MONTH(B609)</f>
        <v>9</v>
      </c>
      <c r="AD609">
        <f>YEAR(B609)</f>
        <v>2025</v>
      </c>
      <c r="AE609" s="10">
        <f t="shared" si="9"/>
        <v>1.8189894035458565E-12</v>
      </c>
      <c r="AF609" t="s">
        <v>2804</v>
      </c>
      <c r="AG609" t="s">
        <v>2811</v>
      </c>
    </row>
    <row r="610" spans="1:33">
      <c r="A610" t="s">
        <v>892</v>
      </c>
      <c r="B610" s="4">
        <v>45826</v>
      </c>
      <c r="C610" s="4">
        <v>45832</v>
      </c>
      <c r="D610">
        <f>_xlfn.DAYS(C610,B610)</f>
        <v>6</v>
      </c>
      <c r="E610" t="s">
        <v>2804</v>
      </c>
      <c r="F610" t="s">
        <v>893</v>
      </c>
      <c r="G610" t="s">
        <v>132</v>
      </c>
      <c r="H610" t="s">
        <v>90</v>
      </c>
      <c r="I610" t="s">
        <v>25</v>
      </c>
      <c r="J610" t="s">
        <v>26</v>
      </c>
      <c r="K610" t="s">
        <v>27</v>
      </c>
      <c r="L610" t="s">
        <v>28</v>
      </c>
      <c r="M610" t="s">
        <v>91</v>
      </c>
      <c r="N610" t="s">
        <v>894</v>
      </c>
      <c r="O610" t="s">
        <v>59</v>
      </c>
      <c r="P610">
        <v>3</v>
      </c>
      <c r="Q610">
        <v>686.74</v>
      </c>
      <c r="R610">
        <v>0.2</v>
      </c>
      <c r="S610">
        <f>IF(ISNUMBER(SEARCH("%",R610)), VALUE(SUBSTITUTE(R610,"%",""))/100,IF(ISNUMBER(R610), R610, 0))</f>
        <v>0.2</v>
      </c>
      <c r="T610" t="str">
        <f>IF(S610&lt;0,"Negative discount (invalid)",IF(S610&gt;0.5,"Discount above allowed range (invalid)",IF(AND(R610="",S610=0),"Missing discount set to 0","OK")))</f>
        <v>OK</v>
      </c>
      <c r="U610">
        <v>1648.18</v>
      </c>
      <c r="V610">
        <v>987.91</v>
      </c>
      <c r="W610">
        <v>660.27</v>
      </c>
      <c r="X610" t="s">
        <v>155</v>
      </c>
      <c r="Y610" t="s">
        <v>68</v>
      </c>
      <c r="Z610">
        <f>IF(T610="OK",P610*Q610*(1-S610),"invalid")</f>
        <v>1648.1760000000004</v>
      </c>
      <c r="AA610">
        <f>IF(Z610="N/A","N/A",Z610-V610)</f>
        <v>660.26600000000042</v>
      </c>
      <c r="AB610" s="8">
        <f>IF(Z610&lt;&gt;"N/A", AA610/Z610, "N/A")</f>
        <v>0.40060406170214846</v>
      </c>
      <c r="AC610">
        <f>MONTH(B610)</f>
        <v>6</v>
      </c>
      <c r="AD610">
        <f>YEAR(B610)</f>
        <v>2025</v>
      </c>
      <c r="AE610" s="10">
        <f t="shared" si="9"/>
        <v>3.9999999996780389E-3</v>
      </c>
      <c r="AF610" t="s">
        <v>2804</v>
      </c>
      <c r="AG610" t="s">
        <v>2811</v>
      </c>
    </row>
    <row r="611" spans="1:33">
      <c r="A611" t="s">
        <v>895</v>
      </c>
      <c r="B611" s="4">
        <v>45803</v>
      </c>
      <c r="C611" s="4">
        <v>45809</v>
      </c>
      <c r="D611">
        <f>_xlfn.DAYS(C611,B611)</f>
        <v>6</v>
      </c>
      <c r="E611" t="s">
        <v>2804</v>
      </c>
      <c r="F611" t="s">
        <v>630</v>
      </c>
      <c r="G611" t="s">
        <v>53</v>
      </c>
      <c r="H611" t="s">
        <v>37</v>
      </c>
      <c r="I611" t="s">
        <v>25</v>
      </c>
      <c r="J611" t="s">
        <v>350</v>
      </c>
      <c r="K611" t="s">
        <v>351</v>
      </c>
      <c r="L611" t="s">
        <v>74</v>
      </c>
      <c r="M611" t="s">
        <v>171</v>
      </c>
      <c r="N611" t="s">
        <v>896</v>
      </c>
      <c r="O611" t="s">
        <v>44</v>
      </c>
      <c r="P611">
        <v>4</v>
      </c>
      <c r="Q611">
        <v>3349.86</v>
      </c>
      <c r="R611">
        <v>0</v>
      </c>
      <c r="S611">
        <f>IF(ISNUMBER(SEARCH("%",R611)), VALUE(SUBSTITUTE(R611,"%",""))/100,IF(ISNUMBER(R611), R611, 0))</f>
        <v>0</v>
      </c>
      <c r="T611" t="str">
        <f>IF(S611&lt;0,"Negative discount (invalid)",IF(S611&gt;0.5,"Discount above allowed range (invalid)",IF(AND(R611="",S611=0),"Missing discount set to 0","OK")))</f>
        <v>OK</v>
      </c>
      <c r="U611">
        <v>13399.44</v>
      </c>
      <c r="V611">
        <v>8581.35</v>
      </c>
      <c r="W611">
        <v>4818.09</v>
      </c>
      <c r="X611" t="s">
        <v>111</v>
      </c>
      <c r="Y611" t="s">
        <v>103</v>
      </c>
      <c r="Z611">
        <f>IF(T611="OK",P611*Q611*(1-S611),"invalid")</f>
        <v>13399.44</v>
      </c>
      <c r="AA611">
        <f>IF(Z611="N/A","N/A",Z611-V611)</f>
        <v>4818.09</v>
      </c>
      <c r="AB611" s="8">
        <f>IF(Z611&lt;&gt;"N/A", AA611/Z611, "N/A")</f>
        <v>0.3595739821962709</v>
      </c>
      <c r="AC611">
        <f>MONTH(B611)</f>
        <v>5</v>
      </c>
      <c r="AD611">
        <f>YEAR(B611)</f>
        <v>2025</v>
      </c>
      <c r="AE611" s="10">
        <f t="shared" si="9"/>
        <v>0</v>
      </c>
      <c r="AF611" t="s">
        <v>2804</v>
      </c>
      <c r="AG611" t="s">
        <v>2811</v>
      </c>
    </row>
    <row r="612" spans="1:33">
      <c r="A612" t="s">
        <v>897</v>
      </c>
      <c r="B612" s="4">
        <v>45875</v>
      </c>
      <c r="C612" s="4">
        <v>45879</v>
      </c>
      <c r="D612">
        <f>_xlfn.DAYS(C612,B612)</f>
        <v>4</v>
      </c>
      <c r="E612" t="s">
        <v>2804</v>
      </c>
      <c r="F612" t="s">
        <v>898</v>
      </c>
      <c r="G612" t="s">
        <v>141</v>
      </c>
      <c r="H612" t="s">
        <v>37</v>
      </c>
      <c r="I612" t="s">
        <v>25</v>
      </c>
      <c r="J612" t="s">
        <v>350</v>
      </c>
      <c r="K612" t="s">
        <v>351</v>
      </c>
      <c r="L612" t="s">
        <v>28</v>
      </c>
      <c r="M612" t="s">
        <v>153</v>
      </c>
      <c r="N612" t="s">
        <v>899</v>
      </c>
      <c r="O612" t="s">
        <v>31</v>
      </c>
      <c r="P612">
        <v>9</v>
      </c>
      <c r="Q612">
        <v>4042.45</v>
      </c>
      <c r="R612">
        <v>0.1</v>
      </c>
      <c r="S612">
        <f>IF(ISNUMBER(SEARCH("%",R612)), VALUE(SUBSTITUTE(R612,"%",""))/100,IF(ISNUMBER(R612), R612, 0))</f>
        <v>0.1</v>
      </c>
      <c r="T612" t="str">
        <f>IF(S612&lt;0,"Negative discount (invalid)",IF(S612&gt;0.5,"Discount above allowed range (invalid)",IF(AND(R612="",S612=0),"Missing discount set to 0","OK")))</f>
        <v>OK</v>
      </c>
      <c r="U612">
        <v>32743.84</v>
      </c>
      <c r="V612">
        <v>22452.05</v>
      </c>
      <c r="W612">
        <v>10291.790000000001</v>
      </c>
      <c r="X612" t="s">
        <v>111</v>
      </c>
      <c r="Y612" t="s">
        <v>103</v>
      </c>
      <c r="Z612">
        <f>IF(T612="OK",P612*Q612*(1-S612),"invalid")</f>
        <v>32743.844999999998</v>
      </c>
      <c r="AA612">
        <f>IF(Z612="N/A","N/A",Z612-V612)</f>
        <v>10291.794999999998</v>
      </c>
      <c r="AB612" s="8">
        <f>IF(Z612&lt;&gt;"N/A", AA612/Z612, "N/A")</f>
        <v>0.314312353970647</v>
      </c>
      <c r="AC612">
        <f>MONTH(B612)</f>
        <v>8</v>
      </c>
      <c r="AD612">
        <f>YEAR(B612)</f>
        <v>2025</v>
      </c>
      <c r="AE612" s="10">
        <f t="shared" si="9"/>
        <v>4.9999999973806553E-3</v>
      </c>
      <c r="AF612" t="s">
        <v>2804</v>
      </c>
      <c r="AG612" t="s">
        <v>2811</v>
      </c>
    </row>
    <row r="613" spans="1:33">
      <c r="A613" t="s">
        <v>906</v>
      </c>
      <c r="B613" s="4">
        <v>45780</v>
      </c>
      <c r="C613" s="4">
        <v>45787</v>
      </c>
      <c r="D613">
        <f>_xlfn.DAYS(C613,B613)</f>
        <v>7</v>
      </c>
      <c r="E613" t="s">
        <v>2804</v>
      </c>
      <c r="F613" t="s">
        <v>907</v>
      </c>
      <c r="G613" t="s">
        <v>79</v>
      </c>
      <c r="H613" t="s">
        <v>95</v>
      </c>
      <c r="I613" t="s">
        <v>63</v>
      </c>
      <c r="J613" t="s">
        <v>64</v>
      </c>
      <c r="K613" t="s">
        <v>65</v>
      </c>
      <c r="L613" t="s">
        <v>28</v>
      </c>
      <c r="M613" t="s">
        <v>124</v>
      </c>
      <c r="N613" t="s">
        <v>908</v>
      </c>
      <c r="O613" t="s">
        <v>31</v>
      </c>
      <c r="P613">
        <v>3</v>
      </c>
      <c r="Q613">
        <v>4339.24</v>
      </c>
      <c r="R613">
        <v>0</v>
      </c>
      <c r="S613">
        <f>IF(ISNUMBER(SEARCH("%",R613)), VALUE(SUBSTITUTE(R613,"%",""))/100,IF(ISNUMBER(R613), R613, 0))</f>
        <v>0</v>
      </c>
      <c r="T613" t="str">
        <f>IF(S613&lt;0,"Negative discount (invalid)",IF(S613&gt;0.5,"Discount above allowed range (invalid)",IF(AND(R613="",S613=0),"Missing discount set to 0","OK")))</f>
        <v>OK</v>
      </c>
      <c r="U613">
        <v>13017.72</v>
      </c>
      <c r="V613">
        <v>10170.57</v>
      </c>
      <c r="W613">
        <v>2847.15</v>
      </c>
      <c r="X613" t="s">
        <v>32</v>
      </c>
      <c r="Y613" t="s">
        <v>33</v>
      </c>
      <c r="Z613">
        <f>IF(T613="OK",P613*Q613*(1-S613),"invalid")</f>
        <v>13017.72</v>
      </c>
      <c r="AA613">
        <f>IF(Z613="N/A","N/A",Z613-V613)</f>
        <v>2847.1499999999996</v>
      </c>
      <c r="AB613" s="8">
        <f>IF(Z613&lt;&gt;"N/A", AA613/Z613, "N/A")</f>
        <v>0.21871341525244051</v>
      </c>
      <c r="AC613">
        <f>MONTH(B613)</f>
        <v>5</v>
      </c>
      <c r="AD613">
        <f>YEAR(B613)</f>
        <v>2025</v>
      </c>
      <c r="AE613" s="10">
        <f t="shared" si="9"/>
        <v>0</v>
      </c>
      <c r="AF613" t="s">
        <v>2804</v>
      </c>
      <c r="AG613" t="s">
        <v>2811</v>
      </c>
    </row>
    <row r="614" spans="1:33">
      <c r="A614" t="s">
        <v>909</v>
      </c>
      <c r="B614" s="4">
        <v>45805</v>
      </c>
      <c r="C614" s="4">
        <v>45812</v>
      </c>
      <c r="D614">
        <f>_xlfn.DAYS(C614,B614)</f>
        <v>7</v>
      </c>
      <c r="E614" t="s">
        <v>2804</v>
      </c>
      <c r="F614" t="s">
        <v>910</v>
      </c>
      <c r="G614" t="s">
        <v>162</v>
      </c>
      <c r="H614" t="s">
        <v>90</v>
      </c>
      <c r="I614" t="s">
        <v>38</v>
      </c>
      <c r="J614" t="s">
        <v>228</v>
      </c>
      <c r="K614" t="s">
        <v>229</v>
      </c>
      <c r="L614" t="s">
        <v>41</v>
      </c>
      <c r="M614" t="s">
        <v>57</v>
      </c>
      <c r="N614" t="s">
        <v>911</v>
      </c>
      <c r="O614" t="s">
        <v>50</v>
      </c>
      <c r="P614">
        <v>4</v>
      </c>
      <c r="Q614">
        <v>261.8</v>
      </c>
      <c r="R614">
        <v>0.25</v>
      </c>
      <c r="S614">
        <f>IF(ISNUMBER(SEARCH("%",R614)), VALUE(SUBSTITUTE(R614,"%",""))/100,IF(ISNUMBER(R614), R614, 0))</f>
        <v>0.25</v>
      </c>
      <c r="T614" t="str">
        <f>IF(S614&lt;0,"Negative discount (invalid)",IF(S614&gt;0.5,"Discount above allowed range (invalid)",IF(AND(R614="",S614=0),"Missing discount set to 0","OK")))</f>
        <v>OK</v>
      </c>
      <c r="U614">
        <v>785.4</v>
      </c>
      <c r="V614">
        <v>557.22</v>
      </c>
      <c r="W614">
        <v>228.18</v>
      </c>
      <c r="X614" t="s">
        <v>32</v>
      </c>
      <c r="Y614" t="s">
        <v>33</v>
      </c>
      <c r="Z614">
        <f>IF(T614="OK",P614*Q614*(1-S614),"invalid")</f>
        <v>785.40000000000009</v>
      </c>
      <c r="AA614">
        <f>IF(Z614="N/A","N/A",Z614-V614)</f>
        <v>228.18000000000006</v>
      </c>
      <c r="AB614" s="8">
        <f>IF(Z614&lt;&gt;"N/A", AA614/Z614, "N/A")</f>
        <v>0.29052711993888469</v>
      </c>
      <c r="AC614">
        <f>MONTH(B614)</f>
        <v>5</v>
      </c>
      <c r="AD614">
        <f>YEAR(B614)</f>
        <v>2025</v>
      </c>
      <c r="AE614" s="10">
        <f t="shared" si="9"/>
        <v>1.1368683772161603E-13</v>
      </c>
      <c r="AF614" t="s">
        <v>2804</v>
      </c>
      <c r="AG614" t="s">
        <v>2811</v>
      </c>
    </row>
    <row r="615" spans="1:33">
      <c r="A615" t="s">
        <v>912</v>
      </c>
      <c r="B615" s="4">
        <v>45886</v>
      </c>
      <c r="C615" s="4">
        <v>45886</v>
      </c>
      <c r="D615">
        <f>_xlfn.DAYS(C615,B615)</f>
        <v>0</v>
      </c>
      <c r="E615" t="s">
        <v>2804</v>
      </c>
      <c r="F615" t="s">
        <v>913</v>
      </c>
      <c r="G615" t="s">
        <v>128</v>
      </c>
      <c r="H615" t="s">
        <v>95</v>
      </c>
      <c r="I615" t="s">
        <v>25</v>
      </c>
      <c r="J615" t="s">
        <v>122</v>
      </c>
      <c r="K615" t="s">
        <v>123</v>
      </c>
      <c r="L615" t="s">
        <v>74</v>
      </c>
      <c r="M615" t="s">
        <v>75</v>
      </c>
      <c r="N615" t="s">
        <v>914</v>
      </c>
      <c r="O615" t="s">
        <v>50</v>
      </c>
      <c r="P615">
        <v>7</v>
      </c>
      <c r="Q615">
        <v>632.20000000000005</v>
      </c>
      <c r="R615">
        <v>0.25</v>
      </c>
      <c r="S615">
        <f>IF(ISNUMBER(SEARCH("%",R615)), VALUE(SUBSTITUTE(R615,"%",""))/100,IF(ISNUMBER(R615), R615, 0))</f>
        <v>0.25</v>
      </c>
      <c r="T615" t="str">
        <f>IF(S615&lt;0,"Negative discount (invalid)",IF(S615&gt;0.5,"Discount above allowed range (invalid)",IF(AND(R615="",S615=0),"Missing discount set to 0","OK")))</f>
        <v>OK</v>
      </c>
      <c r="U615">
        <v>3319.05</v>
      </c>
      <c r="V615">
        <v>2124.6</v>
      </c>
      <c r="W615">
        <v>1194.45</v>
      </c>
      <c r="X615" t="s">
        <v>32</v>
      </c>
      <c r="Y615" t="s">
        <v>33</v>
      </c>
      <c r="Z615">
        <f>IF(T615="OK",P615*Q615*(1-S615),"invalid")</f>
        <v>3319.05</v>
      </c>
      <c r="AA615">
        <f>IF(Z615="N/A","N/A",Z615-V615)</f>
        <v>1194.4500000000003</v>
      </c>
      <c r="AB615" s="8">
        <f>IF(Z615&lt;&gt;"N/A", AA615/Z615, "N/A")</f>
        <v>0.35987707325891449</v>
      </c>
      <c r="AC615">
        <f>MONTH(B615)</f>
        <v>8</v>
      </c>
      <c r="AD615">
        <f>YEAR(B615)</f>
        <v>2025</v>
      </c>
      <c r="AE615" s="10">
        <f t="shared" si="9"/>
        <v>0</v>
      </c>
      <c r="AF615" t="s">
        <v>2804</v>
      </c>
      <c r="AG615" t="s">
        <v>2811</v>
      </c>
    </row>
    <row r="616" spans="1:33">
      <c r="A616" t="s">
        <v>915</v>
      </c>
      <c r="B616" s="4">
        <v>45698</v>
      </c>
      <c r="C616" s="4">
        <v>45700</v>
      </c>
      <c r="D616">
        <f>_xlfn.DAYS(C616,B616)</f>
        <v>2</v>
      </c>
      <c r="E616" t="s">
        <v>2804</v>
      </c>
      <c r="F616" t="s">
        <v>916</v>
      </c>
      <c r="G616" t="s">
        <v>118</v>
      </c>
      <c r="H616" t="s">
        <v>37</v>
      </c>
      <c r="I616" t="s">
        <v>63</v>
      </c>
      <c r="J616" t="s">
        <v>26</v>
      </c>
      <c r="K616" t="s">
        <v>109</v>
      </c>
      <c r="L616" t="s">
        <v>41</v>
      </c>
      <c r="M616" t="s">
        <v>42</v>
      </c>
      <c r="N616" t="s">
        <v>917</v>
      </c>
      <c r="O616" t="s">
        <v>44</v>
      </c>
      <c r="P616">
        <v>1</v>
      </c>
      <c r="Q616">
        <v>1925.86</v>
      </c>
      <c r="R616">
        <v>0</v>
      </c>
      <c r="S616">
        <f>IF(ISNUMBER(SEARCH("%",R616)), VALUE(SUBSTITUTE(R616,"%",""))/100,IF(ISNUMBER(R616), R616, 0))</f>
        <v>0</v>
      </c>
      <c r="T616" t="str">
        <f>IF(S616&lt;0,"Negative discount (invalid)",IF(S616&gt;0.5,"Discount above allowed range (invalid)",IF(AND(R616="",S616=0),"Missing discount set to 0","OK")))</f>
        <v>OK</v>
      </c>
      <c r="U616">
        <v>1925.86</v>
      </c>
      <c r="V616">
        <v>1321.89</v>
      </c>
      <c r="W616">
        <v>603.97</v>
      </c>
      <c r="X616" t="s">
        <v>32</v>
      </c>
      <c r="Y616" t="s">
        <v>33</v>
      </c>
      <c r="Z616">
        <f>IF(T616="OK",P616*Q616*(1-S616),"invalid")</f>
        <v>1925.86</v>
      </c>
      <c r="AA616">
        <f>IF(Z616="N/A","N/A",Z616-V616)</f>
        <v>603.9699999999998</v>
      </c>
      <c r="AB616" s="8">
        <f>IF(Z616&lt;&gt;"N/A", AA616/Z616, "N/A")</f>
        <v>0.31361054282242729</v>
      </c>
      <c r="AC616">
        <f>MONTH(B616)</f>
        <v>2</v>
      </c>
      <c r="AD616">
        <f>YEAR(B616)</f>
        <v>2025</v>
      </c>
      <c r="AE616" s="10">
        <f t="shared" si="9"/>
        <v>0</v>
      </c>
      <c r="AF616" t="s">
        <v>2804</v>
      </c>
      <c r="AG616" t="s">
        <v>2811</v>
      </c>
    </row>
    <row r="617" spans="1:33">
      <c r="A617" t="s">
        <v>927</v>
      </c>
      <c r="B617" s="4">
        <v>45701</v>
      </c>
      <c r="C617" s="4">
        <v>45701</v>
      </c>
      <c r="D617">
        <f>_xlfn.DAYS(C617,B617)</f>
        <v>0</v>
      </c>
      <c r="E617" t="s">
        <v>2804</v>
      </c>
      <c r="F617" t="s">
        <v>928</v>
      </c>
      <c r="G617" t="s">
        <v>47</v>
      </c>
      <c r="H617" t="s">
        <v>24</v>
      </c>
      <c r="I617" t="s">
        <v>38</v>
      </c>
      <c r="J617" t="s">
        <v>145</v>
      </c>
      <c r="K617" t="s">
        <v>146</v>
      </c>
      <c r="L617" t="s">
        <v>28</v>
      </c>
      <c r="M617" t="s">
        <v>29</v>
      </c>
      <c r="N617" t="s">
        <v>929</v>
      </c>
      <c r="O617" t="s">
        <v>31</v>
      </c>
      <c r="P617">
        <v>9</v>
      </c>
      <c r="Q617">
        <v>2521.63</v>
      </c>
      <c r="R617">
        <v>0</v>
      </c>
      <c r="S617">
        <f>IF(ISNUMBER(SEARCH("%",R617)), VALUE(SUBSTITUTE(R617,"%",""))/100,IF(ISNUMBER(R617), R617, 0))</f>
        <v>0</v>
      </c>
      <c r="T617" t="str">
        <f>IF(S617&lt;0,"Negative discount (invalid)",IF(S617&gt;0.5,"Discount above allowed range (invalid)",IF(AND(R617="",S617=0),"Missing discount set to 0","OK")))</f>
        <v>OK</v>
      </c>
      <c r="U617">
        <v>22694.67</v>
      </c>
      <c r="V617">
        <v>15405.36</v>
      </c>
      <c r="W617">
        <v>7289.31</v>
      </c>
      <c r="X617" t="s">
        <v>32</v>
      </c>
      <c r="Y617" t="s">
        <v>103</v>
      </c>
      <c r="Z617">
        <f>IF(T617="OK",P617*Q617*(1-S617),"invalid")</f>
        <v>22694.670000000002</v>
      </c>
      <c r="AA617">
        <f>IF(Z617="N/A","N/A",Z617-V617)</f>
        <v>7289.3100000000013</v>
      </c>
      <c r="AB617" s="8">
        <f>IF(Z617&lt;&gt;"N/A", AA617/Z617, "N/A")</f>
        <v>0.32119039404406413</v>
      </c>
      <c r="AC617">
        <f>MONTH(B617)</f>
        <v>2</v>
      </c>
      <c r="AD617">
        <f>YEAR(B617)</f>
        <v>2025</v>
      </c>
      <c r="AE617" s="10">
        <f t="shared" si="9"/>
        <v>3.637978807091713E-12</v>
      </c>
      <c r="AF617" t="s">
        <v>2804</v>
      </c>
      <c r="AG617" t="s">
        <v>2811</v>
      </c>
    </row>
    <row r="618" spans="1:33">
      <c r="A618" t="s">
        <v>939</v>
      </c>
      <c r="B618" s="4">
        <v>45812</v>
      </c>
      <c r="C618" s="4">
        <v>45812</v>
      </c>
      <c r="D618">
        <f>_xlfn.DAYS(C618,B618)</f>
        <v>0</v>
      </c>
      <c r="E618" t="s">
        <v>2804</v>
      </c>
      <c r="F618" t="s">
        <v>791</v>
      </c>
      <c r="G618" t="s">
        <v>47</v>
      </c>
      <c r="H618" t="s">
        <v>90</v>
      </c>
      <c r="I618" t="s">
        <v>25</v>
      </c>
      <c r="J618" t="s">
        <v>236</v>
      </c>
      <c r="K618" t="s">
        <v>237</v>
      </c>
      <c r="L618" t="s">
        <v>74</v>
      </c>
      <c r="M618" t="s">
        <v>75</v>
      </c>
      <c r="N618" t="s">
        <v>940</v>
      </c>
      <c r="O618" t="s">
        <v>31</v>
      </c>
      <c r="P618">
        <v>1</v>
      </c>
      <c r="Q618">
        <v>2133.73</v>
      </c>
      <c r="R618">
        <v>0.15</v>
      </c>
      <c r="S618">
        <f>IF(ISNUMBER(SEARCH("%",R618)), VALUE(SUBSTITUTE(R618,"%",""))/100,IF(ISNUMBER(R618), R618, 0))</f>
        <v>0.15</v>
      </c>
      <c r="T618" t="str">
        <f>IF(S618&lt;0,"Negative discount (invalid)",IF(S618&gt;0.5,"Discount above allowed range (invalid)",IF(AND(R618="",S618=0),"Missing discount set to 0","OK")))</f>
        <v>OK</v>
      </c>
      <c r="U618">
        <v>2008.39</v>
      </c>
      <c r="V618">
        <v>1002.57</v>
      </c>
      <c r="W618">
        <v>811.1</v>
      </c>
      <c r="X618" t="s">
        <v>111</v>
      </c>
      <c r="Y618" t="s">
        <v>68</v>
      </c>
      <c r="Z618">
        <f>IF(T618="OK",P618*Q618*(1-S618),"invalid")</f>
        <v>1813.6704999999999</v>
      </c>
      <c r="AA618">
        <f>IF(Z618="N/A","N/A",Z618-V618)</f>
        <v>811.1004999999999</v>
      </c>
      <c r="AB618" s="8">
        <f>IF(Z618&lt;&gt;"N/A", AA618/Z618, "N/A")</f>
        <v>0.4472149158295291</v>
      </c>
      <c r="AC618">
        <f>MONTH(B618)</f>
        <v>6</v>
      </c>
      <c r="AD618">
        <f>YEAR(B618)</f>
        <v>2025</v>
      </c>
      <c r="AE618" s="10">
        <f t="shared" si="9"/>
        <v>194.71950000000015</v>
      </c>
      <c r="AF618" t="s">
        <v>2807</v>
      </c>
      <c r="AG618" t="s">
        <v>2789</v>
      </c>
    </row>
    <row r="619" spans="1:33">
      <c r="A619" t="s">
        <v>941</v>
      </c>
      <c r="B619" s="4">
        <v>45723</v>
      </c>
      <c r="C619" s="4">
        <v>45730</v>
      </c>
      <c r="D619">
        <f>_xlfn.DAYS(C619,B619)</f>
        <v>7</v>
      </c>
      <c r="E619" t="s">
        <v>2804</v>
      </c>
      <c r="F619" t="s">
        <v>942</v>
      </c>
      <c r="G619" t="s">
        <v>114</v>
      </c>
      <c r="H619" t="s">
        <v>37</v>
      </c>
      <c r="I619" t="s">
        <v>25</v>
      </c>
      <c r="J619" t="s">
        <v>350</v>
      </c>
      <c r="K619" t="s">
        <v>351</v>
      </c>
      <c r="L619" t="s">
        <v>74</v>
      </c>
      <c r="M619" t="s">
        <v>75</v>
      </c>
      <c r="N619" t="s">
        <v>943</v>
      </c>
      <c r="O619" t="s">
        <v>44</v>
      </c>
      <c r="P619">
        <v>1</v>
      </c>
      <c r="Q619">
        <v>3979.64</v>
      </c>
      <c r="R619">
        <v>0.05</v>
      </c>
      <c r="S619">
        <f>IF(ISNUMBER(SEARCH("%",R619)), VALUE(SUBSTITUTE(R619,"%",""))/100,IF(ISNUMBER(R619), R619, 0))</f>
        <v>0.05</v>
      </c>
      <c r="T619" t="str">
        <f>IF(S619&lt;0,"Negative discount (invalid)",IF(S619&gt;0.5,"Discount above allowed range (invalid)",IF(AND(R619="",S619=0),"Missing discount set to 0","OK")))</f>
        <v>OK</v>
      </c>
      <c r="U619">
        <v>3780.66</v>
      </c>
      <c r="V619">
        <v>2148.31</v>
      </c>
      <c r="W619">
        <v>1632.35</v>
      </c>
      <c r="X619" t="s">
        <v>32</v>
      </c>
      <c r="Y619" t="s">
        <v>103</v>
      </c>
      <c r="Z619">
        <f>IF(T619="OK",P619*Q619*(1-S619),"invalid")</f>
        <v>3780.6579999999999</v>
      </c>
      <c r="AA619">
        <f>IF(Z619="N/A","N/A",Z619-V619)</f>
        <v>1632.348</v>
      </c>
      <c r="AB619" s="8">
        <f>IF(Z619&lt;&gt;"N/A", AA619/Z619, "N/A")</f>
        <v>0.43176293650470365</v>
      </c>
      <c r="AC619">
        <f>MONTH(B619)</f>
        <v>3</v>
      </c>
      <c r="AD619">
        <f>YEAR(B619)</f>
        <v>2025</v>
      </c>
      <c r="AE619" s="10">
        <f t="shared" si="9"/>
        <v>1.9999999999527063E-3</v>
      </c>
      <c r="AF619" t="s">
        <v>2804</v>
      </c>
      <c r="AG619" t="s">
        <v>2811</v>
      </c>
    </row>
    <row r="620" spans="1:33">
      <c r="A620" t="s">
        <v>950</v>
      </c>
      <c r="B620" s="4">
        <v>45863</v>
      </c>
      <c r="C620" s="4">
        <v>45865</v>
      </c>
      <c r="D620">
        <f>_xlfn.DAYS(C620,B620)</f>
        <v>2</v>
      </c>
      <c r="E620" t="s">
        <v>2804</v>
      </c>
      <c r="F620" t="s">
        <v>951</v>
      </c>
      <c r="G620" t="s">
        <v>264</v>
      </c>
      <c r="H620" t="s">
        <v>24</v>
      </c>
      <c r="I620" t="s">
        <v>38</v>
      </c>
      <c r="J620" t="s">
        <v>228</v>
      </c>
      <c r="K620" t="s">
        <v>229</v>
      </c>
      <c r="L620" t="s">
        <v>28</v>
      </c>
      <c r="M620" t="s">
        <v>153</v>
      </c>
      <c r="N620" t="s">
        <v>952</v>
      </c>
      <c r="O620" t="s">
        <v>31</v>
      </c>
      <c r="P620">
        <v>6</v>
      </c>
      <c r="Q620">
        <v>3438.38</v>
      </c>
      <c r="R620">
        <v>0.2</v>
      </c>
      <c r="S620">
        <f>IF(ISNUMBER(SEARCH("%",R620)), VALUE(SUBSTITUTE(R620,"%",""))/100,IF(ISNUMBER(R620), R620, 0))</f>
        <v>0.2</v>
      </c>
      <c r="T620" t="str">
        <f>IF(S620&lt;0,"Negative discount (invalid)",IF(S620&gt;0.5,"Discount above allowed range (invalid)",IF(AND(R620="",S620=0),"Missing discount set to 0","OK")))</f>
        <v>OK</v>
      </c>
      <c r="U620">
        <v>16504.22</v>
      </c>
      <c r="V620">
        <v>11262.71</v>
      </c>
      <c r="W620">
        <v>5241.51</v>
      </c>
      <c r="X620" t="s">
        <v>32</v>
      </c>
      <c r="Y620" t="s">
        <v>33</v>
      </c>
      <c r="Z620">
        <f>IF(T620="OK",P620*Q620*(1-S620),"invalid")</f>
        <v>16504.223999999998</v>
      </c>
      <c r="AA620">
        <f>IF(Z620="N/A","N/A",Z620-V620)</f>
        <v>5241.5139999999992</v>
      </c>
      <c r="AB620" s="8">
        <f>IF(Z620&lt;&gt;"N/A", AA620/Z620, "N/A")</f>
        <v>0.31758621308096641</v>
      </c>
      <c r="AC620">
        <f>MONTH(B620)</f>
        <v>7</v>
      </c>
      <c r="AD620">
        <f>YEAR(B620)</f>
        <v>2025</v>
      </c>
      <c r="AE620" s="10">
        <f t="shared" si="9"/>
        <v>3.9999999971769284E-3</v>
      </c>
      <c r="AF620" t="s">
        <v>2804</v>
      </c>
      <c r="AG620" t="s">
        <v>2811</v>
      </c>
    </row>
    <row r="621" spans="1:33">
      <c r="A621" t="s">
        <v>956</v>
      </c>
      <c r="B621" s="4">
        <v>45729</v>
      </c>
      <c r="C621" s="4">
        <v>45736</v>
      </c>
      <c r="D621">
        <f>_xlfn.DAYS(C621,B621)</f>
        <v>7</v>
      </c>
      <c r="E621" t="s">
        <v>2804</v>
      </c>
      <c r="F621" t="s">
        <v>957</v>
      </c>
      <c r="G621" t="s">
        <v>71</v>
      </c>
      <c r="H621" t="s">
        <v>24</v>
      </c>
      <c r="I621" t="s">
        <v>63</v>
      </c>
      <c r="J621" t="s">
        <v>64</v>
      </c>
      <c r="K621" t="s">
        <v>65</v>
      </c>
      <c r="L621" t="s">
        <v>41</v>
      </c>
      <c r="M621" t="s">
        <v>57</v>
      </c>
      <c r="N621" t="s">
        <v>958</v>
      </c>
      <c r="O621" t="s">
        <v>50</v>
      </c>
      <c r="P621">
        <v>1</v>
      </c>
      <c r="Q621">
        <v>1814.01</v>
      </c>
      <c r="R621">
        <v>0</v>
      </c>
      <c r="S621">
        <f>IF(ISNUMBER(SEARCH("%",R621)), VALUE(SUBSTITUTE(R621,"%",""))/100,IF(ISNUMBER(R621), R621, 0))</f>
        <v>0</v>
      </c>
      <c r="T621" t="str">
        <f>IF(S621&lt;0,"Negative discount (invalid)",IF(S621&gt;0.5,"Discount above allowed range (invalid)",IF(AND(R621="",S621=0),"Missing discount set to 0","OK")))</f>
        <v>OK</v>
      </c>
      <c r="U621">
        <v>1814.01</v>
      </c>
      <c r="V621">
        <v>1033.47</v>
      </c>
      <c r="W621">
        <v>780.54</v>
      </c>
      <c r="X621" t="s">
        <v>32</v>
      </c>
      <c r="Y621" t="s">
        <v>33</v>
      </c>
      <c r="Z621">
        <f>IF(T621="OK",P621*Q621*(1-S621),"invalid")</f>
        <v>1814.01</v>
      </c>
      <c r="AA621">
        <f>IF(Z621="N/A","N/A",Z621-V621)</f>
        <v>780.54</v>
      </c>
      <c r="AB621" s="8">
        <f>IF(Z621&lt;&gt;"N/A", AA621/Z621, "N/A")</f>
        <v>0.43028428729720342</v>
      </c>
      <c r="AC621">
        <f>MONTH(B621)</f>
        <v>3</v>
      </c>
      <c r="AD621">
        <f>YEAR(B621)</f>
        <v>2025</v>
      </c>
      <c r="AE621" s="10">
        <f t="shared" si="9"/>
        <v>0</v>
      </c>
      <c r="AF621" t="s">
        <v>2804</v>
      </c>
      <c r="AG621" t="s">
        <v>2811</v>
      </c>
    </row>
    <row r="622" spans="1:33">
      <c r="A622" t="s">
        <v>962</v>
      </c>
      <c r="B622" s="4">
        <v>45884</v>
      </c>
      <c r="C622" s="4">
        <v>45889</v>
      </c>
      <c r="D622">
        <f>_xlfn.DAYS(C622,B622)</f>
        <v>5</v>
      </c>
      <c r="E622" t="s">
        <v>2804</v>
      </c>
      <c r="F622" t="s">
        <v>963</v>
      </c>
      <c r="G622" t="s">
        <v>79</v>
      </c>
      <c r="H622" t="s">
        <v>95</v>
      </c>
      <c r="I622" t="s">
        <v>25</v>
      </c>
      <c r="J622" t="s">
        <v>26</v>
      </c>
      <c r="K622" t="s">
        <v>27</v>
      </c>
      <c r="L622" t="s">
        <v>28</v>
      </c>
      <c r="M622" t="s">
        <v>124</v>
      </c>
      <c r="N622" t="s">
        <v>964</v>
      </c>
      <c r="O622" t="s">
        <v>59</v>
      </c>
      <c r="P622">
        <v>9</v>
      </c>
      <c r="Q622">
        <v>4081.77</v>
      </c>
      <c r="R622">
        <v>0</v>
      </c>
      <c r="S622">
        <f>IF(ISNUMBER(SEARCH("%",R622)), VALUE(SUBSTITUTE(R622,"%",""))/100,IF(ISNUMBER(R622), R622, 0))</f>
        <v>0</v>
      </c>
      <c r="T622" t="str">
        <f>IF(S622&lt;0,"Negative discount (invalid)",IF(S622&gt;0.5,"Discount above allowed range (invalid)",IF(AND(R622="",S622=0),"Missing discount set to 0","OK")))</f>
        <v>OK</v>
      </c>
      <c r="U622">
        <v>36735.93</v>
      </c>
      <c r="V622">
        <v>30820.84</v>
      </c>
      <c r="W622">
        <v>5915.09</v>
      </c>
      <c r="X622" t="s">
        <v>32</v>
      </c>
      <c r="Y622" t="s">
        <v>33</v>
      </c>
      <c r="Z622">
        <f>IF(T622="OK",P622*Q622*(1-S622),"invalid")</f>
        <v>36735.93</v>
      </c>
      <c r="AA622">
        <f>IF(Z622="N/A","N/A",Z622-V622)</f>
        <v>5915.09</v>
      </c>
      <c r="AB622" s="8">
        <f>IF(Z622&lt;&gt;"N/A", AA622/Z622, "N/A")</f>
        <v>0.16101647624001897</v>
      </c>
      <c r="AC622">
        <f>MONTH(B622)</f>
        <v>8</v>
      </c>
      <c r="AD622">
        <f>YEAR(B622)</f>
        <v>2025</v>
      </c>
      <c r="AE622" s="10">
        <f t="shared" si="9"/>
        <v>0</v>
      </c>
      <c r="AF622" t="s">
        <v>2804</v>
      </c>
      <c r="AG622" t="s">
        <v>2811</v>
      </c>
    </row>
    <row r="623" spans="1:33">
      <c r="A623" t="s">
        <v>974</v>
      </c>
      <c r="B623" s="4">
        <v>45827</v>
      </c>
      <c r="C623" s="4">
        <v>45835</v>
      </c>
      <c r="D623">
        <f>_xlfn.DAYS(C623,B623)</f>
        <v>8</v>
      </c>
      <c r="E623" t="s">
        <v>2804</v>
      </c>
      <c r="F623" t="s">
        <v>975</v>
      </c>
      <c r="G623" t="s">
        <v>23</v>
      </c>
      <c r="H623" t="s">
        <v>95</v>
      </c>
      <c r="I623" t="s">
        <v>54</v>
      </c>
      <c r="J623" t="s">
        <v>247</v>
      </c>
      <c r="K623" t="s">
        <v>248</v>
      </c>
      <c r="L623" t="s">
        <v>41</v>
      </c>
      <c r="M623" t="s">
        <v>158</v>
      </c>
      <c r="N623" t="s">
        <v>976</v>
      </c>
      <c r="O623" t="s">
        <v>50</v>
      </c>
      <c r="P623">
        <v>2</v>
      </c>
      <c r="Q623">
        <v>4346.6899999999996</v>
      </c>
      <c r="R623">
        <v>0.05</v>
      </c>
      <c r="S623">
        <f>IF(ISNUMBER(SEARCH("%",R623)), VALUE(SUBSTITUTE(R623,"%",""))/100,IF(ISNUMBER(R623), R623, 0))</f>
        <v>0.05</v>
      </c>
      <c r="T623" t="str">
        <f>IF(S623&lt;0,"Negative discount (invalid)",IF(S623&gt;0.5,"Discount above allowed range (invalid)",IF(AND(R623="",S623=0),"Missing discount set to 0","OK")))</f>
        <v>OK</v>
      </c>
      <c r="U623">
        <v>8258.7099999999991</v>
      </c>
      <c r="V623">
        <v>7018.97</v>
      </c>
      <c r="W623">
        <v>1239.74</v>
      </c>
      <c r="X623" t="s">
        <v>32</v>
      </c>
      <c r="Y623" t="s">
        <v>33</v>
      </c>
      <c r="Z623">
        <f>IF(T623="OK",P623*Q623*(1-S623),"invalid")</f>
        <v>8258.7109999999993</v>
      </c>
      <c r="AA623">
        <f>IF(Z623="N/A","N/A",Z623-V623)</f>
        <v>1239.7409999999991</v>
      </c>
      <c r="AB623" s="8">
        <f>IF(Z623&lt;&gt;"N/A", AA623/Z623, "N/A")</f>
        <v>0.15011313508851432</v>
      </c>
      <c r="AC623">
        <f>MONTH(B623)</f>
        <v>6</v>
      </c>
      <c r="AD623">
        <f>YEAR(B623)</f>
        <v>2025</v>
      </c>
      <c r="AE623" s="10">
        <f t="shared" si="9"/>
        <v>1.0000000002037268E-3</v>
      </c>
      <c r="AF623" t="s">
        <v>2804</v>
      </c>
      <c r="AG623" t="s">
        <v>2811</v>
      </c>
    </row>
    <row r="624" spans="1:33">
      <c r="A624" t="s">
        <v>977</v>
      </c>
      <c r="B624" s="4">
        <v>45891</v>
      </c>
      <c r="C624" s="4">
        <v>45895</v>
      </c>
      <c r="D624">
        <f>_xlfn.DAYS(C624,B624)</f>
        <v>4</v>
      </c>
      <c r="E624" t="s">
        <v>2804</v>
      </c>
      <c r="F624" t="s">
        <v>978</v>
      </c>
      <c r="G624" t="s">
        <v>162</v>
      </c>
      <c r="H624" t="s">
        <v>95</v>
      </c>
      <c r="I624" t="s">
        <v>38</v>
      </c>
      <c r="J624" t="s">
        <v>228</v>
      </c>
      <c r="K624" t="s">
        <v>229</v>
      </c>
      <c r="L624" t="s">
        <v>41</v>
      </c>
      <c r="M624" t="s">
        <v>42</v>
      </c>
      <c r="N624" t="s">
        <v>979</v>
      </c>
      <c r="O624" t="s">
        <v>59</v>
      </c>
      <c r="P624">
        <v>1</v>
      </c>
      <c r="Q624">
        <v>1842.63</v>
      </c>
      <c r="R624">
        <v>0.1</v>
      </c>
      <c r="S624">
        <f>IF(ISNUMBER(SEARCH("%",R624)), VALUE(SUBSTITUTE(R624,"%",""))/100,IF(ISNUMBER(R624), R624, 0))</f>
        <v>0.1</v>
      </c>
      <c r="T624" t="str">
        <f>IF(S624&lt;0,"Negative discount (invalid)",IF(S624&gt;0.5,"Discount above allowed range (invalid)",IF(AND(R624="",S624=0),"Missing discount set to 0","OK")))</f>
        <v>OK</v>
      </c>
      <c r="U624">
        <v>1658.37</v>
      </c>
      <c r="V624">
        <v>971.12</v>
      </c>
      <c r="W624">
        <v>687.25</v>
      </c>
      <c r="X624" t="s">
        <v>32</v>
      </c>
      <c r="Y624" t="s">
        <v>33</v>
      </c>
      <c r="Z624">
        <f>IF(T624="OK",P624*Q624*(1-S624),"invalid")</f>
        <v>1658.3670000000002</v>
      </c>
      <c r="AA624">
        <f>IF(Z624="N/A","N/A",Z624-V624)</f>
        <v>687.24700000000018</v>
      </c>
      <c r="AB624" s="8">
        <f>IF(Z624&lt;&gt;"N/A", AA624/Z624, "N/A")</f>
        <v>0.41441188832146331</v>
      </c>
      <c r="AC624">
        <f>MONTH(B624)</f>
        <v>8</v>
      </c>
      <c r="AD624">
        <f>YEAR(B624)</f>
        <v>2025</v>
      </c>
      <c r="AE624" s="10">
        <f t="shared" si="9"/>
        <v>2.9999999997016857E-3</v>
      </c>
      <c r="AF624" t="s">
        <v>2804</v>
      </c>
      <c r="AG624" t="s">
        <v>2811</v>
      </c>
    </row>
    <row r="625" spans="1:33">
      <c r="A625" t="s">
        <v>983</v>
      </c>
      <c r="B625" s="4">
        <v>45716</v>
      </c>
      <c r="C625" s="4">
        <v>45719</v>
      </c>
      <c r="D625">
        <f>_xlfn.DAYS(C625,B625)</f>
        <v>3</v>
      </c>
      <c r="E625" t="s">
        <v>2804</v>
      </c>
      <c r="F625" t="s">
        <v>984</v>
      </c>
      <c r="G625" t="s">
        <v>264</v>
      </c>
      <c r="H625" t="s">
        <v>95</v>
      </c>
      <c r="I625" t="s">
        <v>25</v>
      </c>
      <c r="J625" t="s">
        <v>236</v>
      </c>
      <c r="K625" t="s">
        <v>237</v>
      </c>
      <c r="L625" t="s">
        <v>28</v>
      </c>
      <c r="M625" t="s">
        <v>48</v>
      </c>
      <c r="N625" t="s">
        <v>985</v>
      </c>
      <c r="O625" t="s">
        <v>44</v>
      </c>
      <c r="P625">
        <v>9</v>
      </c>
      <c r="Q625">
        <v>3748.95</v>
      </c>
      <c r="R625">
        <v>0</v>
      </c>
      <c r="S625">
        <f>IF(ISNUMBER(SEARCH("%",R625)), VALUE(SUBSTITUTE(R625,"%",""))/100,IF(ISNUMBER(R625), R625, 0))</f>
        <v>0</v>
      </c>
      <c r="T625" t="str">
        <f>IF(S625&lt;0,"Negative discount (invalid)",IF(S625&gt;0.5,"Discount above allowed range (invalid)",IF(AND(R625="",S625=0),"Missing discount set to 0","OK")))</f>
        <v>OK</v>
      </c>
      <c r="U625">
        <v>33740.550000000003</v>
      </c>
      <c r="V625">
        <v>24621.89</v>
      </c>
      <c r="W625">
        <v>9118.66</v>
      </c>
      <c r="X625" t="s">
        <v>111</v>
      </c>
      <c r="Y625" t="s">
        <v>68</v>
      </c>
      <c r="Z625">
        <f>IF(T625="OK",P625*Q625*(1-S625),"invalid")</f>
        <v>33740.549999999996</v>
      </c>
      <c r="AA625">
        <f>IF(Z625="N/A","N/A",Z625-V625)</f>
        <v>9118.6599999999962</v>
      </c>
      <c r="AB625" s="8">
        <f>IF(Z625&lt;&gt;"N/A", AA625/Z625, "N/A")</f>
        <v>0.2702581908119458</v>
      </c>
      <c r="AC625">
        <f>MONTH(B625)</f>
        <v>2</v>
      </c>
      <c r="AD625">
        <f>YEAR(B625)</f>
        <v>2025</v>
      </c>
      <c r="AE625" s="10">
        <f t="shared" si="9"/>
        <v>7.2759576141834259E-12</v>
      </c>
      <c r="AF625" t="s">
        <v>2804</v>
      </c>
      <c r="AG625" t="s">
        <v>2811</v>
      </c>
    </row>
    <row r="626" spans="1:33">
      <c r="A626" t="s">
        <v>989</v>
      </c>
      <c r="B626" s="4">
        <v>45854</v>
      </c>
      <c r="C626" s="4">
        <v>45860</v>
      </c>
      <c r="D626">
        <f>_xlfn.DAYS(C626,B626)</f>
        <v>6</v>
      </c>
      <c r="E626" t="s">
        <v>2804</v>
      </c>
      <c r="F626" t="s">
        <v>990</v>
      </c>
      <c r="G626" t="s">
        <v>114</v>
      </c>
      <c r="H626" t="s">
        <v>24</v>
      </c>
      <c r="I626" t="s">
        <v>38</v>
      </c>
      <c r="J626" t="s">
        <v>39</v>
      </c>
      <c r="K626" t="s">
        <v>40</v>
      </c>
      <c r="L626" t="s">
        <v>74</v>
      </c>
      <c r="M626" t="s">
        <v>171</v>
      </c>
      <c r="N626" t="s">
        <v>991</v>
      </c>
      <c r="O626" t="s">
        <v>31</v>
      </c>
      <c r="P626">
        <v>6</v>
      </c>
      <c r="Q626">
        <v>4159.33</v>
      </c>
      <c r="R626">
        <v>0.25</v>
      </c>
      <c r="S626">
        <f>IF(ISNUMBER(SEARCH("%",R626)), VALUE(SUBSTITUTE(R626,"%",""))/100,IF(ISNUMBER(R626), R626, 0))</f>
        <v>0.25</v>
      </c>
      <c r="T626" t="str">
        <f>IF(S626&lt;0,"Negative discount (invalid)",IF(S626&gt;0.5,"Discount above allowed range (invalid)",IF(AND(R626="",S626=0),"Missing discount set to 0","OK")))</f>
        <v>OK</v>
      </c>
      <c r="U626">
        <v>18716.990000000002</v>
      </c>
      <c r="V626">
        <v>12282.43</v>
      </c>
      <c r="W626">
        <v>6434.56</v>
      </c>
      <c r="X626" t="s">
        <v>32</v>
      </c>
      <c r="Y626" t="s">
        <v>103</v>
      </c>
      <c r="Z626">
        <f>IF(T626="OK",P626*Q626*(1-S626),"invalid")</f>
        <v>18716.985000000001</v>
      </c>
      <c r="AA626">
        <f>IF(Z626="N/A","N/A",Z626-V626)</f>
        <v>6434.5550000000003</v>
      </c>
      <c r="AB626" s="8">
        <f>IF(Z626&lt;&gt;"N/A", AA626/Z626, "N/A")</f>
        <v>0.34378159730319813</v>
      </c>
      <c r="AC626">
        <f>MONTH(B626)</f>
        <v>7</v>
      </c>
      <c r="AD626">
        <f>YEAR(B626)</f>
        <v>2025</v>
      </c>
      <c r="AE626" s="10">
        <f t="shared" si="9"/>
        <v>5.0000000010186341E-3</v>
      </c>
      <c r="AF626" t="s">
        <v>2804</v>
      </c>
      <c r="AG626" t="s">
        <v>2811</v>
      </c>
    </row>
    <row r="627" spans="1:33">
      <c r="A627" t="s">
        <v>992</v>
      </c>
      <c r="B627" s="4">
        <v>45833</v>
      </c>
      <c r="C627" s="4">
        <v>45836</v>
      </c>
      <c r="D627">
        <f>_xlfn.DAYS(C627,B627)</f>
        <v>3</v>
      </c>
      <c r="E627" t="s">
        <v>2804</v>
      </c>
      <c r="F627" t="s">
        <v>993</v>
      </c>
      <c r="G627" t="s">
        <v>89</v>
      </c>
      <c r="H627" t="s">
        <v>37</v>
      </c>
      <c r="I627" t="s">
        <v>38</v>
      </c>
      <c r="J627" t="s">
        <v>166</v>
      </c>
      <c r="K627" t="s">
        <v>167</v>
      </c>
      <c r="L627" t="s">
        <v>28</v>
      </c>
      <c r="M627" t="s">
        <v>153</v>
      </c>
      <c r="N627" t="s">
        <v>994</v>
      </c>
      <c r="O627" t="s">
        <v>59</v>
      </c>
      <c r="P627">
        <v>3</v>
      </c>
      <c r="Q627">
        <v>3476.05</v>
      </c>
      <c r="R627">
        <v>0.1</v>
      </c>
      <c r="S627">
        <f>IF(ISNUMBER(SEARCH("%",R627)), VALUE(SUBSTITUTE(R627,"%",""))/100,IF(ISNUMBER(R627), R627, 0))</f>
        <v>0.1</v>
      </c>
      <c r="T627" t="str">
        <f>IF(S627&lt;0,"Negative discount (invalid)",IF(S627&gt;0.5,"Discount above allowed range (invalid)",IF(AND(R627="",S627=0),"Missing discount set to 0","OK")))</f>
        <v>OK</v>
      </c>
      <c r="U627">
        <v>9385.34</v>
      </c>
      <c r="V627">
        <v>5828.54</v>
      </c>
      <c r="W627">
        <v>3556.8</v>
      </c>
      <c r="X627" t="s">
        <v>32</v>
      </c>
      <c r="Y627" t="s">
        <v>33</v>
      </c>
      <c r="Z627">
        <f>IF(T627="OK",P627*Q627*(1-S627),"invalid")</f>
        <v>9385.3350000000009</v>
      </c>
      <c r="AA627">
        <f>IF(Z627="N/A","N/A",Z627-V627)</f>
        <v>3556.795000000001</v>
      </c>
      <c r="AB627" s="8">
        <f>IF(Z627&lt;&gt;"N/A", AA627/Z627, "N/A")</f>
        <v>0.37897368607513748</v>
      </c>
      <c r="AC627">
        <f>MONTH(B627)</f>
        <v>6</v>
      </c>
      <c r="AD627">
        <f>YEAR(B627)</f>
        <v>2025</v>
      </c>
      <c r="AE627" s="10">
        <f t="shared" si="9"/>
        <v>4.9999999991996447E-3</v>
      </c>
      <c r="AF627" t="s">
        <v>2804</v>
      </c>
      <c r="AG627" t="s">
        <v>2811</v>
      </c>
    </row>
    <row r="628" spans="1:33">
      <c r="A628" t="s">
        <v>995</v>
      </c>
      <c r="B628" s="4">
        <v>45801</v>
      </c>
      <c r="C628" s="4">
        <v>45803</v>
      </c>
      <c r="D628">
        <f>_xlfn.DAYS(C628,B628)</f>
        <v>2</v>
      </c>
      <c r="E628" t="s">
        <v>2804</v>
      </c>
      <c r="F628" t="s">
        <v>996</v>
      </c>
      <c r="G628" t="s">
        <v>89</v>
      </c>
      <c r="H628" t="s">
        <v>95</v>
      </c>
      <c r="I628" t="s">
        <v>25</v>
      </c>
      <c r="J628" t="s">
        <v>236</v>
      </c>
      <c r="K628" t="s">
        <v>237</v>
      </c>
      <c r="L628" t="s">
        <v>41</v>
      </c>
      <c r="M628" t="s">
        <v>57</v>
      </c>
      <c r="N628" t="s">
        <v>997</v>
      </c>
      <c r="O628" t="s">
        <v>44</v>
      </c>
      <c r="P628">
        <v>6</v>
      </c>
      <c r="Q628">
        <v>3495.41</v>
      </c>
      <c r="R628">
        <v>0.15</v>
      </c>
      <c r="S628">
        <f>IF(ISNUMBER(SEARCH("%",R628)), VALUE(SUBSTITUTE(R628,"%",""))/100,IF(ISNUMBER(R628), R628, 0))</f>
        <v>0.15</v>
      </c>
      <c r="T628" t="str">
        <f>IF(S628&lt;0,"Negative discount (invalid)",IF(S628&gt;0.5,"Discount above allowed range (invalid)",IF(AND(R628="",S628=0),"Missing discount set to 0","OK")))</f>
        <v>OK</v>
      </c>
      <c r="U628">
        <v>17826.59</v>
      </c>
      <c r="V628">
        <v>10855.35</v>
      </c>
      <c r="W628">
        <v>6971.24</v>
      </c>
      <c r="X628" t="s">
        <v>32</v>
      </c>
      <c r="Y628" t="s">
        <v>33</v>
      </c>
      <c r="Z628">
        <f>IF(T628="OK",P628*Q628*(1-S628),"invalid")</f>
        <v>17826.591</v>
      </c>
      <c r="AA628">
        <f>IF(Z628="N/A","N/A",Z628-V628)</f>
        <v>6971.241</v>
      </c>
      <c r="AB628" s="8">
        <f>IF(Z628&lt;&gt;"N/A", AA628/Z628, "N/A")</f>
        <v>0.39105855965394615</v>
      </c>
      <c r="AC628">
        <f>MONTH(B628)</f>
        <v>5</v>
      </c>
      <c r="AD628">
        <f>YEAR(B628)</f>
        <v>2025</v>
      </c>
      <c r="AE628" s="10">
        <f t="shared" si="9"/>
        <v>1.0000000002037268E-3</v>
      </c>
      <c r="AF628" t="s">
        <v>2804</v>
      </c>
      <c r="AG628" t="s">
        <v>2811</v>
      </c>
    </row>
    <row r="629" spans="1:33">
      <c r="A629" t="s">
        <v>1001</v>
      </c>
      <c r="B629" s="4">
        <v>45680</v>
      </c>
      <c r="C629" s="4">
        <v>45683</v>
      </c>
      <c r="D629">
        <f>_xlfn.DAYS(C629,B629)</f>
        <v>3</v>
      </c>
      <c r="E629" t="s">
        <v>2804</v>
      </c>
      <c r="F629" t="s">
        <v>1002</v>
      </c>
      <c r="G629" t="s">
        <v>47</v>
      </c>
      <c r="H629" t="s">
        <v>24</v>
      </c>
      <c r="I629" t="s">
        <v>54</v>
      </c>
      <c r="J629" t="s">
        <v>185</v>
      </c>
      <c r="K629" t="s">
        <v>186</v>
      </c>
      <c r="L629" t="s">
        <v>74</v>
      </c>
      <c r="M629" t="s">
        <v>80</v>
      </c>
      <c r="N629" t="s">
        <v>1003</v>
      </c>
      <c r="O629" t="s">
        <v>50</v>
      </c>
      <c r="P629">
        <v>7</v>
      </c>
      <c r="Q629">
        <v>348.49</v>
      </c>
      <c r="R629">
        <v>0.2</v>
      </c>
      <c r="S629">
        <f>IF(ISNUMBER(SEARCH("%",R629)), VALUE(SUBSTITUTE(R629,"%",""))/100,IF(ISNUMBER(R629), R629, 0))</f>
        <v>0.2</v>
      </c>
      <c r="T629" t="str">
        <f>IF(S629&lt;0,"Negative discount (invalid)",IF(S629&gt;0.5,"Discount above allowed range (invalid)",IF(AND(R629="",S629=0),"Missing discount set to 0","OK")))</f>
        <v>OK</v>
      </c>
      <c r="U629">
        <v>1951.54</v>
      </c>
      <c r="V629">
        <v>1609.95</v>
      </c>
      <c r="W629">
        <v>341.59</v>
      </c>
      <c r="X629" t="s">
        <v>155</v>
      </c>
      <c r="Y629" t="s">
        <v>103</v>
      </c>
      <c r="Z629">
        <f>IF(T629="OK",P629*Q629*(1-S629),"invalid")</f>
        <v>1951.5440000000003</v>
      </c>
      <c r="AA629">
        <f>IF(Z629="N/A","N/A",Z629-V629)</f>
        <v>341.59400000000028</v>
      </c>
      <c r="AB629" s="8">
        <f>IF(Z629&lt;&gt;"N/A", AA629/Z629, "N/A")</f>
        <v>0.17503781621116421</v>
      </c>
      <c r="AC629">
        <f>MONTH(B629)</f>
        <v>1</v>
      </c>
      <c r="AD629">
        <f>YEAR(B629)</f>
        <v>2025</v>
      </c>
      <c r="AE629" s="10">
        <f t="shared" si="9"/>
        <v>4.0000000003601599E-3</v>
      </c>
      <c r="AF629" t="s">
        <v>2804</v>
      </c>
      <c r="AG629" t="s">
        <v>2811</v>
      </c>
    </row>
    <row r="630" spans="1:33">
      <c r="A630" t="s">
        <v>1010</v>
      </c>
      <c r="B630" s="4">
        <v>45805</v>
      </c>
      <c r="C630" s="4">
        <v>45809</v>
      </c>
      <c r="D630">
        <f>_xlfn.DAYS(C630,B630)</f>
        <v>4</v>
      </c>
      <c r="E630" t="s">
        <v>2804</v>
      </c>
      <c r="F630" t="s">
        <v>1011</v>
      </c>
      <c r="G630" t="s">
        <v>47</v>
      </c>
      <c r="H630" t="s">
        <v>95</v>
      </c>
      <c r="I630" t="s">
        <v>38</v>
      </c>
      <c r="J630" t="s">
        <v>145</v>
      </c>
      <c r="K630" t="s">
        <v>146</v>
      </c>
      <c r="L630" t="s">
        <v>74</v>
      </c>
      <c r="M630" t="s">
        <v>171</v>
      </c>
      <c r="N630" t="s">
        <v>1012</v>
      </c>
      <c r="O630" t="s">
        <v>44</v>
      </c>
      <c r="P630">
        <v>4</v>
      </c>
      <c r="Q630">
        <v>1654.11</v>
      </c>
      <c r="R630">
        <v>0.05</v>
      </c>
      <c r="S630">
        <f>IF(ISNUMBER(SEARCH("%",R630)), VALUE(SUBSTITUTE(R630,"%",""))/100,IF(ISNUMBER(R630), R630, 0))</f>
        <v>0.05</v>
      </c>
      <c r="T630" t="str">
        <f>IF(S630&lt;0,"Negative discount (invalid)",IF(S630&gt;0.5,"Discount above allowed range (invalid)",IF(AND(R630="",S630=0),"Missing discount set to 0","OK")))</f>
        <v>OK</v>
      </c>
      <c r="U630">
        <v>6285.62</v>
      </c>
      <c r="V630">
        <v>3705.38</v>
      </c>
      <c r="W630">
        <v>2580.2399999999998</v>
      </c>
      <c r="X630" t="s">
        <v>32</v>
      </c>
      <c r="Y630" t="s">
        <v>33</v>
      </c>
      <c r="Z630">
        <f>IF(T630="OK",P630*Q630*(1-S630),"invalid")</f>
        <v>6285.6179999999995</v>
      </c>
      <c r="AA630">
        <f>IF(Z630="N/A","N/A",Z630-V630)</f>
        <v>2580.2379999999994</v>
      </c>
      <c r="AB630" s="8">
        <f>IF(Z630&lt;&gt;"N/A", AA630/Z630, "N/A")</f>
        <v>0.41049869718458865</v>
      </c>
      <c r="AC630">
        <f>MONTH(B630)</f>
        <v>5</v>
      </c>
      <c r="AD630">
        <f>YEAR(B630)</f>
        <v>2025</v>
      </c>
      <c r="AE630" s="10">
        <f t="shared" si="9"/>
        <v>2.0000000004074536E-3</v>
      </c>
      <c r="AF630" t="s">
        <v>2804</v>
      </c>
      <c r="AG630" t="s">
        <v>2811</v>
      </c>
    </row>
    <row r="631" spans="1:33">
      <c r="A631" t="s">
        <v>1013</v>
      </c>
      <c r="B631" s="4">
        <v>45812</v>
      </c>
      <c r="C631" s="4">
        <v>45820</v>
      </c>
      <c r="D631">
        <f>_xlfn.DAYS(C631,B631)</f>
        <v>8</v>
      </c>
      <c r="E631" t="s">
        <v>2804</v>
      </c>
      <c r="F631" t="s">
        <v>1014</v>
      </c>
      <c r="G631" t="s">
        <v>79</v>
      </c>
      <c r="H631" t="s">
        <v>24</v>
      </c>
      <c r="I631" t="s">
        <v>63</v>
      </c>
      <c r="J631" t="s">
        <v>190</v>
      </c>
      <c r="K631" t="s">
        <v>191</v>
      </c>
      <c r="L631" t="s">
        <v>28</v>
      </c>
      <c r="M631" t="s">
        <v>124</v>
      </c>
      <c r="N631" t="s">
        <v>1015</v>
      </c>
      <c r="O631" t="s">
        <v>44</v>
      </c>
      <c r="P631">
        <v>2</v>
      </c>
      <c r="Q631">
        <v>2703.28</v>
      </c>
      <c r="R631">
        <v>0.25</v>
      </c>
      <c r="S631">
        <f>IF(ISNUMBER(SEARCH("%",R631)), VALUE(SUBSTITUTE(R631,"%",""))/100,IF(ISNUMBER(R631), R631, 0))</f>
        <v>0.25</v>
      </c>
      <c r="T631" t="str">
        <f>IF(S631&lt;0,"Negative discount (invalid)",IF(S631&gt;0.5,"Discount above allowed range (invalid)",IF(AND(R631="",S631=0),"Missing discount set to 0","OK")))</f>
        <v>OK</v>
      </c>
      <c r="U631">
        <v>4054.92</v>
      </c>
      <c r="V631">
        <v>2424.83</v>
      </c>
      <c r="W631">
        <v>1630.09</v>
      </c>
      <c r="X631" t="s">
        <v>32</v>
      </c>
      <c r="Y631" t="s">
        <v>33</v>
      </c>
      <c r="Z631">
        <f>IF(T631="OK",P631*Q631*(1-S631),"invalid")</f>
        <v>4054.92</v>
      </c>
      <c r="AA631">
        <f>IF(Z631="N/A","N/A",Z631-V631)</f>
        <v>1630.0900000000001</v>
      </c>
      <c r="AB631" s="8">
        <f>IF(Z631&lt;&gt;"N/A", AA631/Z631, "N/A")</f>
        <v>0.40200299882611745</v>
      </c>
      <c r="AC631">
        <f>MONTH(B631)</f>
        <v>6</v>
      </c>
      <c r="AD631">
        <f>YEAR(B631)</f>
        <v>2025</v>
      </c>
      <c r="AE631" s="10">
        <f t="shared" si="9"/>
        <v>0</v>
      </c>
      <c r="AF631" t="s">
        <v>2804</v>
      </c>
      <c r="AG631" t="s">
        <v>2811</v>
      </c>
    </row>
    <row r="632" spans="1:33">
      <c r="A632" t="s">
        <v>1025</v>
      </c>
      <c r="B632" s="4">
        <v>45708</v>
      </c>
      <c r="C632" s="4">
        <v>45711</v>
      </c>
      <c r="D632">
        <f>_xlfn.DAYS(C632,B632)</f>
        <v>3</v>
      </c>
      <c r="E632" t="s">
        <v>2804</v>
      </c>
      <c r="F632" t="s">
        <v>1026</v>
      </c>
      <c r="G632" t="s">
        <v>128</v>
      </c>
      <c r="H632" t="s">
        <v>24</v>
      </c>
      <c r="I632" t="s">
        <v>25</v>
      </c>
      <c r="J632" t="s">
        <v>26</v>
      </c>
      <c r="K632" t="s">
        <v>27</v>
      </c>
      <c r="L632" t="s">
        <v>74</v>
      </c>
      <c r="M632" t="s">
        <v>171</v>
      </c>
      <c r="N632" t="s">
        <v>1027</v>
      </c>
      <c r="O632" t="s">
        <v>31</v>
      </c>
      <c r="P632">
        <v>4</v>
      </c>
      <c r="Q632">
        <v>3673.11</v>
      </c>
      <c r="R632">
        <v>0</v>
      </c>
      <c r="S632">
        <f>IF(ISNUMBER(SEARCH("%",R632)), VALUE(SUBSTITUTE(R632,"%",""))/100,IF(ISNUMBER(R632), R632, 0))</f>
        <v>0</v>
      </c>
      <c r="T632" t="str">
        <f>IF(S632&lt;0,"Negative discount (invalid)",IF(S632&gt;0.5,"Discount above allowed range (invalid)",IF(AND(R632="",S632=0),"Missing discount set to 0","OK")))</f>
        <v>OK</v>
      </c>
      <c r="U632">
        <v>14692.44</v>
      </c>
      <c r="V632">
        <v>10082.19</v>
      </c>
      <c r="W632">
        <v>4610.25</v>
      </c>
      <c r="X632" t="s">
        <v>32</v>
      </c>
      <c r="Y632" t="s">
        <v>33</v>
      </c>
      <c r="Z632">
        <f>IF(T632="OK",P632*Q632*(1-S632),"invalid")</f>
        <v>14692.44</v>
      </c>
      <c r="AA632">
        <f>IF(Z632="N/A","N/A",Z632-V632)</f>
        <v>4610.25</v>
      </c>
      <c r="AB632" s="8">
        <f>IF(Z632&lt;&gt;"N/A", AA632/Z632, "N/A")</f>
        <v>0.31378382351740075</v>
      </c>
      <c r="AC632">
        <f>MONTH(B632)</f>
        <v>2</v>
      </c>
      <c r="AD632">
        <f>YEAR(B632)</f>
        <v>2025</v>
      </c>
      <c r="AE632" s="10">
        <f t="shared" si="9"/>
        <v>0</v>
      </c>
      <c r="AF632" t="s">
        <v>2804</v>
      </c>
      <c r="AG632" t="s">
        <v>2811</v>
      </c>
    </row>
    <row r="633" spans="1:33">
      <c r="A633" t="s">
        <v>1028</v>
      </c>
      <c r="B633" s="4">
        <v>45850</v>
      </c>
      <c r="C633" s="4">
        <v>45857</v>
      </c>
      <c r="D633">
        <f>_xlfn.DAYS(C633,B633)</f>
        <v>7</v>
      </c>
      <c r="E633" t="s">
        <v>2804</v>
      </c>
      <c r="F633" t="s">
        <v>1029</v>
      </c>
      <c r="G633" t="s">
        <v>62</v>
      </c>
      <c r="H633" t="s">
        <v>90</v>
      </c>
      <c r="I633" t="s">
        <v>25</v>
      </c>
      <c r="J633" t="s">
        <v>136</v>
      </c>
      <c r="K633" t="s">
        <v>137</v>
      </c>
      <c r="L633" t="s">
        <v>41</v>
      </c>
      <c r="M633" t="s">
        <v>42</v>
      </c>
      <c r="N633" t="s">
        <v>1030</v>
      </c>
      <c r="O633" t="s">
        <v>50</v>
      </c>
      <c r="P633">
        <v>9</v>
      </c>
      <c r="Q633">
        <v>4093.04</v>
      </c>
      <c r="R633">
        <v>0.2</v>
      </c>
      <c r="S633">
        <f>IF(ISNUMBER(SEARCH("%",R633)), VALUE(SUBSTITUTE(R633,"%",""))/100,IF(ISNUMBER(R633), R633, 0))</f>
        <v>0.2</v>
      </c>
      <c r="T633" t="str">
        <f>IF(S633&lt;0,"Negative discount (invalid)",IF(S633&gt;0.5,"Discount above allowed range (invalid)",IF(AND(R633="",S633=0),"Missing discount set to 0","OK")))</f>
        <v>OK</v>
      </c>
      <c r="U633">
        <v>29469.89</v>
      </c>
      <c r="V633">
        <v>18935.509999999998</v>
      </c>
      <c r="W633">
        <v>10534.38</v>
      </c>
      <c r="X633" t="s">
        <v>111</v>
      </c>
      <c r="Y633" t="s">
        <v>68</v>
      </c>
      <c r="Z633">
        <f>IF(T633="OK",P633*Q633*(1-S633),"invalid")</f>
        <v>29469.888000000003</v>
      </c>
      <c r="AA633">
        <f>IF(Z633="N/A","N/A",Z633-V633)</f>
        <v>10534.378000000004</v>
      </c>
      <c r="AB633" s="8">
        <f>IF(Z633&lt;&gt;"N/A", AA633/Z633, "N/A")</f>
        <v>0.3574624375905332</v>
      </c>
      <c r="AC633">
        <f>MONTH(B633)</f>
        <v>7</v>
      </c>
      <c r="AD633">
        <f>YEAR(B633)</f>
        <v>2025</v>
      </c>
      <c r="AE633" s="10">
        <f t="shared" si="9"/>
        <v>1.9999999967694748E-3</v>
      </c>
      <c r="AF633" t="s">
        <v>2804</v>
      </c>
      <c r="AG633" t="s">
        <v>2811</v>
      </c>
    </row>
    <row r="634" spans="1:33">
      <c r="A634" t="s">
        <v>1031</v>
      </c>
      <c r="B634" s="4">
        <v>45821</v>
      </c>
      <c r="C634" s="4">
        <v>45827</v>
      </c>
      <c r="D634">
        <f>_xlfn.DAYS(C634,B634)</f>
        <v>6</v>
      </c>
      <c r="E634" t="s">
        <v>2804</v>
      </c>
      <c r="F634" t="s">
        <v>1032</v>
      </c>
      <c r="G634" t="s">
        <v>141</v>
      </c>
      <c r="H634" t="s">
        <v>24</v>
      </c>
      <c r="I634" t="s">
        <v>25</v>
      </c>
      <c r="J634" t="s">
        <v>26</v>
      </c>
      <c r="K634" t="s">
        <v>27</v>
      </c>
      <c r="L634" t="s">
        <v>41</v>
      </c>
      <c r="M634" t="s">
        <v>42</v>
      </c>
      <c r="N634" t="s">
        <v>1033</v>
      </c>
      <c r="O634" t="s">
        <v>50</v>
      </c>
      <c r="P634">
        <v>4</v>
      </c>
      <c r="Q634">
        <v>731.57</v>
      </c>
      <c r="R634">
        <v>0.2</v>
      </c>
      <c r="S634">
        <f>IF(ISNUMBER(SEARCH("%",R634)), VALUE(SUBSTITUTE(R634,"%",""))/100,IF(ISNUMBER(R634), R634, 0))</f>
        <v>0.2</v>
      </c>
      <c r="T634" t="str">
        <f>IF(S634&lt;0,"Negative discount (invalid)",IF(S634&gt;0.5,"Discount above allowed range (invalid)",IF(AND(R634="",S634=0),"Missing discount set to 0","OK")))</f>
        <v>OK</v>
      </c>
      <c r="U634">
        <v>2341.02</v>
      </c>
      <c r="V634">
        <v>1565.49</v>
      </c>
      <c r="W634">
        <v>775.53</v>
      </c>
      <c r="X634" t="s">
        <v>32</v>
      </c>
      <c r="Y634" t="s">
        <v>33</v>
      </c>
      <c r="Z634">
        <f>IF(T634="OK",P634*Q634*(1-S634),"invalid")</f>
        <v>2341.0240000000003</v>
      </c>
      <c r="AA634">
        <f>IF(Z634="N/A","N/A",Z634-V634)</f>
        <v>775.53400000000033</v>
      </c>
      <c r="AB634" s="8">
        <f>IF(Z634&lt;&gt;"N/A", AA634/Z634, "N/A")</f>
        <v>0.33127981601213835</v>
      </c>
      <c r="AC634">
        <f>MONTH(B634)</f>
        <v>6</v>
      </c>
      <c r="AD634">
        <f>YEAR(B634)</f>
        <v>2025</v>
      </c>
      <c r="AE634" s="10">
        <f t="shared" si="9"/>
        <v>4.0000000003601599E-3</v>
      </c>
      <c r="AF634" t="s">
        <v>2804</v>
      </c>
      <c r="AG634" t="s">
        <v>2811</v>
      </c>
    </row>
    <row r="635" spans="1:33">
      <c r="A635" t="s">
        <v>1046</v>
      </c>
      <c r="B635" s="4">
        <v>45807</v>
      </c>
      <c r="C635" s="4">
        <v>45808</v>
      </c>
      <c r="D635">
        <f>_xlfn.DAYS(C635,B635)</f>
        <v>1</v>
      </c>
      <c r="E635" t="s">
        <v>2804</v>
      </c>
      <c r="F635" t="s">
        <v>1047</v>
      </c>
      <c r="G635" t="s">
        <v>118</v>
      </c>
      <c r="H635" t="s">
        <v>90</v>
      </c>
      <c r="I635" t="s">
        <v>25</v>
      </c>
      <c r="J635" t="s">
        <v>136</v>
      </c>
      <c r="K635" t="s">
        <v>137</v>
      </c>
      <c r="L635" t="s">
        <v>74</v>
      </c>
      <c r="M635" t="s">
        <v>171</v>
      </c>
      <c r="N635" t="s">
        <v>1048</v>
      </c>
      <c r="O635" t="s">
        <v>50</v>
      </c>
      <c r="P635">
        <v>8</v>
      </c>
      <c r="Q635">
        <v>2081.4299999999998</v>
      </c>
      <c r="R635">
        <v>0.25</v>
      </c>
      <c r="S635">
        <f>IF(ISNUMBER(SEARCH("%",R635)), VALUE(SUBSTITUTE(R635,"%",""))/100,IF(ISNUMBER(R635), R635, 0))</f>
        <v>0.25</v>
      </c>
      <c r="T635" t="str">
        <f>IF(S635&lt;0,"Negative discount (invalid)",IF(S635&gt;0.5,"Discount above allowed range (invalid)",IF(AND(R635="",S635=0),"Missing discount set to 0","OK")))</f>
        <v>OK</v>
      </c>
      <c r="U635">
        <v>12488.58</v>
      </c>
      <c r="V635">
        <v>10717.4</v>
      </c>
      <c r="W635">
        <v>1771.18</v>
      </c>
      <c r="X635" t="s">
        <v>102</v>
      </c>
      <c r="Y635" t="s">
        <v>68</v>
      </c>
      <c r="Z635">
        <f>IF(T635="OK",P635*Q635*(1-S635),"invalid")</f>
        <v>12488.579999999998</v>
      </c>
      <c r="AA635">
        <f>IF(Z635="N/A","N/A",Z635-V635)</f>
        <v>1771.1799999999985</v>
      </c>
      <c r="AB635" s="8">
        <f>IF(Z635&lt;&gt;"N/A", AA635/Z635, "N/A")</f>
        <v>0.14182397037933847</v>
      </c>
      <c r="AC635">
        <f>MONTH(B635)</f>
        <v>5</v>
      </c>
      <c r="AD635">
        <f>YEAR(B635)</f>
        <v>2025</v>
      </c>
      <c r="AE635" s="10">
        <f t="shared" si="9"/>
        <v>1.8189894035458565E-12</v>
      </c>
      <c r="AF635" t="s">
        <v>2804</v>
      </c>
      <c r="AG635" t="s">
        <v>2811</v>
      </c>
    </row>
    <row r="636" spans="1:33">
      <c r="A636" t="s">
        <v>1049</v>
      </c>
      <c r="B636" s="4">
        <v>45795</v>
      </c>
      <c r="C636" s="4">
        <v>45797</v>
      </c>
      <c r="D636">
        <f>_xlfn.DAYS(C636,B636)</f>
        <v>2</v>
      </c>
      <c r="E636" t="s">
        <v>2804</v>
      </c>
      <c r="F636" t="s">
        <v>1050</v>
      </c>
      <c r="G636" t="s">
        <v>47</v>
      </c>
      <c r="H636" t="s">
        <v>90</v>
      </c>
      <c r="I636" t="s">
        <v>63</v>
      </c>
      <c r="J636" t="s">
        <v>72</v>
      </c>
      <c r="K636" t="s">
        <v>73</v>
      </c>
      <c r="L636" t="s">
        <v>28</v>
      </c>
      <c r="M636" t="s">
        <v>91</v>
      </c>
      <c r="N636" t="s">
        <v>1051</v>
      </c>
      <c r="O636" t="s">
        <v>59</v>
      </c>
      <c r="P636">
        <v>9</v>
      </c>
      <c r="Q636">
        <v>847.76</v>
      </c>
      <c r="R636">
        <v>0.15</v>
      </c>
      <c r="S636">
        <f>IF(ISNUMBER(SEARCH("%",R636)), VALUE(SUBSTITUTE(R636,"%",""))/100,IF(ISNUMBER(R636), R636, 0))</f>
        <v>0.15</v>
      </c>
      <c r="T636" t="str">
        <f>IF(S636&lt;0,"Negative discount (invalid)",IF(S636&gt;0.5,"Discount above allowed range (invalid)",IF(AND(R636="",S636=0),"Missing discount set to 0","OK")))</f>
        <v>OK</v>
      </c>
      <c r="U636">
        <v>6485.36</v>
      </c>
      <c r="V636">
        <v>5376.17</v>
      </c>
      <c r="W636">
        <v>1109.19</v>
      </c>
      <c r="X636" t="s">
        <v>155</v>
      </c>
      <c r="Y636" t="s">
        <v>103</v>
      </c>
      <c r="Z636">
        <f>IF(T636="OK",P636*Q636*(1-S636),"invalid")</f>
        <v>6485.3639999999996</v>
      </c>
      <c r="AA636">
        <f>IF(Z636="N/A","N/A",Z636-V636)</f>
        <v>1109.1939999999995</v>
      </c>
      <c r="AB636" s="8">
        <f>IF(Z636&lt;&gt;"N/A", AA636/Z636, "N/A")</f>
        <v>0.17103033846673826</v>
      </c>
      <c r="AC636">
        <f>MONTH(B636)</f>
        <v>5</v>
      </c>
      <c r="AD636">
        <f>YEAR(B636)</f>
        <v>2025</v>
      </c>
      <c r="AE636" s="10">
        <f t="shared" si="9"/>
        <v>3.9999999999054126E-3</v>
      </c>
      <c r="AF636" t="s">
        <v>2804</v>
      </c>
      <c r="AG636" t="s">
        <v>2811</v>
      </c>
    </row>
    <row r="637" spans="1:33">
      <c r="A637" t="s">
        <v>1049</v>
      </c>
      <c r="B637" s="4">
        <v>45795</v>
      </c>
      <c r="C637" s="4">
        <v>45797</v>
      </c>
      <c r="D637">
        <f>_xlfn.DAYS(C637,B637)</f>
        <v>2</v>
      </c>
      <c r="E637" t="s">
        <v>2804</v>
      </c>
      <c r="F637" t="s">
        <v>1050</v>
      </c>
      <c r="G637" t="s">
        <v>47</v>
      </c>
      <c r="H637" t="s">
        <v>90</v>
      </c>
      <c r="I637" t="s">
        <v>63</v>
      </c>
      <c r="J637" t="s">
        <v>72</v>
      </c>
      <c r="K637" t="s">
        <v>73</v>
      </c>
      <c r="L637" t="s">
        <v>28</v>
      </c>
      <c r="M637" t="s">
        <v>91</v>
      </c>
      <c r="N637" t="s">
        <v>1051</v>
      </c>
      <c r="O637" t="s">
        <v>59</v>
      </c>
      <c r="P637">
        <v>9</v>
      </c>
      <c r="Q637">
        <v>847.76</v>
      </c>
      <c r="R637">
        <v>0.15</v>
      </c>
      <c r="S637">
        <f>IF(ISNUMBER(SEARCH("%",R637)), VALUE(SUBSTITUTE(R637,"%",""))/100,IF(ISNUMBER(R637), R637, 0))</f>
        <v>0.15</v>
      </c>
      <c r="T637" t="str">
        <f>IF(S637&lt;0,"Negative discount (invalid)",IF(S637&gt;0.5,"Discount above allowed range (invalid)",IF(AND(R637="",S637=0),"Missing discount set to 0","OK")))</f>
        <v>OK</v>
      </c>
      <c r="U637">
        <v>6589.37</v>
      </c>
      <c r="V637">
        <v>5376.17</v>
      </c>
      <c r="W637">
        <v>1109.19</v>
      </c>
      <c r="X637" t="s">
        <v>155</v>
      </c>
      <c r="Y637" t="s">
        <v>33</v>
      </c>
      <c r="Z637">
        <f>IF(T637="OK",P637*Q637*(1-S637),"invalid")</f>
        <v>6485.3639999999996</v>
      </c>
      <c r="AA637">
        <f>IF(Z637="N/A","N/A",Z637-V637)</f>
        <v>1109.1939999999995</v>
      </c>
      <c r="AB637" s="8">
        <f>IF(Z637&lt;&gt;"N/A", AA637/Z637, "N/A")</f>
        <v>0.17103033846673826</v>
      </c>
      <c r="AC637">
        <f>MONTH(B637)</f>
        <v>5</v>
      </c>
      <c r="AD637">
        <f>YEAR(B637)</f>
        <v>2025</v>
      </c>
      <c r="AE637" s="10">
        <f t="shared" si="9"/>
        <v>104.00600000000031</v>
      </c>
      <c r="AF637" t="s">
        <v>2807</v>
      </c>
      <c r="AG637" t="s">
        <v>2789</v>
      </c>
    </row>
    <row r="638" spans="1:33">
      <c r="A638" t="s">
        <v>1058</v>
      </c>
      <c r="B638" s="4">
        <v>45898</v>
      </c>
      <c r="C638" s="4">
        <v>45904</v>
      </c>
      <c r="D638">
        <f>_xlfn.DAYS(C638,B638)</f>
        <v>6</v>
      </c>
      <c r="E638" t="s">
        <v>2804</v>
      </c>
      <c r="F638" t="s">
        <v>1059</v>
      </c>
      <c r="G638" t="s">
        <v>79</v>
      </c>
      <c r="H638" t="s">
        <v>90</v>
      </c>
      <c r="I638" t="s">
        <v>54</v>
      </c>
      <c r="J638" t="s">
        <v>185</v>
      </c>
      <c r="K638" t="s">
        <v>186</v>
      </c>
      <c r="L638" t="s">
        <v>41</v>
      </c>
      <c r="M638" t="s">
        <v>42</v>
      </c>
      <c r="N638" t="s">
        <v>1060</v>
      </c>
      <c r="O638" t="s">
        <v>50</v>
      </c>
      <c r="P638">
        <v>9</v>
      </c>
      <c r="Q638">
        <v>2996.97</v>
      </c>
      <c r="R638">
        <v>0.15</v>
      </c>
      <c r="S638">
        <f>IF(ISNUMBER(SEARCH("%",R638)), VALUE(SUBSTITUTE(R638,"%",""))/100,IF(ISNUMBER(R638), R638, 0))</f>
        <v>0.15</v>
      </c>
      <c r="T638" t="str">
        <f>IF(S638&lt;0,"Negative discount (invalid)",IF(S638&gt;0.5,"Discount above allowed range (invalid)",IF(AND(R638="",S638=0),"Missing discount set to 0","OK")))</f>
        <v>OK</v>
      </c>
      <c r="U638">
        <v>22926.82</v>
      </c>
      <c r="V638">
        <v>14621.59</v>
      </c>
      <c r="W638">
        <v>8305.23</v>
      </c>
      <c r="X638" t="s">
        <v>32</v>
      </c>
      <c r="Y638" t="s">
        <v>33</v>
      </c>
      <c r="Z638">
        <f>IF(T638="OK",P638*Q638*(1-S638),"invalid")</f>
        <v>22926.820499999998</v>
      </c>
      <c r="AA638">
        <f>IF(Z638="N/A","N/A",Z638-V638)</f>
        <v>8305.2304999999978</v>
      </c>
      <c r="AB638" s="8">
        <f>IF(Z638&lt;&gt;"N/A", AA638/Z638, "N/A")</f>
        <v>0.36224955396671765</v>
      </c>
      <c r="AC638">
        <f>MONTH(B638)</f>
        <v>8</v>
      </c>
      <c r="AD638">
        <f>YEAR(B638)</f>
        <v>2025</v>
      </c>
      <c r="AE638" s="10">
        <f t="shared" si="9"/>
        <v>4.99999998282874E-4</v>
      </c>
      <c r="AF638" t="s">
        <v>2804</v>
      </c>
      <c r="AG638" t="s">
        <v>2811</v>
      </c>
    </row>
    <row r="639" spans="1:33">
      <c r="A639" t="s">
        <v>1078</v>
      </c>
      <c r="B639" s="4">
        <v>45869</v>
      </c>
      <c r="C639" s="4">
        <v>45871</v>
      </c>
      <c r="D639">
        <f>_xlfn.DAYS(C639,B639)</f>
        <v>2</v>
      </c>
      <c r="E639" t="s">
        <v>2804</v>
      </c>
      <c r="F639" t="s">
        <v>1079</v>
      </c>
      <c r="G639" t="s">
        <v>141</v>
      </c>
      <c r="H639" t="s">
        <v>95</v>
      </c>
      <c r="I639" t="s">
        <v>54</v>
      </c>
      <c r="J639" t="s">
        <v>84</v>
      </c>
      <c r="K639" t="s">
        <v>85</v>
      </c>
      <c r="L639" t="s">
        <v>28</v>
      </c>
      <c r="M639" t="s">
        <v>91</v>
      </c>
      <c r="N639" t="s">
        <v>1080</v>
      </c>
      <c r="O639" t="s">
        <v>44</v>
      </c>
      <c r="P639">
        <v>1</v>
      </c>
      <c r="Q639">
        <v>1947.88</v>
      </c>
      <c r="R639">
        <v>0.15</v>
      </c>
      <c r="S639">
        <f>IF(ISNUMBER(SEARCH("%",R639)), VALUE(SUBSTITUTE(R639,"%",""))/100,IF(ISNUMBER(R639), R639, 0))</f>
        <v>0.15</v>
      </c>
      <c r="T639" t="str">
        <f>IF(S639&lt;0,"Negative discount (invalid)",IF(S639&gt;0.5,"Discount above allowed range (invalid)",IF(AND(R639="",S639=0),"Missing discount set to 0","OK")))</f>
        <v>OK</v>
      </c>
      <c r="U639">
        <v>1655.7</v>
      </c>
      <c r="V639">
        <v>1354.8</v>
      </c>
      <c r="W639">
        <v>300.89999999999998</v>
      </c>
      <c r="X639" t="s">
        <v>32</v>
      </c>
      <c r="Y639" t="s">
        <v>103</v>
      </c>
      <c r="Z639">
        <f>IF(T639="OK",P639*Q639*(1-S639),"invalid")</f>
        <v>1655.6980000000001</v>
      </c>
      <c r="AA639">
        <f>IF(Z639="N/A","N/A",Z639-V639)</f>
        <v>300.89800000000014</v>
      </c>
      <c r="AB639" s="8">
        <f>IF(Z639&lt;&gt;"N/A", AA639/Z639, "N/A")</f>
        <v>0.1817348332848141</v>
      </c>
      <c r="AC639">
        <f>MONTH(B639)</f>
        <v>7</v>
      </c>
      <c r="AD639">
        <f>YEAR(B639)</f>
        <v>2025</v>
      </c>
      <c r="AE639" s="10">
        <f t="shared" si="9"/>
        <v>1.9999999999527063E-3</v>
      </c>
      <c r="AF639" t="s">
        <v>2804</v>
      </c>
      <c r="AG639" t="s">
        <v>2811</v>
      </c>
    </row>
    <row r="640" spans="1:33">
      <c r="A640" t="s">
        <v>1081</v>
      </c>
      <c r="B640" s="4">
        <v>45916</v>
      </c>
      <c r="C640" s="4">
        <v>45922</v>
      </c>
      <c r="D640">
        <f>_xlfn.DAYS(C640,B640)</f>
        <v>6</v>
      </c>
      <c r="E640" t="s">
        <v>2804</v>
      </c>
      <c r="F640" t="s">
        <v>1082</v>
      </c>
      <c r="G640" t="s">
        <v>132</v>
      </c>
      <c r="H640" t="s">
        <v>95</v>
      </c>
      <c r="I640" t="s">
        <v>38</v>
      </c>
      <c r="J640" t="s">
        <v>99</v>
      </c>
      <c r="K640" t="s">
        <v>100</v>
      </c>
      <c r="L640" t="s">
        <v>74</v>
      </c>
      <c r="M640" t="s">
        <v>80</v>
      </c>
      <c r="N640" t="s">
        <v>1083</v>
      </c>
      <c r="O640" t="s">
        <v>31</v>
      </c>
      <c r="P640">
        <v>5</v>
      </c>
      <c r="Q640">
        <v>3671.2</v>
      </c>
      <c r="R640">
        <v>0.15</v>
      </c>
      <c r="S640">
        <f>IF(ISNUMBER(SEARCH("%",R640)), VALUE(SUBSTITUTE(R640,"%",""))/100,IF(ISNUMBER(R640), R640, 0))</f>
        <v>0.15</v>
      </c>
      <c r="T640" t="str">
        <f>IF(S640&lt;0,"Negative discount (invalid)",IF(S640&gt;0.5,"Discount above allowed range (invalid)",IF(AND(R640="",S640=0),"Missing discount set to 0","OK")))</f>
        <v>OK</v>
      </c>
      <c r="U640">
        <v>15602.6</v>
      </c>
      <c r="V640">
        <v>11908.52</v>
      </c>
      <c r="W640">
        <v>3694.08</v>
      </c>
      <c r="X640" t="s">
        <v>32</v>
      </c>
      <c r="Y640" t="s">
        <v>33</v>
      </c>
      <c r="Z640">
        <f>IF(T640="OK",P640*Q640*(1-S640),"invalid")</f>
        <v>15602.6</v>
      </c>
      <c r="AA640">
        <f>IF(Z640="N/A","N/A",Z640-V640)</f>
        <v>3694.08</v>
      </c>
      <c r="AB640" s="8">
        <f>IF(Z640&lt;&gt;"N/A", AA640/Z640, "N/A")</f>
        <v>0.236760539910015</v>
      </c>
      <c r="AC640">
        <f>MONTH(B640)</f>
        <v>9</v>
      </c>
      <c r="AD640">
        <f>YEAR(B640)</f>
        <v>2025</v>
      </c>
      <c r="AE640" s="10">
        <f t="shared" si="9"/>
        <v>0</v>
      </c>
      <c r="AF640" t="s">
        <v>2804</v>
      </c>
      <c r="AG640" t="s">
        <v>2811</v>
      </c>
    </row>
    <row r="641" spans="1:33">
      <c r="A641" t="s">
        <v>1084</v>
      </c>
      <c r="B641" s="4">
        <v>45860</v>
      </c>
      <c r="C641" s="4">
        <v>45860</v>
      </c>
      <c r="D641">
        <f>_xlfn.DAYS(C641,B641)</f>
        <v>0</v>
      </c>
      <c r="E641" t="s">
        <v>2804</v>
      </c>
      <c r="F641" t="s">
        <v>1085</v>
      </c>
      <c r="G641" t="s">
        <v>132</v>
      </c>
      <c r="H641" t="s">
        <v>90</v>
      </c>
      <c r="I641" t="s">
        <v>38</v>
      </c>
      <c r="J641" t="s">
        <v>228</v>
      </c>
      <c r="K641" t="s">
        <v>229</v>
      </c>
      <c r="L641" t="s">
        <v>41</v>
      </c>
      <c r="M641" t="s">
        <v>57</v>
      </c>
      <c r="N641" t="s">
        <v>1086</v>
      </c>
      <c r="O641" t="s">
        <v>44</v>
      </c>
      <c r="P641">
        <v>5</v>
      </c>
      <c r="Q641">
        <v>3187.05</v>
      </c>
      <c r="R641">
        <v>0.05</v>
      </c>
      <c r="S641">
        <f>IF(ISNUMBER(SEARCH("%",R641)), VALUE(SUBSTITUTE(R641,"%",""))/100,IF(ISNUMBER(R641), R641, 0))</f>
        <v>0.05</v>
      </c>
      <c r="T641" t="str">
        <f>IF(S641&lt;0,"Negative discount (invalid)",IF(S641&gt;0.5,"Discount above allowed range (invalid)",IF(AND(R641="",S641=0),"Missing discount set to 0","OK")))</f>
        <v>OK</v>
      </c>
      <c r="U641">
        <v>15138.49</v>
      </c>
      <c r="V641">
        <v>11235.72</v>
      </c>
      <c r="W641">
        <v>3902.77</v>
      </c>
      <c r="X641" t="s">
        <v>32</v>
      </c>
      <c r="Y641" t="s">
        <v>33</v>
      </c>
      <c r="Z641">
        <f>IF(T641="OK",P641*Q641*(1-S641),"invalid")</f>
        <v>15138.487499999999</v>
      </c>
      <c r="AA641">
        <f>IF(Z641="N/A","N/A",Z641-V641)</f>
        <v>3902.7674999999999</v>
      </c>
      <c r="AB641" s="8">
        <f>IF(Z641&lt;&gt;"N/A", AA641/Z641, "N/A")</f>
        <v>0.25780432160082045</v>
      </c>
      <c r="AC641">
        <f>MONTH(B641)</f>
        <v>7</v>
      </c>
      <c r="AD641">
        <f>YEAR(B641)</f>
        <v>2025</v>
      </c>
      <c r="AE641" s="10">
        <f t="shared" si="9"/>
        <v>2.500000000509317E-3</v>
      </c>
      <c r="AF641" t="s">
        <v>2804</v>
      </c>
      <c r="AG641" t="s">
        <v>2811</v>
      </c>
    </row>
    <row r="642" spans="1:33">
      <c r="A642" t="s">
        <v>1090</v>
      </c>
      <c r="B642" s="4">
        <v>45806</v>
      </c>
      <c r="C642" s="4">
        <v>45812</v>
      </c>
      <c r="D642">
        <f>_xlfn.DAYS(C642,B642)</f>
        <v>6</v>
      </c>
      <c r="E642" t="s">
        <v>2804</v>
      </c>
      <c r="F642" t="s">
        <v>1091</v>
      </c>
      <c r="G642" t="s">
        <v>162</v>
      </c>
      <c r="H642" t="s">
        <v>24</v>
      </c>
      <c r="I642" t="s">
        <v>63</v>
      </c>
      <c r="J642" t="s">
        <v>64</v>
      </c>
      <c r="K642" t="s">
        <v>65</v>
      </c>
      <c r="L642" t="s">
        <v>28</v>
      </c>
      <c r="M642" t="s">
        <v>124</v>
      </c>
      <c r="N642" t="s">
        <v>1092</v>
      </c>
      <c r="O642" t="s">
        <v>50</v>
      </c>
      <c r="P642">
        <v>6</v>
      </c>
      <c r="Q642">
        <v>3100.68</v>
      </c>
      <c r="R642">
        <v>0</v>
      </c>
      <c r="S642">
        <f>IF(ISNUMBER(SEARCH("%",R642)), VALUE(SUBSTITUTE(R642,"%",""))/100,IF(ISNUMBER(R642), R642, 0))</f>
        <v>0</v>
      </c>
      <c r="T642" t="str">
        <f>IF(S642&lt;0,"Negative discount (invalid)",IF(S642&gt;0.5,"Discount above allowed range (invalid)",IF(AND(R642="",S642=0),"Missing discount set to 0","OK")))</f>
        <v>OK</v>
      </c>
      <c r="U642">
        <v>18604.080000000002</v>
      </c>
      <c r="V642">
        <v>15834.3</v>
      </c>
      <c r="W642">
        <v>2769.78</v>
      </c>
      <c r="X642" t="s">
        <v>32</v>
      </c>
      <c r="Y642" t="s">
        <v>33</v>
      </c>
      <c r="Z642">
        <f>IF(T642="OK",P642*Q642*(1-S642),"invalid")</f>
        <v>18604.079999999998</v>
      </c>
      <c r="AA642">
        <f>IF(Z642="N/A","N/A",Z642-V642)</f>
        <v>2769.7799999999988</v>
      </c>
      <c r="AB642" s="8">
        <f>IF(Z642&lt;&gt;"N/A", AA642/Z642, "N/A")</f>
        <v>0.1488802456235406</v>
      </c>
      <c r="AC642">
        <f>MONTH(B642)</f>
        <v>5</v>
      </c>
      <c r="AD642">
        <f>YEAR(B642)</f>
        <v>2025</v>
      </c>
      <c r="AE642" s="10">
        <f t="shared" si="9"/>
        <v>3.637978807091713E-12</v>
      </c>
      <c r="AF642" t="s">
        <v>2804</v>
      </c>
      <c r="AG642" t="s">
        <v>2811</v>
      </c>
    </row>
    <row r="643" spans="1:33">
      <c r="A643" t="s">
        <v>1093</v>
      </c>
      <c r="B643" s="4">
        <v>45789</v>
      </c>
      <c r="C643" s="4">
        <v>45795</v>
      </c>
      <c r="D643">
        <f>_xlfn.DAYS(C643,B643)</f>
        <v>6</v>
      </c>
      <c r="E643" t="s">
        <v>2804</v>
      </c>
      <c r="F643" t="s">
        <v>1094</v>
      </c>
      <c r="G643" t="s">
        <v>79</v>
      </c>
      <c r="H643" t="s">
        <v>37</v>
      </c>
      <c r="I643" t="s">
        <v>63</v>
      </c>
      <c r="J643" t="s">
        <v>64</v>
      </c>
      <c r="K643" t="s">
        <v>65</v>
      </c>
      <c r="L643" t="s">
        <v>28</v>
      </c>
      <c r="M643" t="s">
        <v>124</v>
      </c>
      <c r="N643" t="s">
        <v>1095</v>
      </c>
      <c r="O643" t="s">
        <v>59</v>
      </c>
      <c r="P643">
        <v>4</v>
      </c>
      <c r="Q643">
        <v>4053.03</v>
      </c>
      <c r="R643">
        <v>0.05</v>
      </c>
      <c r="S643">
        <f>IF(ISNUMBER(SEARCH("%",R643)), VALUE(SUBSTITUTE(R643,"%",""))/100,IF(ISNUMBER(R643), R643, 0))</f>
        <v>0.05</v>
      </c>
      <c r="T643" t="str">
        <f>IF(S643&lt;0,"Negative discount (invalid)",IF(S643&gt;0.5,"Discount above allowed range (invalid)",IF(AND(R643="",S643=0),"Missing discount set to 0","OK")))</f>
        <v>OK</v>
      </c>
      <c r="U643">
        <v>15401.51</v>
      </c>
      <c r="V643">
        <v>8650.42</v>
      </c>
      <c r="W643">
        <v>6751.09</v>
      </c>
      <c r="X643" t="s">
        <v>32</v>
      </c>
      <c r="Y643" t="s">
        <v>33</v>
      </c>
      <c r="Z643">
        <f>IF(T643="OK",P643*Q643*(1-S643),"invalid")</f>
        <v>15401.513999999999</v>
      </c>
      <c r="AA643">
        <f>IF(Z643="N/A","N/A",Z643-V643)</f>
        <v>6751.0939999999991</v>
      </c>
      <c r="AB643" s="8">
        <f>IF(Z643&lt;&gt;"N/A", AA643/Z643, "N/A")</f>
        <v>0.43833963336331738</v>
      </c>
      <c r="AC643">
        <f>MONTH(B643)</f>
        <v>5</v>
      </c>
      <c r="AD643">
        <f>YEAR(B643)</f>
        <v>2025</v>
      </c>
      <c r="AE643" s="10">
        <f t="shared" ref="AE643:AE706" si="10">IF(Z643&lt;&gt;"N/A",ABS(Z643-U643),"N/A")</f>
        <v>3.9999999989959178E-3</v>
      </c>
      <c r="AF643" t="s">
        <v>2804</v>
      </c>
      <c r="AG643" t="s">
        <v>2811</v>
      </c>
    </row>
    <row r="644" spans="1:33">
      <c r="A644" t="s">
        <v>1102</v>
      </c>
      <c r="B644" s="4">
        <v>45804</v>
      </c>
      <c r="C644" s="4">
        <v>45805</v>
      </c>
      <c r="D644">
        <f>_xlfn.DAYS(C644,B644)</f>
        <v>1</v>
      </c>
      <c r="E644" t="s">
        <v>2804</v>
      </c>
      <c r="F644" t="s">
        <v>1103</v>
      </c>
      <c r="G644" t="s">
        <v>128</v>
      </c>
      <c r="H644" t="s">
        <v>24</v>
      </c>
      <c r="I644" t="s">
        <v>54</v>
      </c>
      <c r="J644" t="s">
        <v>84</v>
      </c>
      <c r="K644" t="s">
        <v>85</v>
      </c>
      <c r="L644" t="s">
        <v>74</v>
      </c>
      <c r="M644" t="s">
        <v>274</v>
      </c>
      <c r="N644" t="s">
        <v>1104</v>
      </c>
      <c r="O644" t="s">
        <v>31</v>
      </c>
      <c r="P644">
        <v>2</v>
      </c>
      <c r="Q644">
        <v>3911.96</v>
      </c>
      <c r="R644">
        <v>0</v>
      </c>
      <c r="S644">
        <f>IF(ISNUMBER(SEARCH("%",R644)), VALUE(SUBSTITUTE(R644,"%",""))/100,IF(ISNUMBER(R644), R644, 0))</f>
        <v>0</v>
      </c>
      <c r="T644" t="str">
        <f>IF(S644&lt;0,"Negative discount (invalid)",IF(S644&gt;0.5,"Discount above allowed range (invalid)",IF(AND(R644="",S644=0),"Missing discount set to 0","OK")))</f>
        <v>OK</v>
      </c>
      <c r="U644">
        <v>7823.92</v>
      </c>
      <c r="V644">
        <v>6034.63</v>
      </c>
      <c r="W644">
        <v>1789.29</v>
      </c>
      <c r="X644" t="s">
        <v>32</v>
      </c>
      <c r="Y644" t="s">
        <v>33</v>
      </c>
      <c r="Z644">
        <f>IF(T644="OK",P644*Q644*(1-S644),"invalid")</f>
        <v>7823.92</v>
      </c>
      <c r="AA644">
        <f>IF(Z644="N/A","N/A",Z644-V644)</f>
        <v>1789.29</v>
      </c>
      <c r="AB644" s="8">
        <f>IF(Z644&lt;&gt;"N/A", AA644/Z644, "N/A")</f>
        <v>0.22869482305545047</v>
      </c>
      <c r="AC644">
        <f>MONTH(B644)</f>
        <v>5</v>
      </c>
      <c r="AD644">
        <f>YEAR(B644)</f>
        <v>2025</v>
      </c>
      <c r="AE644" s="10">
        <f t="shared" si="10"/>
        <v>0</v>
      </c>
      <c r="AF644" t="s">
        <v>2804</v>
      </c>
      <c r="AG644" t="s">
        <v>2811</v>
      </c>
    </row>
    <row r="645" spans="1:33">
      <c r="A645" t="s">
        <v>1105</v>
      </c>
      <c r="B645" s="4">
        <v>45830</v>
      </c>
      <c r="C645" s="4">
        <v>45835</v>
      </c>
      <c r="D645">
        <f>_xlfn.DAYS(C645,B645)</f>
        <v>5</v>
      </c>
      <c r="E645" t="s">
        <v>2804</v>
      </c>
      <c r="F645" t="s">
        <v>1106</v>
      </c>
      <c r="G645" t="s">
        <v>141</v>
      </c>
      <c r="H645" t="s">
        <v>95</v>
      </c>
      <c r="I645" t="s">
        <v>2785</v>
      </c>
      <c r="J645" t="s">
        <v>350</v>
      </c>
      <c r="K645" t="s">
        <v>351</v>
      </c>
      <c r="L645" t="s">
        <v>74</v>
      </c>
      <c r="M645" t="s">
        <v>171</v>
      </c>
      <c r="N645" t="s">
        <v>1107</v>
      </c>
      <c r="O645" t="s">
        <v>50</v>
      </c>
      <c r="P645">
        <v>2</v>
      </c>
      <c r="Q645">
        <v>1468.05</v>
      </c>
      <c r="R645">
        <v>0</v>
      </c>
      <c r="S645">
        <f>IF(ISNUMBER(SEARCH("%",R645)), VALUE(SUBSTITUTE(R645,"%",""))/100,IF(ISNUMBER(R645), R645, 0))</f>
        <v>0</v>
      </c>
      <c r="T645" t="str">
        <f>IF(S645&lt;0,"Negative discount (invalid)",IF(S645&gt;0.5,"Discount above allowed range (invalid)",IF(AND(R645="",S645=0),"Missing discount set to 0","OK")))</f>
        <v>OK</v>
      </c>
      <c r="U645">
        <v>2936.1</v>
      </c>
      <c r="V645">
        <v>1923.1</v>
      </c>
      <c r="W645">
        <v>1013</v>
      </c>
      <c r="X645" t="s">
        <v>32</v>
      </c>
      <c r="Y645" t="s">
        <v>33</v>
      </c>
      <c r="Z645">
        <f>IF(T645="OK",P645*Q645*(1-S645),"invalid")</f>
        <v>2936.1</v>
      </c>
      <c r="AA645">
        <f>IF(Z645="N/A","N/A",Z645-V645)</f>
        <v>1013</v>
      </c>
      <c r="AB645" s="8">
        <f>IF(Z645&lt;&gt;"N/A", AA645/Z645, "N/A")</f>
        <v>0.34501549674738602</v>
      </c>
      <c r="AC645">
        <f>MONTH(B645)</f>
        <v>6</v>
      </c>
      <c r="AD645">
        <f>YEAR(B645)</f>
        <v>2025</v>
      </c>
      <c r="AE645" s="10">
        <f t="shared" si="10"/>
        <v>0</v>
      </c>
      <c r="AF645" t="s">
        <v>2799</v>
      </c>
      <c r="AG645" t="s">
        <v>2798</v>
      </c>
    </row>
    <row r="646" spans="1:33">
      <c r="A646" t="s">
        <v>1111</v>
      </c>
      <c r="B646" s="4">
        <v>45824</v>
      </c>
      <c r="C646" s="4">
        <v>45826</v>
      </c>
      <c r="D646">
        <f>_xlfn.DAYS(C646,B646)</f>
        <v>2</v>
      </c>
      <c r="E646" t="s">
        <v>2804</v>
      </c>
      <c r="F646" t="s">
        <v>1112</v>
      </c>
      <c r="G646" t="s">
        <v>118</v>
      </c>
      <c r="H646" t="s">
        <v>95</v>
      </c>
      <c r="I646" t="s">
        <v>63</v>
      </c>
      <c r="J646" t="s">
        <v>72</v>
      </c>
      <c r="K646" t="s">
        <v>73</v>
      </c>
      <c r="L646" t="s">
        <v>28</v>
      </c>
      <c r="M646" t="s">
        <v>29</v>
      </c>
      <c r="N646" t="s">
        <v>1113</v>
      </c>
      <c r="O646" t="s">
        <v>50</v>
      </c>
      <c r="P646">
        <v>3</v>
      </c>
      <c r="Q646">
        <v>4289.37</v>
      </c>
      <c r="R646">
        <v>0.1</v>
      </c>
      <c r="S646">
        <f>IF(ISNUMBER(SEARCH("%",R646)), VALUE(SUBSTITUTE(R646,"%",""))/100,IF(ISNUMBER(R646), R646, 0))</f>
        <v>0.1</v>
      </c>
      <c r="T646" t="str">
        <f>IF(S646&lt;0,"Negative discount (invalid)",IF(S646&gt;0.5,"Discount above allowed range (invalid)",IF(AND(R646="",S646=0),"Missing discount set to 0","OK")))</f>
        <v>OK</v>
      </c>
      <c r="U646">
        <v>11581.3</v>
      </c>
      <c r="V646">
        <v>6829.43</v>
      </c>
      <c r="W646">
        <v>4751.87</v>
      </c>
      <c r="X646" t="s">
        <v>32</v>
      </c>
      <c r="Y646" t="s">
        <v>33</v>
      </c>
      <c r="Z646">
        <f>IF(T646="OK",P646*Q646*(1-S646),"invalid")</f>
        <v>11581.299000000001</v>
      </c>
      <c r="AA646">
        <f>IF(Z646="N/A","N/A",Z646-V646)</f>
        <v>4751.8690000000006</v>
      </c>
      <c r="AB646" s="8">
        <f>IF(Z646&lt;&gt;"N/A", AA646/Z646, "N/A")</f>
        <v>0.41030535521101735</v>
      </c>
      <c r="AC646">
        <f>MONTH(B646)</f>
        <v>6</v>
      </c>
      <c r="AD646">
        <f>YEAR(B646)</f>
        <v>2025</v>
      </c>
      <c r="AE646" s="10">
        <f t="shared" si="10"/>
        <v>9.9999999838473741E-4</v>
      </c>
      <c r="AF646" t="s">
        <v>2804</v>
      </c>
      <c r="AG646" t="s">
        <v>2811</v>
      </c>
    </row>
    <row r="647" spans="1:33">
      <c r="A647" t="s">
        <v>1111</v>
      </c>
      <c r="B647" s="4">
        <v>45824</v>
      </c>
      <c r="C647" s="4">
        <v>45826</v>
      </c>
      <c r="D647">
        <f>_xlfn.DAYS(C647,B647)</f>
        <v>2</v>
      </c>
      <c r="E647" t="s">
        <v>2804</v>
      </c>
      <c r="F647" t="s">
        <v>1112</v>
      </c>
      <c r="G647" t="s">
        <v>118</v>
      </c>
      <c r="H647" t="s">
        <v>95</v>
      </c>
      <c r="I647" t="s">
        <v>63</v>
      </c>
      <c r="J647" t="s">
        <v>72</v>
      </c>
      <c r="K647" t="s">
        <v>73</v>
      </c>
      <c r="L647" t="s">
        <v>28</v>
      </c>
      <c r="M647" t="s">
        <v>29</v>
      </c>
      <c r="N647" t="s">
        <v>1113</v>
      </c>
      <c r="O647" t="s">
        <v>50</v>
      </c>
      <c r="P647">
        <v>3</v>
      </c>
      <c r="Q647">
        <v>4289.37</v>
      </c>
      <c r="R647">
        <v>0.1</v>
      </c>
      <c r="S647">
        <f>IF(ISNUMBER(SEARCH("%",R647)), VALUE(SUBSTITUTE(R647,"%",""))/100,IF(ISNUMBER(R647), R647, 0))</f>
        <v>0.1</v>
      </c>
      <c r="T647" t="str">
        <f>IF(S647&lt;0,"Negative discount (invalid)",IF(S647&gt;0.5,"Discount above allowed range (invalid)",IF(AND(R647="",S647=0),"Missing discount set to 0","OK")))</f>
        <v>OK</v>
      </c>
      <c r="U647">
        <v>11778.71</v>
      </c>
      <c r="V647">
        <v>6829.43</v>
      </c>
      <c r="W647">
        <v>4751.87</v>
      </c>
      <c r="X647" t="s">
        <v>32</v>
      </c>
      <c r="Y647" t="s">
        <v>103</v>
      </c>
      <c r="Z647">
        <f>IF(T647="OK",P647*Q647*(1-S647),"invalid")</f>
        <v>11581.299000000001</v>
      </c>
      <c r="AA647">
        <f>IF(Z647="N/A","N/A",Z647-V647)</f>
        <v>4751.8690000000006</v>
      </c>
      <c r="AB647" s="8">
        <f>IF(Z647&lt;&gt;"N/A", AA647/Z647, "N/A")</f>
        <v>0.41030535521101735</v>
      </c>
      <c r="AC647">
        <f>MONTH(B647)</f>
        <v>6</v>
      </c>
      <c r="AD647">
        <f>YEAR(B647)</f>
        <v>2025</v>
      </c>
      <c r="AE647" s="10">
        <f t="shared" si="10"/>
        <v>197.41099999999824</v>
      </c>
      <c r="AF647" t="s">
        <v>2807</v>
      </c>
      <c r="AG647" t="s">
        <v>2789</v>
      </c>
    </row>
    <row r="648" spans="1:33">
      <c r="A648" t="s">
        <v>1122</v>
      </c>
      <c r="B648" s="4">
        <v>45708</v>
      </c>
      <c r="C648" s="4">
        <v>45710</v>
      </c>
      <c r="D648">
        <f>_xlfn.DAYS(C648,B648)</f>
        <v>2</v>
      </c>
      <c r="E648" t="s">
        <v>2804</v>
      </c>
      <c r="F648" t="s">
        <v>1123</v>
      </c>
      <c r="G648" t="s">
        <v>79</v>
      </c>
      <c r="H648" t="s">
        <v>90</v>
      </c>
      <c r="I648" t="s">
        <v>38</v>
      </c>
      <c r="J648" t="s">
        <v>228</v>
      </c>
      <c r="K648" t="s">
        <v>229</v>
      </c>
      <c r="L648" t="s">
        <v>41</v>
      </c>
      <c r="M648" t="s">
        <v>158</v>
      </c>
      <c r="N648" t="s">
        <v>1124</v>
      </c>
      <c r="O648" t="s">
        <v>59</v>
      </c>
      <c r="P648">
        <v>8</v>
      </c>
      <c r="Q648">
        <v>3265.76</v>
      </c>
      <c r="R648">
        <v>0.2</v>
      </c>
      <c r="S648">
        <f>IF(ISNUMBER(SEARCH("%",R648)), VALUE(SUBSTITUTE(R648,"%",""))/100,IF(ISNUMBER(R648), R648, 0))</f>
        <v>0.2</v>
      </c>
      <c r="T648" t="str">
        <f>IF(S648&lt;0,"Negative discount (invalid)",IF(S648&gt;0.5,"Discount above allowed range (invalid)",IF(AND(R648="",S648=0),"Missing discount set to 0","OK")))</f>
        <v>OK</v>
      </c>
      <c r="U648">
        <v>20900.86</v>
      </c>
      <c r="V648">
        <v>12513.14</v>
      </c>
      <c r="W648">
        <v>8387.7199999999993</v>
      </c>
      <c r="X648" t="s">
        <v>32</v>
      </c>
      <c r="Y648" t="s">
        <v>33</v>
      </c>
      <c r="Z648">
        <f>IF(T648="OK",P648*Q648*(1-S648),"invalid")</f>
        <v>20900.864000000001</v>
      </c>
      <c r="AA648">
        <f>IF(Z648="N/A","N/A",Z648-V648)</f>
        <v>8387.724000000002</v>
      </c>
      <c r="AB648" s="8">
        <f>IF(Z648&lt;&gt;"N/A", AA648/Z648, "N/A")</f>
        <v>0.40130991714026759</v>
      </c>
      <c r="AC648">
        <f>MONTH(B648)</f>
        <v>2</v>
      </c>
      <c r="AD648">
        <f>YEAR(B648)</f>
        <v>2025</v>
      </c>
      <c r="AE648" s="10">
        <f t="shared" si="10"/>
        <v>4.0000000008149073E-3</v>
      </c>
      <c r="AF648" t="s">
        <v>2804</v>
      </c>
      <c r="AG648" t="s">
        <v>2811</v>
      </c>
    </row>
    <row r="649" spans="1:33">
      <c r="A649" t="s">
        <v>1128</v>
      </c>
      <c r="B649" s="4">
        <v>45908</v>
      </c>
      <c r="C649" s="4">
        <v>45909</v>
      </c>
      <c r="D649">
        <f>_xlfn.DAYS(C649,B649)</f>
        <v>1</v>
      </c>
      <c r="E649" t="s">
        <v>2804</v>
      </c>
      <c r="F649" t="s">
        <v>1129</v>
      </c>
      <c r="G649" t="s">
        <v>141</v>
      </c>
      <c r="H649" t="s">
        <v>95</v>
      </c>
      <c r="I649" t="s">
        <v>63</v>
      </c>
      <c r="J649" t="s">
        <v>180</v>
      </c>
      <c r="K649" t="s">
        <v>181</v>
      </c>
      <c r="L649" t="s">
        <v>41</v>
      </c>
      <c r="M649" t="s">
        <v>66</v>
      </c>
      <c r="N649" t="s">
        <v>1130</v>
      </c>
      <c r="O649" t="s">
        <v>31</v>
      </c>
      <c r="P649">
        <v>2</v>
      </c>
      <c r="Q649">
        <v>3960.33</v>
      </c>
      <c r="R649">
        <v>0.05</v>
      </c>
      <c r="S649">
        <f>IF(ISNUMBER(SEARCH("%",R649)), VALUE(SUBSTITUTE(R649,"%",""))/100,IF(ISNUMBER(R649), R649, 0))</f>
        <v>0.05</v>
      </c>
      <c r="T649" t="str">
        <f>IF(S649&lt;0,"Negative discount (invalid)",IF(S649&gt;0.5,"Discount above allowed range (invalid)",IF(AND(R649="",S649=0),"Missing discount set to 0","OK")))</f>
        <v>OK</v>
      </c>
      <c r="U649">
        <v>7524.63</v>
      </c>
      <c r="V649">
        <v>6229.6</v>
      </c>
      <c r="W649">
        <v>1295.03</v>
      </c>
      <c r="X649" t="s">
        <v>32</v>
      </c>
      <c r="Y649" t="s">
        <v>33</v>
      </c>
      <c r="Z649">
        <f>IF(T649="OK",P649*Q649*(1-S649),"invalid")</f>
        <v>7524.6269999999995</v>
      </c>
      <c r="AA649">
        <f>IF(Z649="N/A","N/A",Z649-V649)</f>
        <v>1295.0269999999991</v>
      </c>
      <c r="AB649" s="8">
        <f>IF(Z649&lt;&gt;"N/A", AA649/Z649, "N/A")</f>
        <v>0.17210514222166751</v>
      </c>
      <c r="AC649">
        <f>MONTH(B649)</f>
        <v>9</v>
      </c>
      <c r="AD649">
        <f>YEAR(B649)</f>
        <v>2025</v>
      </c>
      <c r="AE649" s="10">
        <f t="shared" si="10"/>
        <v>3.0000000006111804E-3</v>
      </c>
      <c r="AF649" t="s">
        <v>2804</v>
      </c>
      <c r="AG649" t="s">
        <v>2811</v>
      </c>
    </row>
    <row r="650" spans="1:33">
      <c r="A650" t="s">
        <v>1131</v>
      </c>
      <c r="B650" s="4">
        <v>45862</v>
      </c>
      <c r="C650" s="4">
        <v>45870</v>
      </c>
      <c r="D650">
        <f>_xlfn.DAYS(C650,B650)</f>
        <v>8</v>
      </c>
      <c r="E650" t="s">
        <v>2804</v>
      </c>
      <c r="F650" t="s">
        <v>1132</v>
      </c>
      <c r="G650" t="s">
        <v>264</v>
      </c>
      <c r="H650" t="s">
        <v>37</v>
      </c>
      <c r="I650" t="s">
        <v>38</v>
      </c>
      <c r="J650" t="s">
        <v>228</v>
      </c>
      <c r="K650" t="s">
        <v>229</v>
      </c>
      <c r="L650" t="s">
        <v>28</v>
      </c>
      <c r="M650" t="s">
        <v>153</v>
      </c>
      <c r="N650" t="s">
        <v>1133</v>
      </c>
      <c r="O650" t="s">
        <v>50</v>
      </c>
      <c r="P650">
        <v>8</v>
      </c>
      <c r="Q650">
        <v>1528.92</v>
      </c>
      <c r="R650">
        <v>0</v>
      </c>
      <c r="S650">
        <f>IF(ISNUMBER(SEARCH("%",R650)), VALUE(SUBSTITUTE(R650,"%",""))/100,IF(ISNUMBER(R650), R650, 0))</f>
        <v>0</v>
      </c>
      <c r="T650" t="str">
        <f>IF(S650&lt;0,"Negative discount (invalid)",IF(S650&gt;0.5,"Discount above allowed range (invalid)",IF(AND(R650="",S650=0),"Missing discount set to 0","OK")))</f>
        <v>OK</v>
      </c>
      <c r="U650">
        <v>12231.36</v>
      </c>
      <c r="V650">
        <v>8766.9</v>
      </c>
      <c r="W650">
        <v>3464.46</v>
      </c>
      <c r="X650" t="s">
        <v>32</v>
      </c>
      <c r="Y650" t="s">
        <v>33</v>
      </c>
      <c r="Z650">
        <f>IF(T650="OK",P650*Q650*(1-S650),"invalid")</f>
        <v>12231.36</v>
      </c>
      <c r="AA650">
        <f>IF(Z650="N/A","N/A",Z650-V650)</f>
        <v>3464.4600000000009</v>
      </c>
      <c r="AB650" s="8">
        <f>IF(Z650&lt;&gt;"N/A", AA650/Z650, "N/A")</f>
        <v>0.28324405462679547</v>
      </c>
      <c r="AC650">
        <f>MONTH(B650)</f>
        <v>7</v>
      </c>
      <c r="AD650">
        <f>YEAR(B650)</f>
        <v>2025</v>
      </c>
      <c r="AE650" s="10">
        <f t="shared" si="10"/>
        <v>0</v>
      </c>
      <c r="AF650" t="s">
        <v>2804</v>
      </c>
      <c r="AG650" t="s">
        <v>2811</v>
      </c>
    </row>
    <row r="651" spans="1:33">
      <c r="A651" t="s">
        <v>1134</v>
      </c>
      <c r="B651" s="4">
        <v>45933</v>
      </c>
      <c r="C651" s="4">
        <v>45938</v>
      </c>
      <c r="D651">
        <f>_xlfn.DAYS(C651,B651)</f>
        <v>5</v>
      </c>
      <c r="E651" t="s">
        <v>2804</v>
      </c>
      <c r="F651" t="s">
        <v>1135</v>
      </c>
      <c r="G651" t="s">
        <v>128</v>
      </c>
      <c r="H651" t="s">
        <v>90</v>
      </c>
      <c r="I651" t="s">
        <v>63</v>
      </c>
      <c r="J651" t="s">
        <v>72</v>
      </c>
      <c r="K651" t="s">
        <v>73</v>
      </c>
      <c r="L651" t="s">
        <v>74</v>
      </c>
      <c r="M651" t="s">
        <v>274</v>
      </c>
      <c r="N651" t="s">
        <v>1136</v>
      </c>
      <c r="O651" t="s">
        <v>44</v>
      </c>
      <c r="P651">
        <v>9</v>
      </c>
      <c r="Q651">
        <v>3837</v>
      </c>
      <c r="R651">
        <v>0.1</v>
      </c>
      <c r="S651">
        <f>IF(ISNUMBER(SEARCH("%",R651)), VALUE(SUBSTITUTE(R651,"%",""))/100,IF(ISNUMBER(R651), R651, 0))</f>
        <v>0.1</v>
      </c>
      <c r="T651" t="str">
        <f>IF(S651&lt;0,"Negative discount (invalid)",IF(S651&gt;0.5,"Discount above allowed range (invalid)",IF(AND(R651="",S651=0),"Missing discount set to 0","OK")))</f>
        <v>OK</v>
      </c>
      <c r="U651">
        <v>31079.7</v>
      </c>
      <c r="V651">
        <v>17758.25</v>
      </c>
      <c r="W651">
        <v>13321.45</v>
      </c>
      <c r="X651" t="s">
        <v>32</v>
      </c>
      <c r="Y651" t="s">
        <v>33</v>
      </c>
      <c r="Z651">
        <f>IF(T651="OK",P651*Q651*(1-S651),"invalid")</f>
        <v>31079.7</v>
      </c>
      <c r="AA651">
        <f>IF(Z651="N/A","N/A",Z651-V651)</f>
        <v>13321.45</v>
      </c>
      <c r="AB651" s="8">
        <f>IF(Z651&lt;&gt;"N/A", AA651/Z651, "N/A")</f>
        <v>0.4286222196481948</v>
      </c>
      <c r="AC651">
        <f>MONTH(B651)</f>
        <v>10</v>
      </c>
      <c r="AD651">
        <f>YEAR(B651)</f>
        <v>2025</v>
      </c>
      <c r="AE651" s="10">
        <f t="shared" si="10"/>
        <v>0</v>
      </c>
      <c r="AF651" t="s">
        <v>2804</v>
      </c>
      <c r="AG651" t="s">
        <v>2811</v>
      </c>
    </row>
    <row r="652" spans="1:33">
      <c r="A652" t="s">
        <v>1143</v>
      </c>
      <c r="B652" s="4">
        <v>45860</v>
      </c>
      <c r="C652" s="4">
        <v>45866</v>
      </c>
      <c r="D652">
        <f>_xlfn.DAYS(C652,B652)</f>
        <v>6</v>
      </c>
      <c r="E652" t="s">
        <v>2804</v>
      </c>
      <c r="F652" t="s">
        <v>1144</v>
      </c>
      <c r="G652" t="s">
        <v>118</v>
      </c>
      <c r="H652" t="s">
        <v>90</v>
      </c>
      <c r="I652" t="s">
        <v>54</v>
      </c>
      <c r="J652" t="s">
        <v>185</v>
      </c>
      <c r="K652" t="s">
        <v>186</v>
      </c>
      <c r="L652" t="s">
        <v>41</v>
      </c>
      <c r="M652" t="s">
        <v>66</v>
      </c>
      <c r="N652" t="s">
        <v>1145</v>
      </c>
      <c r="O652" t="s">
        <v>31</v>
      </c>
      <c r="P652">
        <v>6</v>
      </c>
      <c r="Q652">
        <v>1607.46</v>
      </c>
      <c r="R652">
        <v>0.2</v>
      </c>
      <c r="S652">
        <f>IF(ISNUMBER(SEARCH("%",R652)), VALUE(SUBSTITUTE(R652,"%",""))/100,IF(ISNUMBER(R652), R652, 0))</f>
        <v>0.2</v>
      </c>
      <c r="T652" t="str">
        <f>IF(S652&lt;0,"Negative discount (invalid)",IF(S652&gt;0.5,"Discount above allowed range (invalid)",IF(AND(R652="",S652=0),"Missing discount set to 0","OK")))</f>
        <v>OK</v>
      </c>
      <c r="U652">
        <v>7715.81</v>
      </c>
      <c r="V652">
        <v>4258.42</v>
      </c>
      <c r="W652">
        <v>3457.39</v>
      </c>
      <c r="X652" t="s">
        <v>32</v>
      </c>
      <c r="Y652" t="s">
        <v>33</v>
      </c>
      <c r="Z652">
        <f>IF(T652="OK",P652*Q652*(1-S652),"invalid")</f>
        <v>7715.8080000000009</v>
      </c>
      <c r="AA652">
        <f>IF(Z652="N/A","N/A",Z652-V652)</f>
        <v>3457.3880000000008</v>
      </c>
      <c r="AB652" s="8">
        <f>IF(Z652&lt;&gt;"N/A", AA652/Z652, "N/A")</f>
        <v>0.4480915025360922</v>
      </c>
      <c r="AC652">
        <f>MONTH(B652)</f>
        <v>7</v>
      </c>
      <c r="AD652">
        <f>YEAR(B652)</f>
        <v>2025</v>
      </c>
      <c r="AE652" s="10">
        <f t="shared" si="10"/>
        <v>1.9999999994979589E-3</v>
      </c>
      <c r="AF652" t="s">
        <v>2804</v>
      </c>
      <c r="AG652" t="s">
        <v>2811</v>
      </c>
    </row>
    <row r="653" spans="1:33">
      <c r="A653" t="s">
        <v>1152</v>
      </c>
      <c r="B653" s="4">
        <v>45927</v>
      </c>
      <c r="C653" s="4">
        <v>45929</v>
      </c>
      <c r="D653">
        <f>_xlfn.DAYS(C653,B653)</f>
        <v>2</v>
      </c>
      <c r="E653" t="s">
        <v>2804</v>
      </c>
      <c r="F653" t="s">
        <v>1153</v>
      </c>
      <c r="G653" t="s">
        <v>264</v>
      </c>
      <c r="H653" t="s">
        <v>95</v>
      </c>
      <c r="I653" t="s">
        <v>38</v>
      </c>
      <c r="J653" t="s">
        <v>228</v>
      </c>
      <c r="K653" t="s">
        <v>229</v>
      </c>
      <c r="L653" t="s">
        <v>41</v>
      </c>
      <c r="M653" t="s">
        <v>57</v>
      </c>
      <c r="N653" t="s">
        <v>1154</v>
      </c>
      <c r="O653" t="s">
        <v>31</v>
      </c>
      <c r="P653">
        <v>9</v>
      </c>
      <c r="Q653">
        <v>2867.55</v>
      </c>
      <c r="R653">
        <v>0.25</v>
      </c>
      <c r="S653">
        <f>IF(ISNUMBER(SEARCH("%",R653)), VALUE(SUBSTITUTE(R653,"%",""))/100,IF(ISNUMBER(R653), R653, 0))</f>
        <v>0.25</v>
      </c>
      <c r="T653" t="str">
        <f>IF(S653&lt;0,"Negative discount (invalid)",IF(S653&gt;0.5,"Discount above allowed range (invalid)",IF(AND(R653="",S653=0),"Missing discount set to 0","OK")))</f>
        <v>OK</v>
      </c>
      <c r="U653">
        <v>19355.96</v>
      </c>
      <c r="V653">
        <v>15012.45</v>
      </c>
      <c r="W653">
        <v>4017.4</v>
      </c>
      <c r="X653" t="s">
        <v>32</v>
      </c>
      <c r="Y653" t="s">
        <v>33</v>
      </c>
      <c r="Z653">
        <f>IF(T653="OK",P653*Q653*(1-S653),"invalid")</f>
        <v>19355.962500000001</v>
      </c>
      <c r="AA653">
        <f>IF(Z653="N/A","N/A",Z653-V653)</f>
        <v>4343.5125000000007</v>
      </c>
      <c r="AB653" s="8">
        <f>IF(Z653&lt;&gt;"N/A", AA653/Z653, "N/A")</f>
        <v>0.22440178317146461</v>
      </c>
      <c r="AC653">
        <f>MONTH(B653)</f>
        <v>9</v>
      </c>
      <c r="AD653">
        <f>YEAR(B653)</f>
        <v>2025</v>
      </c>
      <c r="AE653" s="10">
        <f t="shared" si="10"/>
        <v>2.5000000023283064E-3</v>
      </c>
      <c r="AF653" t="s">
        <v>2804</v>
      </c>
      <c r="AG653" t="s">
        <v>2811</v>
      </c>
    </row>
    <row r="654" spans="1:33">
      <c r="A654" t="s">
        <v>1158</v>
      </c>
      <c r="B654" s="4">
        <v>45800</v>
      </c>
      <c r="C654" s="4">
        <v>45804</v>
      </c>
      <c r="D654">
        <f>_xlfn.DAYS(C654,B654)</f>
        <v>4</v>
      </c>
      <c r="E654" t="s">
        <v>2804</v>
      </c>
      <c r="F654" t="s">
        <v>1159</v>
      </c>
      <c r="G654" t="s">
        <v>71</v>
      </c>
      <c r="H654" t="s">
        <v>37</v>
      </c>
      <c r="I654" t="s">
        <v>54</v>
      </c>
      <c r="J654" t="s">
        <v>55</v>
      </c>
      <c r="K654" t="s">
        <v>56</v>
      </c>
      <c r="L654" t="s">
        <v>28</v>
      </c>
      <c r="M654" t="s">
        <v>124</v>
      </c>
      <c r="N654" t="s">
        <v>1160</v>
      </c>
      <c r="O654" t="s">
        <v>50</v>
      </c>
      <c r="P654">
        <v>6</v>
      </c>
      <c r="Q654">
        <v>719.44</v>
      </c>
      <c r="R654">
        <v>0.25</v>
      </c>
      <c r="S654">
        <f>IF(ISNUMBER(SEARCH("%",R654)), VALUE(SUBSTITUTE(R654,"%",""))/100,IF(ISNUMBER(R654), R654, 0))</f>
        <v>0.25</v>
      </c>
      <c r="T654" t="str">
        <f>IF(S654&lt;0,"Negative discount (invalid)",IF(S654&gt;0.5,"Discount above allowed range (invalid)",IF(AND(R654="",S654=0),"Missing discount set to 0","OK")))</f>
        <v>OK</v>
      </c>
      <c r="U654">
        <v>3237.48</v>
      </c>
      <c r="V654">
        <v>2118.34</v>
      </c>
      <c r="W654">
        <v>1119.1400000000001</v>
      </c>
      <c r="X654" t="s">
        <v>111</v>
      </c>
      <c r="Y654" t="s">
        <v>68</v>
      </c>
      <c r="Z654">
        <f>IF(T654="OK",P654*Q654*(1-S654),"invalid")</f>
        <v>3237.4800000000005</v>
      </c>
      <c r="AA654">
        <f>IF(Z654="N/A","N/A",Z654-V654)</f>
        <v>1119.1400000000003</v>
      </c>
      <c r="AB654" s="8">
        <f>IF(Z654&lt;&gt;"N/A", AA654/Z654, "N/A")</f>
        <v>0.34568244437031276</v>
      </c>
      <c r="AC654">
        <f>MONTH(B654)</f>
        <v>5</v>
      </c>
      <c r="AD654">
        <f>YEAR(B654)</f>
        <v>2025</v>
      </c>
      <c r="AE654" s="10">
        <f t="shared" si="10"/>
        <v>4.5474735088646412E-13</v>
      </c>
      <c r="AF654" t="s">
        <v>2804</v>
      </c>
      <c r="AG654" t="s">
        <v>2811</v>
      </c>
    </row>
    <row r="655" spans="1:33">
      <c r="A655" t="s">
        <v>1161</v>
      </c>
      <c r="B655" s="4">
        <v>45884</v>
      </c>
      <c r="C655" s="4">
        <v>45886</v>
      </c>
      <c r="D655">
        <f>_xlfn.DAYS(C655,B655)</f>
        <v>2</v>
      </c>
      <c r="E655" t="s">
        <v>2804</v>
      </c>
      <c r="F655" t="s">
        <v>1162</v>
      </c>
      <c r="G655" t="s">
        <v>162</v>
      </c>
      <c r="H655" t="s">
        <v>37</v>
      </c>
      <c r="I655" t="s">
        <v>38</v>
      </c>
      <c r="J655" t="s">
        <v>166</v>
      </c>
      <c r="K655" t="s">
        <v>167</v>
      </c>
      <c r="L655" t="s">
        <v>74</v>
      </c>
      <c r="M655" t="s">
        <v>80</v>
      </c>
      <c r="N655" t="s">
        <v>1163</v>
      </c>
      <c r="O655" t="s">
        <v>50</v>
      </c>
      <c r="P655">
        <v>5</v>
      </c>
      <c r="Q655">
        <v>2862.6</v>
      </c>
      <c r="R655">
        <v>0.25</v>
      </c>
      <c r="S655">
        <f>IF(ISNUMBER(SEARCH("%",R655)), VALUE(SUBSTITUTE(R655,"%",""))/100,IF(ISNUMBER(R655), R655, 0))</f>
        <v>0.25</v>
      </c>
      <c r="T655" t="str">
        <f>IF(S655&lt;0,"Negative discount (invalid)",IF(S655&gt;0.5,"Discount above allowed range (invalid)",IF(AND(R655="",S655=0),"Missing discount set to 0","OK")))</f>
        <v>OK</v>
      </c>
      <c r="U655">
        <v>10734.75</v>
      </c>
      <c r="V655">
        <v>6475.73</v>
      </c>
      <c r="W655">
        <v>4259.0200000000004</v>
      </c>
      <c r="X655" t="s">
        <v>32</v>
      </c>
      <c r="Y655" t="s">
        <v>33</v>
      </c>
      <c r="Z655">
        <f>IF(T655="OK",P655*Q655*(1-S655),"invalid")</f>
        <v>10734.75</v>
      </c>
      <c r="AA655">
        <f>IF(Z655="N/A","N/A",Z655-V655)</f>
        <v>4259.0200000000004</v>
      </c>
      <c r="AB655" s="8">
        <f>IF(Z655&lt;&gt;"N/A", AA655/Z655, "N/A")</f>
        <v>0.39675073942103917</v>
      </c>
      <c r="AC655">
        <f>MONTH(B655)</f>
        <v>8</v>
      </c>
      <c r="AD655">
        <f>YEAR(B655)</f>
        <v>2025</v>
      </c>
      <c r="AE655" s="10">
        <f t="shared" si="10"/>
        <v>0</v>
      </c>
      <c r="AF655" t="s">
        <v>2804</v>
      </c>
      <c r="AG655" t="s">
        <v>2811</v>
      </c>
    </row>
    <row r="656" spans="1:33">
      <c r="A656" t="s">
        <v>1164</v>
      </c>
      <c r="B656" s="4">
        <v>45709</v>
      </c>
      <c r="C656" s="4">
        <v>45715</v>
      </c>
      <c r="D656">
        <f>_xlfn.DAYS(C656,B656)</f>
        <v>6</v>
      </c>
      <c r="E656" t="s">
        <v>2804</v>
      </c>
      <c r="F656" t="s">
        <v>1165</v>
      </c>
      <c r="G656" t="s">
        <v>62</v>
      </c>
      <c r="H656" t="s">
        <v>24</v>
      </c>
      <c r="I656" t="s">
        <v>25</v>
      </c>
      <c r="J656" t="s">
        <v>26</v>
      </c>
      <c r="K656" t="s">
        <v>27</v>
      </c>
      <c r="L656" t="s">
        <v>28</v>
      </c>
      <c r="M656" t="s">
        <v>48</v>
      </c>
      <c r="N656" t="s">
        <v>1166</v>
      </c>
      <c r="O656" t="s">
        <v>44</v>
      </c>
      <c r="P656">
        <v>9</v>
      </c>
      <c r="Q656">
        <v>1431.67</v>
      </c>
      <c r="R656">
        <v>0.2</v>
      </c>
      <c r="S656">
        <f>IF(ISNUMBER(SEARCH("%",R656)), VALUE(SUBSTITUTE(R656,"%",""))/100,IF(ISNUMBER(R656), R656, 0))</f>
        <v>0.2</v>
      </c>
      <c r="T656" t="str">
        <f>IF(S656&lt;0,"Negative discount (invalid)",IF(S656&gt;0.5,"Discount above allowed range (invalid)",IF(AND(R656="",S656=0),"Missing discount set to 0","OK")))</f>
        <v>OK</v>
      </c>
      <c r="U656">
        <v>10308.02</v>
      </c>
      <c r="V656">
        <v>5822.31</v>
      </c>
      <c r="W656">
        <v>4485.71</v>
      </c>
      <c r="X656" t="s">
        <v>32</v>
      </c>
      <c r="Y656" t="s">
        <v>33</v>
      </c>
      <c r="Z656">
        <f>IF(T656="OK",P656*Q656*(1-S656),"invalid")</f>
        <v>10308.024000000001</v>
      </c>
      <c r="AA656">
        <f>IF(Z656="N/A","N/A",Z656-V656)</f>
        <v>4485.7140000000009</v>
      </c>
      <c r="AB656" s="8">
        <f>IF(Z656&lt;&gt;"N/A", AA656/Z656, "N/A")</f>
        <v>0.4351672056642476</v>
      </c>
      <c r="AC656">
        <f>MONTH(B656)</f>
        <v>2</v>
      </c>
      <c r="AD656">
        <f>YEAR(B656)</f>
        <v>2025</v>
      </c>
      <c r="AE656" s="10">
        <f t="shared" si="10"/>
        <v>4.0000000008149073E-3</v>
      </c>
      <c r="AF656" t="s">
        <v>2804</v>
      </c>
      <c r="AG656" t="s">
        <v>2811</v>
      </c>
    </row>
    <row r="657" spans="1:33">
      <c r="A657" t="s">
        <v>1173</v>
      </c>
      <c r="B657" s="4">
        <v>45835</v>
      </c>
      <c r="C657" s="4">
        <v>45837</v>
      </c>
      <c r="D657">
        <f>_xlfn.DAYS(C657,B657)</f>
        <v>2</v>
      </c>
      <c r="E657" t="s">
        <v>2804</v>
      </c>
      <c r="F657" t="s">
        <v>1174</v>
      </c>
      <c r="G657" t="s">
        <v>141</v>
      </c>
      <c r="H657" t="s">
        <v>95</v>
      </c>
      <c r="I657" t="s">
        <v>54</v>
      </c>
      <c r="J657" t="s">
        <v>55</v>
      </c>
      <c r="K657" t="s">
        <v>56</v>
      </c>
      <c r="L657" t="s">
        <v>41</v>
      </c>
      <c r="M657" t="s">
        <v>66</v>
      </c>
      <c r="N657" t="s">
        <v>1175</v>
      </c>
      <c r="O657" t="s">
        <v>50</v>
      </c>
      <c r="P657">
        <v>5</v>
      </c>
      <c r="Q657">
        <v>621.70000000000005</v>
      </c>
      <c r="R657">
        <v>0.2</v>
      </c>
      <c r="S657">
        <f>IF(ISNUMBER(SEARCH("%",R657)), VALUE(SUBSTITUTE(R657,"%",""))/100,IF(ISNUMBER(R657), R657, 0))</f>
        <v>0.2</v>
      </c>
      <c r="T657" t="str">
        <f>IF(S657&lt;0,"Negative discount (invalid)",IF(S657&gt;0.5,"Discount above allowed range (invalid)",IF(AND(R657="",S657=0),"Missing discount set to 0","OK")))</f>
        <v>OK</v>
      </c>
      <c r="U657">
        <v>2486.8000000000002</v>
      </c>
      <c r="V657">
        <v>2131.73</v>
      </c>
      <c r="W657">
        <v>355.07</v>
      </c>
      <c r="X657" t="s">
        <v>111</v>
      </c>
      <c r="Y657" t="s">
        <v>103</v>
      </c>
      <c r="Z657">
        <f>IF(T657="OK",P657*Q657*(1-S657),"invalid")</f>
        <v>2486.8000000000002</v>
      </c>
      <c r="AA657">
        <f>IF(Z657="N/A","N/A",Z657-V657)</f>
        <v>355.07000000000016</v>
      </c>
      <c r="AB657" s="8">
        <f>IF(Z657&lt;&gt;"N/A", AA657/Z657, "N/A")</f>
        <v>0.1427818883705968</v>
      </c>
      <c r="AC657">
        <f>MONTH(B657)</f>
        <v>6</v>
      </c>
      <c r="AD657">
        <f>YEAR(B657)</f>
        <v>2025</v>
      </c>
      <c r="AE657" s="10">
        <f t="shared" si="10"/>
        <v>0</v>
      </c>
      <c r="AF657" t="s">
        <v>2804</v>
      </c>
      <c r="AG657" t="s">
        <v>2811</v>
      </c>
    </row>
    <row r="658" spans="1:33">
      <c r="A658" t="s">
        <v>1176</v>
      </c>
      <c r="B658" s="4">
        <v>45678</v>
      </c>
      <c r="C658" s="4">
        <v>45686</v>
      </c>
      <c r="D658">
        <f>_xlfn.DAYS(C658,B658)</f>
        <v>8</v>
      </c>
      <c r="E658" t="s">
        <v>2804</v>
      </c>
      <c r="F658" t="s">
        <v>1177</v>
      </c>
      <c r="G658" t="s">
        <v>36</v>
      </c>
      <c r="H658" t="s">
        <v>95</v>
      </c>
      <c r="I658" t="s">
        <v>54</v>
      </c>
      <c r="J658" t="s">
        <v>84</v>
      </c>
      <c r="K658" t="s">
        <v>85</v>
      </c>
      <c r="L658" t="s">
        <v>74</v>
      </c>
      <c r="M658" t="s">
        <v>274</v>
      </c>
      <c r="N658" t="s">
        <v>1178</v>
      </c>
      <c r="O658" t="s">
        <v>31</v>
      </c>
      <c r="P658">
        <v>8</v>
      </c>
      <c r="Q658">
        <v>546.13</v>
      </c>
      <c r="R658">
        <v>0</v>
      </c>
      <c r="S658">
        <f>IF(ISNUMBER(SEARCH("%",R658)), VALUE(SUBSTITUTE(R658,"%",""))/100,IF(ISNUMBER(R658), R658, 0))</f>
        <v>0</v>
      </c>
      <c r="T658" t="str">
        <f>IF(S658&lt;0,"Negative discount (invalid)",IF(S658&gt;0.5,"Discount above allowed range (invalid)",IF(AND(R658="",S658=0),"Missing discount set to 0","OK")))</f>
        <v>OK</v>
      </c>
      <c r="U658">
        <v>4369.04</v>
      </c>
      <c r="V658">
        <v>3716.88</v>
      </c>
      <c r="W658">
        <v>652.16</v>
      </c>
      <c r="X658" t="s">
        <v>32</v>
      </c>
      <c r="Y658" t="s">
        <v>68</v>
      </c>
      <c r="Z658">
        <f>IF(T658="OK",P658*Q658*(1-S658),"invalid")</f>
        <v>4369.04</v>
      </c>
      <c r="AA658">
        <f>IF(Z658="N/A","N/A",Z658-V658)</f>
        <v>652.15999999999985</v>
      </c>
      <c r="AB658" s="8">
        <f>IF(Z658&lt;&gt;"N/A", AA658/Z658, "N/A")</f>
        <v>0.14926848918755603</v>
      </c>
      <c r="AC658">
        <f>MONTH(B658)</f>
        <v>1</v>
      </c>
      <c r="AD658">
        <f>YEAR(B658)</f>
        <v>2025</v>
      </c>
      <c r="AE658" s="10">
        <f t="shared" si="10"/>
        <v>0</v>
      </c>
      <c r="AF658" t="s">
        <v>2804</v>
      </c>
      <c r="AG658" t="s">
        <v>2811</v>
      </c>
    </row>
    <row r="659" spans="1:33">
      <c r="A659" t="s">
        <v>1179</v>
      </c>
      <c r="B659" s="4">
        <v>45878</v>
      </c>
      <c r="C659" s="4">
        <v>45876</v>
      </c>
      <c r="D659">
        <f>_xlfn.DAYS(C659,B659)</f>
        <v>-2</v>
      </c>
      <c r="E659" t="str">
        <f>IF(B659="INVALID","Missing/Invalid order_date", IF(C659="INVALID","Missing/Invalid ship_date",IF(AND(B659&lt;&gt;"",C659&lt;&gt;"",C659&lt;B659),"Ship date before order date","")))</f>
        <v>Ship date before order date</v>
      </c>
      <c r="F659" t="s">
        <v>1180</v>
      </c>
      <c r="G659" t="s">
        <v>71</v>
      </c>
      <c r="H659" t="s">
        <v>95</v>
      </c>
      <c r="I659" t="s">
        <v>63</v>
      </c>
      <c r="J659" t="s">
        <v>180</v>
      </c>
      <c r="K659" t="s">
        <v>181</v>
      </c>
      <c r="L659" t="s">
        <v>41</v>
      </c>
      <c r="M659" t="s">
        <v>158</v>
      </c>
      <c r="N659" t="s">
        <v>1181</v>
      </c>
      <c r="O659" t="s">
        <v>31</v>
      </c>
      <c r="P659">
        <v>5</v>
      </c>
      <c r="Q659">
        <v>1253.92</v>
      </c>
      <c r="R659">
        <v>0.05</v>
      </c>
      <c r="S659">
        <f>IF(ISNUMBER(SEARCH("%",R659)), VALUE(SUBSTITUTE(R659,"%",""))/100,IF(ISNUMBER(R659), R659, 0))</f>
        <v>0.05</v>
      </c>
      <c r="T659" t="str">
        <f>IF(S659&lt;0,"Negative discount (invalid)",IF(S659&gt;0.5,"Discount above allowed range (invalid)",IF(AND(R659="",S659=0),"Missing discount set to 0","OK")))</f>
        <v>OK</v>
      </c>
      <c r="U659">
        <v>5956.12</v>
      </c>
      <c r="V659">
        <v>4379.18</v>
      </c>
      <c r="W659">
        <v>1576.94</v>
      </c>
      <c r="X659" t="s">
        <v>111</v>
      </c>
      <c r="Y659" t="s">
        <v>103</v>
      </c>
      <c r="Z659">
        <f>IF(T659="OK",P659*Q659*(1-S659),"invalid")</f>
        <v>5956.12</v>
      </c>
      <c r="AA659">
        <f>IF(Z659="N/A","N/A",Z659-V659)</f>
        <v>1576.9399999999996</v>
      </c>
      <c r="AB659" s="8">
        <f>IF(Z659&lt;&gt;"N/A", AA659/Z659, "N/A")</f>
        <v>0.26475960860425907</v>
      </c>
      <c r="AC659">
        <f>MONTH(B659)</f>
        <v>8</v>
      </c>
      <c r="AD659">
        <f>YEAR(B659)</f>
        <v>2025</v>
      </c>
      <c r="AE659" s="10">
        <f t="shared" si="10"/>
        <v>0</v>
      </c>
      <c r="AF659" t="s">
        <v>2806</v>
      </c>
      <c r="AG659" t="s">
        <v>2789</v>
      </c>
    </row>
    <row r="660" spans="1:33">
      <c r="A660" t="s">
        <v>1188</v>
      </c>
      <c r="B660" s="4">
        <v>45748</v>
      </c>
      <c r="C660" s="4">
        <v>45749</v>
      </c>
      <c r="D660">
        <f>_xlfn.DAYS(C660,B660)</f>
        <v>1</v>
      </c>
      <c r="E660" t="s">
        <v>2804</v>
      </c>
      <c r="F660" t="s">
        <v>1189</v>
      </c>
      <c r="G660" t="s">
        <v>141</v>
      </c>
      <c r="H660" t="s">
        <v>90</v>
      </c>
      <c r="I660" t="s">
        <v>38</v>
      </c>
      <c r="J660" t="s">
        <v>39</v>
      </c>
      <c r="K660" t="s">
        <v>40</v>
      </c>
      <c r="L660" t="s">
        <v>41</v>
      </c>
      <c r="M660" t="s">
        <v>66</v>
      </c>
      <c r="N660" t="s">
        <v>1190</v>
      </c>
      <c r="O660" t="s">
        <v>31</v>
      </c>
      <c r="P660">
        <v>9</v>
      </c>
      <c r="Q660">
        <v>4165.58</v>
      </c>
      <c r="R660">
        <v>0.05</v>
      </c>
      <c r="S660">
        <f>IF(ISNUMBER(SEARCH("%",R660)), VALUE(SUBSTITUTE(R660,"%",""))/100,IF(ISNUMBER(R660), R660, 0))</f>
        <v>0.05</v>
      </c>
      <c r="T660" t="str">
        <f>IF(S660&lt;0,"Negative discount (invalid)",IF(S660&gt;0.5,"Discount above allowed range (invalid)",IF(AND(R660="",S660=0),"Missing discount set to 0","OK")))</f>
        <v>OK</v>
      </c>
      <c r="U660">
        <v>35615.71</v>
      </c>
      <c r="V660">
        <v>20389.71</v>
      </c>
      <c r="W660">
        <v>15226</v>
      </c>
      <c r="X660" t="s">
        <v>111</v>
      </c>
      <c r="Y660" t="s">
        <v>103</v>
      </c>
      <c r="Z660">
        <f>IF(T660="OK",P660*Q660*(1-S660),"invalid")</f>
        <v>35615.709000000003</v>
      </c>
      <c r="AA660">
        <f>IF(Z660="N/A","N/A",Z660-V660)</f>
        <v>15225.999000000003</v>
      </c>
      <c r="AB660" s="8">
        <f>IF(Z660&lt;&gt;"N/A", AA660/Z660, "N/A")</f>
        <v>0.42750795723314122</v>
      </c>
      <c r="AC660">
        <f>MONTH(B660)</f>
        <v>4</v>
      </c>
      <c r="AD660">
        <f>YEAR(B660)</f>
        <v>2025</v>
      </c>
      <c r="AE660" s="10">
        <f t="shared" si="10"/>
        <v>9.9999999656574801E-4</v>
      </c>
      <c r="AF660" t="s">
        <v>2804</v>
      </c>
      <c r="AG660" t="s">
        <v>2811</v>
      </c>
    </row>
    <row r="661" spans="1:33">
      <c r="A661" t="s">
        <v>1194</v>
      </c>
      <c r="B661" s="4">
        <v>45845</v>
      </c>
      <c r="C661" s="4">
        <v>45850</v>
      </c>
      <c r="D661">
        <f>_xlfn.DAYS(C661,B661)</f>
        <v>5</v>
      </c>
      <c r="E661" t="s">
        <v>2804</v>
      </c>
      <c r="F661" t="s">
        <v>1195</v>
      </c>
      <c r="G661" t="s">
        <v>162</v>
      </c>
      <c r="H661" t="s">
        <v>90</v>
      </c>
      <c r="I661" t="s">
        <v>38</v>
      </c>
      <c r="J661" t="s">
        <v>99</v>
      </c>
      <c r="K661" t="s">
        <v>100</v>
      </c>
      <c r="L661" t="s">
        <v>41</v>
      </c>
      <c r="M661" t="s">
        <v>42</v>
      </c>
      <c r="N661" t="s">
        <v>1196</v>
      </c>
      <c r="O661" t="s">
        <v>31</v>
      </c>
      <c r="P661">
        <v>5</v>
      </c>
      <c r="Q661">
        <v>1831.37</v>
      </c>
      <c r="R661">
        <v>0.25</v>
      </c>
      <c r="S661">
        <f>IF(ISNUMBER(SEARCH("%",R661)), VALUE(SUBSTITUTE(R661,"%",""))/100,IF(ISNUMBER(R661), R661, 0))</f>
        <v>0.25</v>
      </c>
      <c r="T661" t="str">
        <f>IF(S661&lt;0,"Negative discount (invalid)",IF(S661&gt;0.5,"Discount above allowed range (invalid)",IF(AND(R661="",S661=0),"Missing discount set to 0","OK")))</f>
        <v>OK</v>
      </c>
      <c r="U661">
        <v>6867.64</v>
      </c>
      <c r="V661">
        <v>5205.3599999999997</v>
      </c>
      <c r="W661">
        <v>1662.28</v>
      </c>
      <c r="X661" t="s">
        <v>32</v>
      </c>
      <c r="Y661" t="s">
        <v>33</v>
      </c>
      <c r="Z661">
        <f>IF(T661="OK",P661*Q661*(1-S661),"invalid")</f>
        <v>6867.6374999999989</v>
      </c>
      <c r="AA661">
        <f>IF(Z661="N/A","N/A",Z661-V661)</f>
        <v>1662.2774999999992</v>
      </c>
      <c r="AB661" s="8">
        <f>IF(Z661&lt;&gt;"N/A", AA661/Z661, "N/A")</f>
        <v>0.24204502640100028</v>
      </c>
      <c r="AC661">
        <f>MONTH(B661)</f>
        <v>7</v>
      </c>
      <c r="AD661">
        <f>YEAR(B661)</f>
        <v>2025</v>
      </c>
      <c r="AE661" s="10">
        <f t="shared" si="10"/>
        <v>2.5000000014188117E-3</v>
      </c>
      <c r="AF661" t="s">
        <v>2804</v>
      </c>
      <c r="AG661" t="s">
        <v>2811</v>
      </c>
    </row>
    <row r="662" spans="1:33">
      <c r="A662" t="s">
        <v>1197</v>
      </c>
      <c r="B662" s="4">
        <v>45737</v>
      </c>
      <c r="C662" s="4">
        <v>45740</v>
      </c>
      <c r="D662">
        <f>_xlfn.DAYS(C662,B662)</f>
        <v>3</v>
      </c>
      <c r="E662" t="s">
        <v>2804</v>
      </c>
      <c r="F662" t="s">
        <v>1198</v>
      </c>
      <c r="G662" t="s">
        <v>128</v>
      </c>
      <c r="H662" t="s">
        <v>37</v>
      </c>
      <c r="I662" t="s">
        <v>54</v>
      </c>
      <c r="J662" t="s">
        <v>84</v>
      </c>
      <c r="K662" t="s">
        <v>85</v>
      </c>
      <c r="L662" t="s">
        <v>41</v>
      </c>
      <c r="M662" t="s">
        <v>66</v>
      </c>
      <c r="N662" t="s">
        <v>1199</v>
      </c>
      <c r="O662" t="s">
        <v>31</v>
      </c>
      <c r="P662">
        <v>5</v>
      </c>
      <c r="Q662">
        <v>1239.1500000000001</v>
      </c>
      <c r="R662">
        <v>0</v>
      </c>
      <c r="S662">
        <f>IF(ISNUMBER(SEARCH("%",R662)), VALUE(SUBSTITUTE(R662,"%",""))/100,IF(ISNUMBER(R662), R662, 0))</f>
        <v>0</v>
      </c>
      <c r="T662" t="str">
        <f>IF(S662&lt;0,"Negative discount (invalid)",IF(S662&gt;0.5,"Discount above allowed range (invalid)",IF(AND(R662="",S662=0),"Missing discount set to 0","OK")))</f>
        <v>OK</v>
      </c>
      <c r="U662">
        <v>6195.75</v>
      </c>
      <c r="V662">
        <v>3967.02</v>
      </c>
      <c r="W662">
        <v>2228.73</v>
      </c>
      <c r="X662" t="s">
        <v>32</v>
      </c>
      <c r="Y662" t="s">
        <v>33</v>
      </c>
      <c r="Z662">
        <f>IF(T662="OK",P662*Q662*(1-S662),"invalid")</f>
        <v>6195.75</v>
      </c>
      <c r="AA662">
        <f>IF(Z662="N/A","N/A",Z662-V662)</f>
        <v>2228.73</v>
      </c>
      <c r="AB662" s="8">
        <f>IF(Z662&lt;&gt;"N/A", AA662/Z662, "N/A")</f>
        <v>0.35971916232901585</v>
      </c>
      <c r="AC662">
        <f>MONTH(B662)</f>
        <v>3</v>
      </c>
      <c r="AD662">
        <f>YEAR(B662)</f>
        <v>2025</v>
      </c>
      <c r="AE662" s="10">
        <f t="shared" si="10"/>
        <v>0</v>
      </c>
      <c r="AF662" t="s">
        <v>2804</v>
      </c>
      <c r="AG662" t="s">
        <v>2811</v>
      </c>
    </row>
    <row r="663" spans="1:33">
      <c r="A663" t="s">
        <v>1203</v>
      </c>
      <c r="B663" s="4">
        <v>45673</v>
      </c>
      <c r="C663" s="4">
        <v>45679</v>
      </c>
      <c r="D663">
        <f>_xlfn.DAYS(C663,B663)</f>
        <v>6</v>
      </c>
      <c r="E663" t="s">
        <v>2804</v>
      </c>
      <c r="F663" t="s">
        <v>1204</v>
      </c>
      <c r="G663" t="s">
        <v>132</v>
      </c>
      <c r="H663" t="s">
        <v>90</v>
      </c>
      <c r="I663" t="s">
        <v>25</v>
      </c>
      <c r="J663" t="s">
        <v>26</v>
      </c>
      <c r="K663" t="s">
        <v>27</v>
      </c>
      <c r="L663" t="s">
        <v>41</v>
      </c>
      <c r="M663" t="s">
        <v>42</v>
      </c>
      <c r="N663" t="s">
        <v>1205</v>
      </c>
      <c r="O663" t="s">
        <v>44</v>
      </c>
      <c r="P663">
        <v>2</v>
      </c>
      <c r="Q663">
        <v>4418.28</v>
      </c>
      <c r="R663">
        <v>0</v>
      </c>
      <c r="S663">
        <f>IF(ISNUMBER(SEARCH("%",R663)), VALUE(SUBSTITUTE(R663,"%",""))/100,IF(ISNUMBER(R663), R663, 0))</f>
        <v>0</v>
      </c>
      <c r="T663" t="str">
        <f>IF(S663&lt;0,"Negative discount (invalid)",IF(S663&gt;0.5,"Discount above allowed range (invalid)",IF(AND(R663="",S663=0),"Missing discount set to 0","OK")))</f>
        <v>OK</v>
      </c>
      <c r="U663">
        <v>8836.56</v>
      </c>
      <c r="V663">
        <v>5867.75</v>
      </c>
      <c r="W663">
        <v>2968.81</v>
      </c>
      <c r="X663" t="s">
        <v>32</v>
      </c>
      <c r="Y663" t="s">
        <v>33</v>
      </c>
      <c r="Z663">
        <f>IF(T663="OK",P663*Q663*(1-S663),"invalid")</f>
        <v>8836.56</v>
      </c>
      <c r="AA663">
        <f>IF(Z663="N/A","N/A",Z663-V663)</f>
        <v>2968.8099999999995</v>
      </c>
      <c r="AB663" s="8">
        <f>IF(Z663&lt;&gt;"N/A", AA663/Z663, "N/A")</f>
        <v>0.33596897435201023</v>
      </c>
      <c r="AC663">
        <f>MONTH(B663)</f>
        <v>1</v>
      </c>
      <c r="AD663">
        <f>YEAR(B663)</f>
        <v>2025</v>
      </c>
      <c r="AE663" s="10">
        <f t="shared" si="10"/>
        <v>0</v>
      </c>
      <c r="AF663" t="s">
        <v>2804</v>
      </c>
      <c r="AG663" t="s">
        <v>2811</v>
      </c>
    </row>
    <row r="664" spans="1:33">
      <c r="A664" t="s">
        <v>1209</v>
      </c>
      <c r="B664" s="4">
        <v>45844</v>
      </c>
      <c r="C664" s="4">
        <v>45844</v>
      </c>
      <c r="D664">
        <f>_xlfn.DAYS(C664,B664)</f>
        <v>0</v>
      </c>
      <c r="E664" t="s">
        <v>2804</v>
      </c>
      <c r="F664" t="s">
        <v>1210</v>
      </c>
      <c r="G664" t="s">
        <v>128</v>
      </c>
      <c r="H664" t="s">
        <v>95</v>
      </c>
      <c r="I664" t="s">
        <v>25</v>
      </c>
      <c r="J664" t="s">
        <v>26</v>
      </c>
      <c r="K664" t="s">
        <v>27</v>
      </c>
      <c r="L664" t="s">
        <v>74</v>
      </c>
      <c r="M664" t="s">
        <v>75</v>
      </c>
      <c r="N664" t="s">
        <v>1211</v>
      </c>
      <c r="O664" t="s">
        <v>44</v>
      </c>
      <c r="P664">
        <v>9</v>
      </c>
      <c r="Q664">
        <v>243.19</v>
      </c>
      <c r="R664">
        <v>0.05</v>
      </c>
      <c r="S664">
        <f>IF(ISNUMBER(SEARCH("%",R664)), VALUE(SUBSTITUTE(R664,"%",""))/100,IF(ISNUMBER(R664), R664, 0))</f>
        <v>0.05</v>
      </c>
      <c r="T664" t="str">
        <f>IF(S664&lt;0,"Negative discount (invalid)",IF(S664&gt;0.5,"Discount above allowed range (invalid)",IF(AND(R664="",S664=0),"Missing discount set to 0","OK")))</f>
        <v>OK</v>
      </c>
      <c r="U664">
        <v>2079.27</v>
      </c>
      <c r="V664">
        <v>1512.17</v>
      </c>
      <c r="W664">
        <v>567.1</v>
      </c>
      <c r="X664" t="s">
        <v>102</v>
      </c>
      <c r="Y664" t="s">
        <v>103</v>
      </c>
      <c r="Z664">
        <f>IF(T664="OK",P664*Q664*(1-S664),"invalid")</f>
        <v>2079.2745</v>
      </c>
      <c r="AA664">
        <f>IF(Z664="N/A","N/A",Z664-V664)</f>
        <v>567.10449999999992</v>
      </c>
      <c r="AB664" s="8">
        <f>IF(Z664&lt;&gt;"N/A", AA664/Z664, "N/A")</f>
        <v>0.27274152595051782</v>
      </c>
      <c r="AC664">
        <f>MONTH(B664)</f>
        <v>7</v>
      </c>
      <c r="AD664">
        <f>YEAR(B664)</f>
        <v>2025</v>
      </c>
      <c r="AE664" s="10">
        <f t="shared" si="10"/>
        <v>4.500000000007276E-3</v>
      </c>
      <c r="AF664" t="s">
        <v>2804</v>
      </c>
      <c r="AG664" t="s">
        <v>2811</v>
      </c>
    </row>
    <row r="665" spans="1:33">
      <c r="A665" t="s">
        <v>1212</v>
      </c>
      <c r="B665" s="4">
        <v>45680</v>
      </c>
      <c r="C665" s="4">
        <v>45687</v>
      </c>
      <c r="D665">
        <f>_xlfn.DAYS(C665,B665)</f>
        <v>7</v>
      </c>
      <c r="E665" t="s">
        <v>2804</v>
      </c>
      <c r="F665" t="s">
        <v>1213</v>
      </c>
      <c r="G665" t="s">
        <v>114</v>
      </c>
      <c r="H665" t="s">
        <v>24</v>
      </c>
      <c r="I665" t="s">
        <v>25</v>
      </c>
      <c r="J665" t="s">
        <v>350</v>
      </c>
      <c r="K665" t="s">
        <v>351</v>
      </c>
      <c r="L665" t="s">
        <v>28</v>
      </c>
      <c r="M665" t="s">
        <v>91</v>
      </c>
      <c r="N665" t="s">
        <v>1214</v>
      </c>
      <c r="O665" t="s">
        <v>59</v>
      </c>
      <c r="P665">
        <v>9</v>
      </c>
      <c r="Q665">
        <v>1169.3699999999999</v>
      </c>
      <c r="R665">
        <v>0.15</v>
      </c>
      <c r="S665">
        <f>IF(ISNUMBER(SEARCH("%",R665)), VALUE(SUBSTITUTE(R665,"%",""))/100,IF(ISNUMBER(R665), R665, 0))</f>
        <v>0.15</v>
      </c>
      <c r="T665" t="str">
        <f>IF(S665&lt;0,"Negative discount (invalid)",IF(S665&gt;0.5,"Discount above allowed range (invalid)",IF(AND(R665="",S665=0),"Missing discount set to 0","OK")))</f>
        <v>OK</v>
      </c>
      <c r="U665">
        <v>8945.68</v>
      </c>
      <c r="V665">
        <v>6740.35</v>
      </c>
      <c r="W665">
        <v>2205.33</v>
      </c>
      <c r="X665" t="s">
        <v>32</v>
      </c>
      <c r="Y665" t="s">
        <v>33</v>
      </c>
      <c r="Z665">
        <f>IF(T665="OK",P665*Q665*(1-S665),"invalid")</f>
        <v>8945.6804999999986</v>
      </c>
      <c r="AA665">
        <f>IF(Z665="N/A","N/A",Z665-V665)</f>
        <v>2205.3304999999982</v>
      </c>
      <c r="AB665" s="8">
        <f>IF(Z665&lt;&gt;"N/A", AA665/Z665, "N/A")</f>
        <v>0.24652462157574245</v>
      </c>
      <c r="AC665">
        <f>MONTH(B665)</f>
        <v>1</v>
      </c>
      <c r="AD665">
        <f>YEAR(B665)</f>
        <v>2025</v>
      </c>
      <c r="AE665" s="10">
        <f t="shared" si="10"/>
        <v>4.99999998282874E-4</v>
      </c>
      <c r="AF665" t="s">
        <v>2804</v>
      </c>
      <c r="AG665" t="s">
        <v>2811</v>
      </c>
    </row>
    <row r="666" spans="1:33">
      <c r="A666" t="s">
        <v>1221</v>
      </c>
      <c r="B666" s="4">
        <v>45885</v>
      </c>
      <c r="C666" s="4">
        <v>45887</v>
      </c>
      <c r="D666">
        <f>_xlfn.DAYS(C666,B666)</f>
        <v>2</v>
      </c>
      <c r="E666" t="s">
        <v>2804</v>
      </c>
      <c r="F666" t="s">
        <v>642</v>
      </c>
      <c r="G666" t="s">
        <v>264</v>
      </c>
      <c r="H666" t="s">
        <v>24</v>
      </c>
      <c r="I666" t="s">
        <v>38</v>
      </c>
      <c r="J666" t="s">
        <v>228</v>
      </c>
      <c r="K666" t="s">
        <v>229</v>
      </c>
      <c r="L666" t="s">
        <v>41</v>
      </c>
      <c r="M666" t="s">
        <v>66</v>
      </c>
      <c r="N666" t="s">
        <v>1222</v>
      </c>
      <c r="O666" t="s">
        <v>44</v>
      </c>
      <c r="P666">
        <v>5</v>
      </c>
      <c r="Q666">
        <v>1530.36</v>
      </c>
      <c r="R666">
        <v>0</v>
      </c>
      <c r="S666">
        <f>IF(ISNUMBER(SEARCH("%",R666)), VALUE(SUBSTITUTE(R666,"%",""))/100,IF(ISNUMBER(R666), R666, 0))</f>
        <v>0</v>
      </c>
      <c r="T666" t="str">
        <f>IF(S666&lt;0,"Negative discount (invalid)",IF(S666&gt;0.5,"Discount above allowed range (invalid)",IF(AND(R666="",S666=0),"Missing discount set to 0","OK")))</f>
        <v>OK</v>
      </c>
      <c r="U666">
        <v>7651.8</v>
      </c>
      <c r="V666">
        <v>5171.78</v>
      </c>
      <c r="W666">
        <v>2480.02</v>
      </c>
      <c r="X666" t="s">
        <v>32</v>
      </c>
      <c r="Y666" t="s">
        <v>33</v>
      </c>
      <c r="Z666">
        <f>IF(T666="OK",P666*Q666*(1-S666),"invalid")</f>
        <v>7651.7999999999993</v>
      </c>
      <c r="AA666">
        <f>IF(Z666="N/A","N/A",Z666-V666)</f>
        <v>2480.0199999999995</v>
      </c>
      <c r="AB666" s="8">
        <f>IF(Z666&lt;&gt;"N/A", AA666/Z666, "N/A")</f>
        <v>0.32410935988917638</v>
      </c>
      <c r="AC666">
        <f>MONTH(B666)</f>
        <v>8</v>
      </c>
      <c r="AD666">
        <f>YEAR(B666)</f>
        <v>2025</v>
      </c>
      <c r="AE666" s="10">
        <f t="shared" si="10"/>
        <v>9.0949470177292824E-13</v>
      </c>
      <c r="AF666" t="s">
        <v>2804</v>
      </c>
      <c r="AG666" t="s">
        <v>2811</v>
      </c>
    </row>
    <row r="667" spans="1:33">
      <c r="A667" t="s">
        <v>1223</v>
      </c>
      <c r="B667" s="4">
        <v>45760</v>
      </c>
      <c r="C667" s="4">
        <v>45760</v>
      </c>
      <c r="D667">
        <f>_xlfn.DAYS(C667,B667)</f>
        <v>0</v>
      </c>
      <c r="E667" t="s">
        <v>2804</v>
      </c>
      <c r="F667" t="s">
        <v>1224</v>
      </c>
      <c r="G667" t="s">
        <v>132</v>
      </c>
      <c r="H667" t="s">
        <v>37</v>
      </c>
      <c r="I667" t="s">
        <v>25</v>
      </c>
      <c r="J667" t="s">
        <v>136</v>
      </c>
      <c r="K667" t="s">
        <v>137</v>
      </c>
      <c r="L667" t="s">
        <v>28</v>
      </c>
      <c r="M667" t="s">
        <v>124</v>
      </c>
      <c r="N667" t="s">
        <v>1225</v>
      </c>
      <c r="O667" t="s">
        <v>31</v>
      </c>
      <c r="P667">
        <v>9</v>
      </c>
      <c r="Q667">
        <v>1118.68</v>
      </c>
      <c r="R667">
        <v>0</v>
      </c>
      <c r="S667">
        <f>IF(ISNUMBER(SEARCH("%",R667)), VALUE(SUBSTITUTE(R667,"%",""))/100,IF(ISNUMBER(R667), R667, 0))</f>
        <v>0</v>
      </c>
      <c r="T667" t="str">
        <f>IF(S667&lt;0,"Negative discount (invalid)",IF(S667&gt;0.5,"Discount above allowed range (invalid)",IF(AND(R667="",S667=0),"Missing discount set to 0","OK")))</f>
        <v>OK</v>
      </c>
      <c r="U667">
        <v>10068.120000000001</v>
      </c>
      <c r="V667">
        <v>8595.3700000000008</v>
      </c>
      <c r="W667">
        <v>1472.75</v>
      </c>
      <c r="X667" t="s">
        <v>32</v>
      </c>
      <c r="Y667" t="s">
        <v>33</v>
      </c>
      <c r="Z667">
        <f>IF(T667="OK",P667*Q667*(1-S667),"invalid")</f>
        <v>10068.120000000001</v>
      </c>
      <c r="AA667">
        <f>IF(Z667="N/A","N/A",Z667-V667)</f>
        <v>1472.75</v>
      </c>
      <c r="AB667" s="8">
        <f>IF(Z667&lt;&gt;"N/A", AA667/Z667, "N/A")</f>
        <v>0.14627855051389932</v>
      </c>
      <c r="AC667">
        <f>MONTH(B667)</f>
        <v>4</v>
      </c>
      <c r="AD667">
        <f>YEAR(B667)</f>
        <v>2025</v>
      </c>
      <c r="AE667" s="10">
        <f t="shared" si="10"/>
        <v>0</v>
      </c>
      <c r="AF667" t="s">
        <v>2804</v>
      </c>
      <c r="AG667" t="s">
        <v>2811</v>
      </c>
    </row>
    <row r="668" spans="1:33">
      <c r="A668" t="s">
        <v>1223</v>
      </c>
      <c r="B668" s="4">
        <v>45760</v>
      </c>
      <c r="C668" s="4">
        <v>45760</v>
      </c>
      <c r="D668">
        <f>_xlfn.DAYS(C668,B668)</f>
        <v>0</v>
      </c>
      <c r="E668" t="s">
        <v>2804</v>
      </c>
      <c r="F668" t="s">
        <v>1224</v>
      </c>
      <c r="G668" t="s">
        <v>132</v>
      </c>
      <c r="H668" t="s">
        <v>37</v>
      </c>
      <c r="I668" t="s">
        <v>25</v>
      </c>
      <c r="J668" t="s">
        <v>136</v>
      </c>
      <c r="K668" t="s">
        <v>137</v>
      </c>
      <c r="L668" t="s">
        <v>28</v>
      </c>
      <c r="M668" t="s">
        <v>124</v>
      </c>
      <c r="N668" t="s">
        <v>1225</v>
      </c>
      <c r="O668" t="s">
        <v>31</v>
      </c>
      <c r="P668">
        <v>9</v>
      </c>
      <c r="Q668">
        <v>1118.68</v>
      </c>
      <c r="R668">
        <v>0</v>
      </c>
      <c r="S668">
        <f>IF(ISNUMBER(SEARCH("%",R668)), VALUE(SUBSTITUTE(R668,"%",""))/100,IF(ISNUMBER(R668), R668, 0))</f>
        <v>0</v>
      </c>
      <c r="T668" t="str">
        <f>IF(S668&lt;0,"Negative discount (invalid)",IF(S668&gt;0.5,"Discount above allowed range (invalid)",IF(AND(R668="",S668=0),"Missing discount set to 0","OK")))</f>
        <v>OK</v>
      </c>
      <c r="U668">
        <v>10348.43</v>
      </c>
      <c r="V668">
        <v>8595.3700000000008</v>
      </c>
      <c r="W668">
        <v>1472.75</v>
      </c>
      <c r="X668" t="s">
        <v>32</v>
      </c>
      <c r="Y668" t="s">
        <v>103</v>
      </c>
      <c r="Z668">
        <f>IF(T668="OK",P668*Q668*(1-S668),"invalid")</f>
        <v>10068.120000000001</v>
      </c>
      <c r="AA668">
        <f>IF(Z668="N/A","N/A",Z668-V668)</f>
        <v>1472.75</v>
      </c>
      <c r="AB668" s="8">
        <f>IF(Z668&lt;&gt;"N/A", AA668/Z668, "N/A")</f>
        <v>0.14627855051389932</v>
      </c>
      <c r="AC668">
        <f>MONTH(B668)</f>
        <v>4</v>
      </c>
      <c r="AD668">
        <f>YEAR(B668)</f>
        <v>2025</v>
      </c>
      <c r="AE668" s="10">
        <f t="shared" si="10"/>
        <v>280.30999999999949</v>
      </c>
      <c r="AF668" t="s">
        <v>2807</v>
      </c>
      <c r="AG668" t="s">
        <v>2789</v>
      </c>
    </row>
    <row r="669" spans="1:33">
      <c r="A669" t="s">
        <v>1226</v>
      </c>
      <c r="B669" s="4">
        <v>45715</v>
      </c>
      <c r="C669" s="4">
        <v>45716</v>
      </c>
      <c r="D669">
        <f>_xlfn.DAYS(C669,B669)</f>
        <v>1</v>
      </c>
      <c r="E669" t="s">
        <v>2804</v>
      </c>
      <c r="F669" t="s">
        <v>1227</v>
      </c>
      <c r="G669" t="s">
        <v>89</v>
      </c>
      <c r="H669" t="s">
        <v>37</v>
      </c>
      <c r="I669" t="s">
        <v>25</v>
      </c>
      <c r="J669" t="s">
        <v>136</v>
      </c>
      <c r="K669" t="s">
        <v>137</v>
      </c>
      <c r="L669" t="s">
        <v>28</v>
      </c>
      <c r="M669" t="s">
        <v>91</v>
      </c>
      <c r="N669" t="s">
        <v>1228</v>
      </c>
      <c r="O669" t="s">
        <v>59</v>
      </c>
      <c r="P669">
        <v>6</v>
      </c>
      <c r="Q669">
        <v>2393.25</v>
      </c>
      <c r="R669">
        <v>0</v>
      </c>
      <c r="S669">
        <f>IF(ISNUMBER(SEARCH("%",R669)), VALUE(SUBSTITUTE(R669,"%",""))/100,IF(ISNUMBER(R669), R669, 0))</f>
        <v>0</v>
      </c>
      <c r="T669" t="str">
        <f>IF(S669&lt;0,"Negative discount (invalid)",IF(S669&gt;0.5,"Discount above allowed range (invalid)",IF(AND(R669="",S669=0),"Missing discount set to 0","OK")))</f>
        <v>OK</v>
      </c>
      <c r="U669">
        <v>14359.5</v>
      </c>
      <c r="V669">
        <v>8117.71</v>
      </c>
      <c r="W669">
        <v>6241.79</v>
      </c>
      <c r="X669" t="s">
        <v>32</v>
      </c>
      <c r="Y669" t="s">
        <v>33</v>
      </c>
      <c r="Z669">
        <f>IF(T669="OK",P669*Q669*(1-S669),"invalid")</f>
        <v>14359.5</v>
      </c>
      <c r="AA669">
        <f>IF(Z669="N/A","N/A",Z669-V669)</f>
        <v>6241.79</v>
      </c>
      <c r="AB669" s="8">
        <f>IF(Z669&lt;&gt;"N/A", AA669/Z669, "N/A")</f>
        <v>0.43468017688638183</v>
      </c>
      <c r="AC669">
        <f>MONTH(B669)</f>
        <v>2</v>
      </c>
      <c r="AD669">
        <f>YEAR(B669)</f>
        <v>2025</v>
      </c>
      <c r="AE669" s="10">
        <f t="shared" si="10"/>
        <v>0</v>
      </c>
      <c r="AF669" t="s">
        <v>2804</v>
      </c>
      <c r="AG669" t="s">
        <v>2811</v>
      </c>
    </row>
    <row r="670" spans="1:33">
      <c r="A670" t="s">
        <v>1235</v>
      </c>
      <c r="B670" s="4">
        <v>45801</v>
      </c>
      <c r="C670" s="4">
        <v>45807</v>
      </c>
      <c r="D670">
        <f>_xlfn.DAYS(C670,B670)</f>
        <v>6</v>
      </c>
      <c r="E670" t="s">
        <v>2804</v>
      </c>
      <c r="F670" t="s">
        <v>1236</v>
      </c>
      <c r="G670" t="s">
        <v>264</v>
      </c>
      <c r="H670" t="s">
        <v>37</v>
      </c>
      <c r="I670" t="s">
        <v>38</v>
      </c>
      <c r="J670" t="s">
        <v>39</v>
      </c>
      <c r="K670" t="s">
        <v>40</v>
      </c>
      <c r="L670" t="s">
        <v>28</v>
      </c>
      <c r="M670" t="s">
        <v>124</v>
      </c>
      <c r="N670" t="s">
        <v>1237</v>
      </c>
      <c r="O670" t="s">
        <v>44</v>
      </c>
      <c r="P670">
        <v>1</v>
      </c>
      <c r="Q670">
        <v>2564.7399999999998</v>
      </c>
      <c r="R670">
        <v>0</v>
      </c>
      <c r="S670">
        <f>IF(ISNUMBER(SEARCH("%",R670)), VALUE(SUBSTITUTE(R670,"%",""))/100,IF(ISNUMBER(R670), R670, 0))</f>
        <v>0</v>
      </c>
      <c r="T670" t="str">
        <f>IF(S670&lt;0,"Negative discount (invalid)",IF(S670&gt;0.5,"Discount above allowed range (invalid)",IF(AND(R670="",S670=0),"Missing discount set to 0","OK")))</f>
        <v>OK</v>
      </c>
      <c r="U670">
        <v>2564.7399999999998</v>
      </c>
      <c r="V670">
        <v>1754.58</v>
      </c>
      <c r="W670">
        <v>810.16</v>
      </c>
      <c r="X670" t="s">
        <v>32</v>
      </c>
      <c r="Y670" t="s">
        <v>33</v>
      </c>
      <c r="Z670">
        <f>IF(T670="OK",P670*Q670*(1-S670),"invalid")</f>
        <v>2564.7399999999998</v>
      </c>
      <c r="AA670">
        <f>IF(Z670="N/A","N/A",Z670-V670)</f>
        <v>810.15999999999985</v>
      </c>
      <c r="AB670" s="8">
        <f>IF(Z670&lt;&gt;"N/A", AA670/Z670, "N/A")</f>
        <v>0.31588387126960232</v>
      </c>
      <c r="AC670">
        <f>MONTH(B670)</f>
        <v>5</v>
      </c>
      <c r="AD670">
        <f>YEAR(B670)</f>
        <v>2025</v>
      </c>
      <c r="AE670" s="10">
        <f t="shared" si="10"/>
        <v>0</v>
      </c>
      <c r="AF670" t="s">
        <v>2804</v>
      </c>
      <c r="AG670" t="s">
        <v>2811</v>
      </c>
    </row>
    <row r="671" spans="1:33">
      <c r="A671" t="s">
        <v>1238</v>
      </c>
      <c r="B671" s="4">
        <v>45799</v>
      </c>
      <c r="C671" s="4">
        <v>45799</v>
      </c>
      <c r="D671">
        <f>_xlfn.DAYS(C671,B671)</f>
        <v>0</v>
      </c>
      <c r="E671" t="s">
        <v>2804</v>
      </c>
      <c r="F671" t="s">
        <v>1239</v>
      </c>
      <c r="G671" t="s">
        <v>36</v>
      </c>
      <c r="H671" t="s">
        <v>24</v>
      </c>
      <c r="I671" t="s">
        <v>63</v>
      </c>
      <c r="J671" t="s">
        <v>190</v>
      </c>
      <c r="K671" t="s">
        <v>191</v>
      </c>
      <c r="L671" t="s">
        <v>74</v>
      </c>
      <c r="M671" t="s">
        <v>75</v>
      </c>
      <c r="N671" t="s">
        <v>1240</v>
      </c>
      <c r="O671" t="s">
        <v>59</v>
      </c>
      <c r="P671">
        <v>2</v>
      </c>
      <c r="Q671">
        <v>3910.61</v>
      </c>
      <c r="R671">
        <v>0</v>
      </c>
      <c r="S671">
        <f>IF(ISNUMBER(SEARCH("%",R671)), VALUE(SUBSTITUTE(R671,"%",""))/100,IF(ISNUMBER(R671), R671, 0))</f>
        <v>0</v>
      </c>
      <c r="T671" t="str">
        <f>IF(S671&lt;0,"Negative discount (invalid)",IF(S671&gt;0.5,"Discount above allowed range (invalid)",IF(AND(R671="",S671=0),"Missing discount set to 0","OK")))</f>
        <v>OK</v>
      </c>
      <c r="U671">
        <v>7821.22</v>
      </c>
      <c r="V671">
        <v>4994.46</v>
      </c>
      <c r="W671">
        <v>2826.76</v>
      </c>
      <c r="X671" t="s">
        <v>32</v>
      </c>
      <c r="Y671" t="s">
        <v>33</v>
      </c>
      <c r="Z671">
        <f>IF(T671="OK",P671*Q671*(1-S671),"invalid")</f>
        <v>7821.22</v>
      </c>
      <c r="AA671">
        <f>IF(Z671="N/A","N/A",Z671-V671)</f>
        <v>2826.76</v>
      </c>
      <c r="AB671" s="8">
        <f>IF(Z671&lt;&gt;"N/A", AA671/Z671, "N/A")</f>
        <v>0.36142187535959863</v>
      </c>
      <c r="AC671">
        <f>MONTH(B671)</f>
        <v>5</v>
      </c>
      <c r="AD671">
        <f>YEAR(B671)</f>
        <v>2025</v>
      </c>
      <c r="AE671" s="10">
        <f t="shared" si="10"/>
        <v>0</v>
      </c>
      <c r="AF671" t="s">
        <v>2804</v>
      </c>
      <c r="AG671" t="s">
        <v>2811</v>
      </c>
    </row>
    <row r="672" spans="1:33">
      <c r="A672" t="s">
        <v>1247</v>
      </c>
      <c r="B672" s="4">
        <v>45919</v>
      </c>
      <c r="C672" s="4">
        <v>45923</v>
      </c>
      <c r="D672">
        <f>_xlfn.DAYS(C672,B672)</f>
        <v>4</v>
      </c>
      <c r="E672" t="s">
        <v>2804</v>
      </c>
      <c r="F672" t="s">
        <v>1248</v>
      </c>
      <c r="G672" t="s">
        <v>53</v>
      </c>
      <c r="H672" t="s">
        <v>95</v>
      </c>
      <c r="I672" t="s">
        <v>25</v>
      </c>
      <c r="J672" t="s">
        <v>350</v>
      </c>
      <c r="K672" t="s">
        <v>351</v>
      </c>
      <c r="L672" t="s">
        <v>28</v>
      </c>
      <c r="M672" t="s">
        <v>153</v>
      </c>
      <c r="N672" t="s">
        <v>1249</v>
      </c>
      <c r="O672" t="s">
        <v>59</v>
      </c>
      <c r="P672">
        <v>4</v>
      </c>
      <c r="Q672">
        <v>4387.1499999999996</v>
      </c>
      <c r="R672">
        <v>0.05</v>
      </c>
      <c r="S672">
        <f>IF(ISNUMBER(SEARCH("%",R672)), VALUE(SUBSTITUTE(R672,"%",""))/100,IF(ISNUMBER(R672), R672, 0))</f>
        <v>0.05</v>
      </c>
      <c r="T672" t="str">
        <f>IF(S672&lt;0,"Negative discount (invalid)",IF(S672&gt;0.5,"Discount above allowed range (invalid)",IF(AND(R672="",S672=0),"Missing discount set to 0","OK")))</f>
        <v>OK</v>
      </c>
      <c r="U672">
        <v>16671.169999999998</v>
      </c>
      <c r="V672">
        <v>10833.19</v>
      </c>
      <c r="W672">
        <v>5837.98</v>
      </c>
      <c r="X672" t="s">
        <v>155</v>
      </c>
      <c r="Y672" t="s">
        <v>68</v>
      </c>
      <c r="Z672">
        <f>IF(T672="OK",P672*Q672*(1-S672),"invalid")</f>
        <v>16671.169999999998</v>
      </c>
      <c r="AA672">
        <f>IF(Z672="N/A","N/A",Z672-V672)</f>
        <v>5837.9799999999977</v>
      </c>
      <c r="AB672" s="8">
        <f>IF(Z672&lt;&gt;"N/A", AA672/Z672, "N/A")</f>
        <v>0.35018418023450054</v>
      </c>
      <c r="AC672">
        <f>MONTH(B672)</f>
        <v>9</v>
      </c>
      <c r="AD672">
        <f>YEAR(B672)</f>
        <v>2025</v>
      </c>
      <c r="AE672" s="10">
        <f t="shared" si="10"/>
        <v>0</v>
      </c>
      <c r="AF672" t="s">
        <v>2804</v>
      </c>
      <c r="AG672" t="s">
        <v>2811</v>
      </c>
    </row>
    <row r="673" spans="1:33">
      <c r="A673" t="s">
        <v>1250</v>
      </c>
      <c r="B673" s="4">
        <v>45720</v>
      </c>
      <c r="C673" s="4">
        <v>45724</v>
      </c>
      <c r="D673">
        <f>_xlfn.DAYS(C673,B673)</f>
        <v>4</v>
      </c>
      <c r="E673" t="s">
        <v>2804</v>
      </c>
      <c r="F673" t="s">
        <v>157</v>
      </c>
      <c r="G673" t="s">
        <v>53</v>
      </c>
      <c r="H673" t="s">
        <v>37</v>
      </c>
      <c r="I673" t="s">
        <v>38</v>
      </c>
      <c r="J673" t="s">
        <v>145</v>
      </c>
      <c r="K673" t="s">
        <v>146</v>
      </c>
      <c r="L673" t="s">
        <v>74</v>
      </c>
      <c r="M673" t="s">
        <v>171</v>
      </c>
      <c r="N673" t="s">
        <v>1251</v>
      </c>
      <c r="O673" t="s">
        <v>50</v>
      </c>
      <c r="P673">
        <v>3</v>
      </c>
      <c r="Q673">
        <v>4361.8500000000004</v>
      </c>
      <c r="R673">
        <v>0.2</v>
      </c>
      <c r="S673">
        <f>IF(ISNUMBER(SEARCH("%",R673)), VALUE(SUBSTITUTE(R673,"%",""))/100,IF(ISNUMBER(R673), R673, 0))</f>
        <v>0.2</v>
      </c>
      <c r="T673" t="str">
        <f>IF(S673&lt;0,"Negative discount (invalid)",IF(S673&gt;0.5,"Discount above allowed range (invalid)",IF(AND(R673="",S673=0),"Missing discount set to 0","OK")))</f>
        <v>OK</v>
      </c>
      <c r="U673">
        <v>10468.44</v>
      </c>
      <c r="V673">
        <v>8399.8700000000008</v>
      </c>
      <c r="W673">
        <v>2068.5700000000002</v>
      </c>
      <c r="X673" t="s">
        <v>32</v>
      </c>
      <c r="Y673" t="s">
        <v>33</v>
      </c>
      <c r="Z673">
        <f>IF(T673="OK",P673*Q673*(1-S673),"invalid")</f>
        <v>10468.440000000002</v>
      </c>
      <c r="AA673">
        <f>IF(Z673="N/A","N/A",Z673-V673)</f>
        <v>2068.5700000000015</v>
      </c>
      <c r="AB673" s="8">
        <f>IF(Z673&lt;&gt;"N/A", AA673/Z673, "N/A")</f>
        <v>0.19760059760575607</v>
      </c>
      <c r="AC673">
        <f>MONTH(B673)</f>
        <v>3</v>
      </c>
      <c r="AD673">
        <f>YEAR(B673)</f>
        <v>2025</v>
      </c>
      <c r="AE673" s="10">
        <f t="shared" si="10"/>
        <v>1.8189894035458565E-12</v>
      </c>
      <c r="AF673" t="s">
        <v>2804</v>
      </c>
      <c r="AG673" t="s">
        <v>2811</v>
      </c>
    </row>
    <row r="674" spans="1:33">
      <c r="A674" t="s">
        <v>1252</v>
      </c>
      <c r="B674" s="4">
        <v>45836</v>
      </c>
      <c r="C674" s="4">
        <v>45843</v>
      </c>
      <c r="D674">
        <f>_xlfn.DAYS(C674,B674)</f>
        <v>7</v>
      </c>
      <c r="E674" t="s">
        <v>2804</v>
      </c>
      <c r="F674" t="s">
        <v>1253</v>
      </c>
      <c r="G674" t="s">
        <v>71</v>
      </c>
      <c r="H674" t="s">
        <v>90</v>
      </c>
      <c r="I674" t="s">
        <v>38</v>
      </c>
      <c r="J674" t="s">
        <v>99</v>
      </c>
      <c r="K674" t="s">
        <v>100</v>
      </c>
      <c r="L674" t="s">
        <v>28</v>
      </c>
      <c r="M674" t="s">
        <v>48</v>
      </c>
      <c r="N674" t="s">
        <v>1254</v>
      </c>
      <c r="O674" t="s">
        <v>50</v>
      </c>
      <c r="P674">
        <v>2</v>
      </c>
      <c r="Q674">
        <v>2242.75</v>
      </c>
      <c r="R674">
        <v>0</v>
      </c>
      <c r="S674">
        <f>IF(ISNUMBER(SEARCH("%",R674)), VALUE(SUBSTITUTE(R674,"%",""))/100,IF(ISNUMBER(R674), R674, 0))</f>
        <v>0</v>
      </c>
      <c r="T674" t="str">
        <f>IF(S674&lt;0,"Negative discount (invalid)",IF(S674&gt;0.5,"Discount above allowed range (invalid)",IF(AND(R674="",S674=0),"Missing discount set to 0","OK")))</f>
        <v>OK</v>
      </c>
      <c r="U674">
        <v>4485.5</v>
      </c>
      <c r="V674">
        <v>3131.86</v>
      </c>
      <c r="W674">
        <v>1353.64</v>
      </c>
      <c r="X674" t="s">
        <v>32</v>
      </c>
      <c r="Y674" t="s">
        <v>68</v>
      </c>
      <c r="Z674">
        <f>IF(T674="OK",P674*Q674*(1-S674),"invalid")</f>
        <v>4485.5</v>
      </c>
      <c r="AA674">
        <f>IF(Z674="N/A","N/A",Z674-V674)</f>
        <v>1353.6399999999999</v>
      </c>
      <c r="AB674" s="8">
        <f>IF(Z674&lt;&gt;"N/A", AA674/Z674, "N/A")</f>
        <v>0.30178129528480657</v>
      </c>
      <c r="AC674">
        <f>MONTH(B674)</f>
        <v>6</v>
      </c>
      <c r="AD674">
        <f>YEAR(B674)</f>
        <v>2025</v>
      </c>
      <c r="AE674" s="10">
        <f t="shared" si="10"/>
        <v>0</v>
      </c>
      <c r="AF674" t="s">
        <v>2804</v>
      </c>
      <c r="AG674" t="s">
        <v>2811</v>
      </c>
    </row>
    <row r="675" spans="1:33">
      <c r="A675" t="s">
        <v>1258</v>
      </c>
      <c r="B675" s="4">
        <v>45832</v>
      </c>
      <c r="C675" s="4">
        <v>45838</v>
      </c>
      <c r="D675">
        <f>_xlfn.DAYS(C675,B675)</f>
        <v>6</v>
      </c>
      <c r="E675" t="s">
        <v>2804</v>
      </c>
      <c r="F675" t="s">
        <v>1259</v>
      </c>
      <c r="G675" t="s">
        <v>53</v>
      </c>
      <c r="H675" t="s">
        <v>24</v>
      </c>
      <c r="I675" t="s">
        <v>25</v>
      </c>
      <c r="J675" t="s">
        <v>236</v>
      </c>
      <c r="K675" t="s">
        <v>237</v>
      </c>
      <c r="L675" t="s">
        <v>28</v>
      </c>
      <c r="M675" t="s">
        <v>91</v>
      </c>
      <c r="N675" t="s">
        <v>1260</v>
      </c>
      <c r="O675" t="s">
        <v>59</v>
      </c>
      <c r="P675">
        <v>6</v>
      </c>
      <c r="Q675">
        <v>365.76</v>
      </c>
      <c r="R675">
        <v>0.1</v>
      </c>
      <c r="S675">
        <f>IF(ISNUMBER(SEARCH("%",R675)), VALUE(SUBSTITUTE(R675,"%",""))/100,IF(ISNUMBER(R675), R675, 0))</f>
        <v>0.1</v>
      </c>
      <c r="T675" t="str">
        <f>IF(S675&lt;0,"Negative discount (invalid)",IF(S675&gt;0.5,"Discount above allowed range (invalid)",IF(AND(R675="",S675=0),"Missing discount set to 0","OK")))</f>
        <v>OK</v>
      </c>
      <c r="U675">
        <v>1975.1</v>
      </c>
      <c r="V675">
        <v>1115.3499999999999</v>
      </c>
      <c r="W675">
        <v>859.75</v>
      </c>
      <c r="X675" t="s">
        <v>32</v>
      </c>
      <c r="Y675" t="s">
        <v>33</v>
      </c>
      <c r="Z675">
        <f>IF(T675="OK",P675*Q675*(1-S675),"invalid")</f>
        <v>1975.104</v>
      </c>
      <c r="AA675">
        <f>IF(Z675="N/A","N/A",Z675-V675)</f>
        <v>859.75400000000013</v>
      </c>
      <c r="AB675" s="8">
        <f>IF(Z675&lt;&gt;"N/A", AA675/Z675, "N/A")</f>
        <v>0.4352955591199249</v>
      </c>
      <c r="AC675">
        <f>MONTH(B675)</f>
        <v>6</v>
      </c>
      <c r="AD675">
        <f>YEAR(B675)</f>
        <v>2025</v>
      </c>
      <c r="AE675" s="10">
        <f t="shared" si="10"/>
        <v>4.0000000001327862E-3</v>
      </c>
      <c r="AF675" t="s">
        <v>2804</v>
      </c>
      <c r="AG675" t="s">
        <v>2811</v>
      </c>
    </row>
    <row r="676" spans="1:33">
      <c r="A676" t="s">
        <v>1261</v>
      </c>
      <c r="B676" s="4">
        <v>45700</v>
      </c>
      <c r="C676" s="4">
        <v>45702</v>
      </c>
      <c r="D676">
        <f>_xlfn.DAYS(C676,B676)</f>
        <v>2</v>
      </c>
      <c r="E676" t="s">
        <v>2804</v>
      </c>
      <c r="F676" t="s">
        <v>1262</v>
      </c>
      <c r="G676" t="s">
        <v>132</v>
      </c>
      <c r="H676" t="s">
        <v>24</v>
      </c>
      <c r="I676" t="s">
        <v>63</v>
      </c>
      <c r="J676" t="s">
        <v>64</v>
      </c>
      <c r="K676" t="s">
        <v>65</v>
      </c>
      <c r="L676" t="s">
        <v>41</v>
      </c>
      <c r="M676" t="s">
        <v>57</v>
      </c>
      <c r="N676" t="s">
        <v>1263</v>
      </c>
      <c r="O676" t="s">
        <v>31</v>
      </c>
      <c r="P676">
        <v>8</v>
      </c>
      <c r="Q676">
        <v>2786.66</v>
      </c>
      <c r="R676">
        <v>0.1</v>
      </c>
      <c r="S676">
        <f>IF(ISNUMBER(SEARCH("%",R676)), VALUE(SUBSTITUTE(R676,"%",""))/100,IF(ISNUMBER(R676), R676, 0))</f>
        <v>0.1</v>
      </c>
      <c r="T676" t="str">
        <f>IF(S676&lt;0,"Negative discount (invalid)",IF(S676&gt;0.5,"Discount above allowed range (invalid)",IF(AND(R676="",S676=0),"Missing discount set to 0","OK")))</f>
        <v>OK</v>
      </c>
      <c r="U676">
        <v>20063.95</v>
      </c>
      <c r="V676">
        <v>14363.38</v>
      </c>
      <c r="W676">
        <v>5700.57</v>
      </c>
      <c r="X676" t="s">
        <v>32</v>
      </c>
      <c r="Y676" t="s">
        <v>33</v>
      </c>
      <c r="Z676">
        <f>IF(T676="OK",P676*Q676*(1-S676),"invalid")</f>
        <v>20063.952000000001</v>
      </c>
      <c r="AA676">
        <f>IF(Z676="N/A","N/A",Z676-V676)</f>
        <v>5700.5720000000019</v>
      </c>
      <c r="AB676" s="8">
        <f>IF(Z676&lt;&gt;"N/A", AA676/Z676, "N/A")</f>
        <v>0.2841200975759911</v>
      </c>
      <c r="AC676">
        <f>MONTH(B676)</f>
        <v>2</v>
      </c>
      <c r="AD676">
        <f>YEAR(B676)</f>
        <v>2025</v>
      </c>
      <c r="AE676" s="10">
        <f t="shared" si="10"/>
        <v>2.0000000004074536E-3</v>
      </c>
      <c r="AF676" t="s">
        <v>2804</v>
      </c>
      <c r="AG676" t="s">
        <v>2811</v>
      </c>
    </row>
    <row r="677" spans="1:33">
      <c r="A677" t="s">
        <v>1264</v>
      </c>
      <c r="B677" s="4">
        <v>45879</v>
      </c>
      <c r="C677" s="4">
        <v>45882</v>
      </c>
      <c r="D677">
        <f>_xlfn.DAYS(C677,B677)</f>
        <v>3</v>
      </c>
      <c r="E677" t="s">
        <v>2804</v>
      </c>
      <c r="F677" t="s">
        <v>1265</v>
      </c>
      <c r="G677" t="s">
        <v>114</v>
      </c>
      <c r="H677" t="s">
        <v>37</v>
      </c>
      <c r="I677" t="s">
        <v>63</v>
      </c>
      <c r="J677" t="s">
        <v>72</v>
      </c>
      <c r="K677" t="s">
        <v>73</v>
      </c>
      <c r="L677" t="s">
        <v>41</v>
      </c>
      <c r="M677" t="s">
        <v>66</v>
      </c>
      <c r="N677" t="s">
        <v>1266</v>
      </c>
      <c r="O677" t="s">
        <v>59</v>
      </c>
      <c r="P677">
        <v>5</v>
      </c>
      <c r="Q677">
        <v>352.86</v>
      </c>
      <c r="R677">
        <v>0</v>
      </c>
      <c r="S677">
        <f>IF(ISNUMBER(SEARCH("%",R677)), VALUE(SUBSTITUTE(R677,"%",""))/100,IF(ISNUMBER(R677), R677, 0))</f>
        <v>0</v>
      </c>
      <c r="T677" t="str">
        <f>IF(S677&lt;0,"Negative discount (invalid)",IF(S677&gt;0.5,"Discount above allowed range (invalid)",IF(AND(R677="",S677=0),"Missing discount set to 0","OK")))</f>
        <v>OK</v>
      </c>
      <c r="U677">
        <v>1764.3</v>
      </c>
      <c r="V677">
        <v>1332.49</v>
      </c>
      <c r="W677">
        <v>431.81</v>
      </c>
      <c r="X677" t="s">
        <v>111</v>
      </c>
      <c r="Y677" t="s">
        <v>68</v>
      </c>
      <c r="Z677">
        <f>IF(T677="OK",P677*Q677*(1-S677),"invalid")</f>
        <v>1764.3000000000002</v>
      </c>
      <c r="AA677">
        <f>IF(Z677="N/A","N/A",Z677-V677)</f>
        <v>431.81000000000017</v>
      </c>
      <c r="AB677" s="8">
        <f>IF(Z677&lt;&gt;"N/A", AA677/Z677, "N/A")</f>
        <v>0.24474862551720236</v>
      </c>
      <c r="AC677">
        <f>MONTH(B677)</f>
        <v>8</v>
      </c>
      <c r="AD677">
        <f>YEAR(B677)</f>
        <v>2025</v>
      </c>
      <c r="AE677" s="10">
        <f t="shared" si="10"/>
        <v>2.2737367544323206E-13</v>
      </c>
      <c r="AF677" t="s">
        <v>2804</v>
      </c>
      <c r="AG677" t="s">
        <v>2811</v>
      </c>
    </row>
    <row r="678" spans="1:33">
      <c r="A678" t="s">
        <v>1276</v>
      </c>
      <c r="B678" s="4">
        <v>45702</v>
      </c>
      <c r="C678" s="4">
        <v>45702</v>
      </c>
      <c r="D678">
        <f>_xlfn.DAYS(C678,B678)</f>
        <v>0</v>
      </c>
      <c r="E678" t="s">
        <v>2804</v>
      </c>
      <c r="F678" t="s">
        <v>1277</v>
      </c>
      <c r="G678" t="s">
        <v>162</v>
      </c>
      <c r="H678" t="s">
        <v>24</v>
      </c>
      <c r="I678" t="s">
        <v>54</v>
      </c>
      <c r="J678" t="s">
        <v>175</v>
      </c>
      <c r="K678" t="s">
        <v>176</v>
      </c>
      <c r="L678" t="s">
        <v>28</v>
      </c>
      <c r="M678" t="s">
        <v>124</v>
      </c>
      <c r="N678" t="s">
        <v>1278</v>
      </c>
      <c r="O678" t="s">
        <v>50</v>
      </c>
      <c r="P678">
        <v>1</v>
      </c>
      <c r="Q678">
        <v>714.43</v>
      </c>
      <c r="R678">
        <v>0</v>
      </c>
      <c r="S678">
        <f>IF(ISNUMBER(SEARCH("%",R678)), VALUE(SUBSTITUTE(R678,"%",""))/100,IF(ISNUMBER(R678), R678, 0))</f>
        <v>0</v>
      </c>
      <c r="T678" t="str">
        <f>IF(S678&lt;0,"Negative discount (invalid)",IF(S678&gt;0.5,"Discount above allowed range (invalid)",IF(AND(R678="",S678=0),"Missing discount set to 0","OK")))</f>
        <v>OK</v>
      </c>
      <c r="U678">
        <v>714.43</v>
      </c>
      <c r="V678">
        <v>565.44000000000005</v>
      </c>
      <c r="W678">
        <v>148.99</v>
      </c>
      <c r="X678" t="s">
        <v>32</v>
      </c>
      <c r="Y678" t="s">
        <v>33</v>
      </c>
      <c r="Z678">
        <f>IF(T678="OK",P678*Q678*(1-S678),"invalid")</f>
        <v>714.43</v>
      </c>
      <c r="AA678">
        <f>IF(Z678="N/A","N/A",Z678-V678)</f>
        <v>148.9899999999999</v>
      </c>
      <c r="AB678" s="8">
        <f>IF(Z678&lt;&gt;"N/A", AA678/Z678, "N/A")</f>
        <v>0.20854387413742412</v>
      </c>
      <c r="AC678">
        <f>MONTH(B678)</f>
        <v>2</v>
      </c>
      <c r="AD678">
        <f>YEAR(B678)</f>
        <v>2025</v>
      </c>
      <c r="AE678" s="10">
        <f t="shared" si="10"/>
        <v>0</v>
      </c>
      <c r="AF678" t="s">
        <v>2804</v>
      </c>
      <c r="AG678" t="s">
        <v>2811</v>
      </c>
    </row>
    <row r="679" spans="1:33">
      <c r="A679" t="s">
        <v>1291</v>
      </c>
      <c r="B679" s="4">
        <v>45761</v>
      </c>
      <c r="C679" s="4">
        <v>45769</v>
      </c>
      <c r="D679">
        <f>_xlfn.DAYS(C679,B679)</f>
        <v>8</v>
      </c>
      <c r="E679" t="s">
        <v>2804</v>
      </c>
      <c r="F679" t="s">
        <v>1292</v>
      </c>
      <c r="G679" t="s">
        <v>89</v>
      </c>
      <c r="H679" t="s">
        <v>37</v>
      </c>
      <c r="I679" t="s">
        <v>54</v>
      </c>
      <c r="J679" t="s">
        <v>175</v>
      </c>
      <c r="K679" t="s">
        <v>176</v>
      </c>
      <c r="L679" t="s">
        <v>74</v>
      </c>
      <c r="M679" t="s">
        <v>274</v>
      </c>
      <c r="N679" t="s">
        <v>1293</v>
      </c>
      <c r="O679" t="s">
        <v>59</v>
      </c>
      <c r="P679">
        <v>2</v>
      </c>
      <c r="Q679">
        <v>638.73</v>
      </c>
      <c r="R679">
        <v>0.05</v>
      </c>
      <c r="S679">
        <f>IF(ISNUMBER(SEARCH("%",R679)), VALUE(SUBSTITUTE(R679,"%",""))/100,IF(ISNUMBER(R679), R679, 0))</f>
        <v>0.05</v>
      </c>
      <c r="T679" t="str">
        <f>IF(S679&lt;0,"Negative discount (invalid)",IF(S679&gt;0.5,"Discount above allowed range (invalid)",IF(AND(R679="",S679=0),"Missing discount set to 0","OK")))</f>
        <v>OK</v>
      </c>
      <c r="U679">
        <v>1213.5899999999999</v>
      </c>
      <c r="V679">
        <v>956.22</v>
      </c>
      <c r="W679">
        <v>257.37</v>
      </c>
      <c r="X679" t="s">
        <v>32</v>
      </c>
      <c r="Y679" t="s">
        <v>33</v>
      </c>
      <c r="Z679">
        <f>IF(T679="OK",P679*Q679*(1-S679),"invalid")</f>
        <v>1213.587</v>
      </c>
      <c r="AA679">
        <f>IF(Z679="N/A","N/A",Z679-V679)</f>
        <v>257.36699999999996</v>
      </c>
      <c r="AB679" s="8">
        <f>IF(Z679&lt;&gt;"N/A", AA679/Z679, "N/A")</f>
        <v>0.21207132245154239</v>
      </c>
      <c r="AC679">
        <f>MONTH(B679)</f>
        <v>4</v>
      </c>
      <c r="AD679">
        <f>YEAR(B679)</f>
        <v>2025</v>
      </c>
      <c r="AE679" s="10">
        <f t="shared" si="10"/>
        <v>2.9999999999290594E-3</v>
      </c>
      <c r="AF679" t="s">
        <v>2804</v>
      </c>
      <c r="AG679" t="s">
        <v>2811</v>
      </c>
    </row>
    <row r="680" spans="1:33">
      <c r="A680" t="s">
        <v>1294</v>
      </c>
      <c r="B680" s="4">
        <v>45817</v>
      </c>
      <c r="C680" s="4">
        <v>45818</v>
      </c>
      <c r="D680">
        <f>_xlfn.DAYS(C680,B680)</f>
        <v>1</v>
      </c>
      <c r="E680" t="s">
        <v>2804</v>
      </c>
      <c r="F680" t="s">
        <v>1295</v>
      </c>
      <c r="G680" t="s">
        <v>132</v>
      </c>
      <c r="H680" t="s">
        <v>37</v>
      </c>
      <c r="I680" t="s">
        <v>25</v>
      </c>
      <c r="J680" t="s">
        <v>136</v>
      </c>
      <c r="K680" t="s">
        <v>137</v>
      </c>
      <c r="L680" t="s">
        <v>41</v>
      </c>
      <c r="M680" t="s">
        <v>42</v>
      </c>
      <c r="N680" t="s">
        <v>1296</v>
      </c>
      <c r="O680" t="s">
        <v>31</v>
      </c>
      <c r="P680">
        <v>2</v>
      </c>
      <c r="Q680">
        <v>1731.88</v>
      </c>
      <c r="R680">
        <v>0</v>
      </c>
      <c r="S680">
        <f>IF(ISNUMBER(SEARCH("%",R680)), VALUE(SUBSTITUTE(R680,"%",""))/100,IF(ISNUMBER(R680), R680, 0))</f>
        <v>0</v>
      </c>
      <c r="T680" t="str">
        <f>IF(S680&lt;0,"Negative discount (invalid)",IF(S680&gt;0.5,"Discount above allowed range (invalid)",IF(AND(R680="",S680=0),"Missing discount set to 0","OK")))</f>
        <v>OK</v>
      </c>
      <c r="U680">
        <v>3463.76</v>
      </c>
      <c r="V680">
        <v>2143.7399999999998</v>
      </c>
      <c r="W680">
        <v>1320.02</v>
      </c>
      <c r="X680" t="s">
        <v>32</v>
      </c>
      <c r="Y680" t="s">
        <v>33</v>
      </c>
      <c r="Z680">
        <f>IF(T680="OK",P680*Q680*(1-S680),"invalid")</f>
        <v>3463.76</v>
      </c>
      <c r="AA680">
        <f>IF(Z680="N/A","N/A",Z680-V680)</f>
        <v>1320.0200000000004</v>
      </c>
      <c r="AB680" s="8">
        <f>IF(Z680&lt;&gt;"N/A", AA680/Z680, "N/A")</f>
        <v>0.38109453310852959</v>
      </c>
      <c r="AC680">
        <f>MONTH(B680)</f>
        <v>6</v>
      </c>
      <c r="AD680">
        <f>YEAR(B680)</f>
        <v>2025</v>
      </c>
      <c r="AE680" s="10">
        <f t="shared" si="10"/>
        <v>0</v>
      </c>
      <c r="AF680" t="s">
        <v>2804</v>
      </c>
      <c r="AG680" t="s">
        <v>2811</v>
      </c>
    </row>
    <row r="681" spans="1:33">
      <c r="A681" t="s">
        <v>1300</v>
      </c>
      <c r="B681" s="4">
        <v>45771</v>
      </c>
      <c r="C681" s="4">
        <v>45776</v>
      </c>
      <c r="D681">
        <f>_xlfn.DAYS(C681,B681)</f>
        <v>5</v>
      </c>
      <c r="E681" t="s">
        <v>2804</v>
      </c>
      <c r="F681" t="s">
        <v>1301</v>
      </c>
      <c r="G681" t="s">
        <v>162</v>
      </c>
      <c r="H681" t="s">
        <v>37</v>
      </c>
      <c r="I681" t="s">
        <v>54</v>
      </c>
      <c r="J681" t="s">
        <v>84</v>
      </c>
      <c r="K681" t="s">
        <v>85</v>
      </c>
      <c r="L681" t="s">
        <v>28</v>
      </c>
      <c r="M681" t="s">
        <v>29</v>
      </c>
      <c r="N681" t="s">
        <v>1302</v>
      </c>
      <c r="O681" t="s">
        <v>44</v>
      </c>
      <c r="P681">
        <v>1</v>
      </c>
      <c r="Q681">
        <v>4358.5</v>
      </c>
      <c r="R681">
        <v>0.25</v>
      </c>
      <c r="S681">
        <f>IF(ISNUMBER(SEARCH("%",R681)), VALUE(SUBSTITUTE(R681,"%",""))/100,IF(ISNUMBER(R681), R681, 0))</f>
        <v>0.25</v>
      </c>
      <c r="T681" t="str">
        <f>IF(S681&lt;0,"Negative discount (invalid)",IF(S681&gt;0.5,"Discount above allowed range (invalid)",IF(AND(R681="",S681=0),"Missing discount set to 0","OK")))</f>
        <v>OK</v>
      </c>
      <c r="U681">
        <v>3268.88</v>
      </c>
      <c r="V681">
        <v>1993.74</v>
      </c>
      <c r="W681">
        <v>1275.1400000000001</v>
      </c>
      <c r="X681" t="s">
        <v>32</v>
      </c>
      <c r="Y681" t="s">
        <v>33</v>
      </c>
      <c r="Z681">
        <f>IF(T681="OK",P681*Q681*(1-S681),"invalid")</f>
        <v>3268.875</v>
      </c>
      <c r="AA681">
        <f>IF(Z681="N/A","N/A",Z681-V681)</f>
        <v>1275.135</v>
      </c>
      <c r="AB681" s="8">
        <f>IF(Z681&lt;&gt;"N/A", AA681/Z681, "N/A")</f>
        <v>0.39008374440747962</v>
      </c>
      <c r="AC681">
        <f>MONTH(B681)</f>
        <v>4</v>
      </c>
      <c r="AD681">
        <f>YEAR(B681)</f>
        <v>2025</v>
      </c>
      <c r="AE681" s="10">
        <f t="shared" si="10"/>
        <v>5.0000000001091394E-3</v>
      </c>
      <c r="AF681" t="s">
        <v>2804</v>
      </c>
      <c r="AG681" t="s">
        <v>2811</v>
      </c>
    </row>
    <row r="682" spans="1:33">
      <c r="A682" t="s">
        <v>1303</v>
      </c>
      <c r="B682" s="4">
        <v>45814</v>
      </c>
      <c r="C682" s="4">
        <v>45819</v>
      </c>
      <c r="D682">
        <f>_xlfn.DAYS(C682,B682)</f>
        <v>5</v>
      </c>
      <c r="E682" t="s">
        <v>2804</v>
      </c>
      <c r="F682" t="s">
        <v>1304</v>
      </c>
      <c r="G682" t="s">
        <v>132</v>
      </c>
      <c r="H682" t="s">
        <v>37</v>
      </c>
      <c r="I682" t="s">
        <v>25</v>
      </c>
      <c r="J682" t="s">
        <v>136</v>
      </c>
      <c r="K682" t="s">
        <v>137</v>
      </c>
      <c r="L682" t="s">
        <v>28</v>
      </c>
      <c r="M682" t="s">
        <v>29</v>
      </c>
      <c r="N682" t="s">
        <v>1305</v>
      </c>
      <c r="O682" t="s">
        <v>44</v>
      </c>
      <c r="P682">
        <v>7</v>
      </c>
      <c r="Q682">
        <v>878.09</v>
      </c>
      <c r="R682">
        <v>-0.1</v>
      </c>
      <c r="S682">
        <f>IF(ISNUMBER(SEARCH("%",R682)), VALUE(SUBSTITUTE(R682,"%",""))/100,IF(ISNUMBER(R682), R682, 0))</f>
        <v>-0.1</v>
      </c>
      <c r="T682" t="str">
        <f>IF(S682&lt;0,"Negative discount (invalid)",IF(S682&gt;0.5,"Discount above allowed range (invalid)",IF(AND(R682="",S682=0),"Missing discount set to 0","OK")))</f>
        <v>Negative discount (invalid)</v>
      </c>
      <c r="U682">
        <v>5839.3</v>
      </c>
      <c r="V682">
        <v>4877.38</v>
      </c>
      <c r="W682">
        <v>961.92</v>
      </c>
      <c r="X682" t="s">
        <v>32</v>
      </c>
      <c r="Y682" t="s">
        <v>33</v>
      </c>
      <c r="Z682" t="s">
        <v>2793</v>
      </c>
      <c r="AA682" t="str">
        <f>IF(Z682="N/A","N/A",Z682-V682)</f>
        <v>N/A</v>
      </c>
      <c r="AB682" s="8" t="str">
        <f>IF(Z682&lt;&gt;"N/A", AA682/Z682, "N/A")</f>
        <v>N/A</v>
      </c>
      <c r="AC682">
        <f>MONTH(B682)</f>
        <v>6</v>
      </c>
      <c r="AD682">
        <f>YEAR(B682)</f>
        <v>2025</v>
      </c>
      <c r="AE682" s="10" t="str">
        <f t="shared" si="10"/>
        <v>N/A</v>
      </c>
      <c r="AF682" t="s">
        <v>2802</v>
      </c>
      <c r="AG682" t="s">
        <v>2789</v>
      </c>
    </row>
    <row r="683" spans="1:33">
      <c r="A683" t="s">
        <v>1306</v>
      </c>
      <c r="B683" s="4">
        <v>45725</v>
      </c>
      <c r="C683" s="4">
        <v>45732</v>
      </c>
      <c r="D683">
        <f>_xlfn.DAYS(C683,B683)</f>
        <v>7</v>
      </c>
      <c r="E683" t="s">
        <v>2804</v>
      </c>
      <c r="F683" t="s">
        <v>1307</v>
      </c>
      <c r="G683" t="s">
        <v>53</v>
      </c>
      <c r="H683" t="s">
        <v>37</v>
      </c>
      <c r="I683" t="s">
        <v>38</v>
      </c>
      <c r="J683" t="s">
        <v>228</v>
      </c>
      <c r="K683" t="s">
        <v>229</v>
      </c>
      <c r="L683" t="s">
        <v>41</v>
      </c>
      <c r="M683" t="s">
        <v>42</v>
      </c>
      <c r="N683" t="s">
        <v>1308</v>
      </c>
      <c r="O683" t="s">
        <v>44</v>
      </c>
      <c r="P683">
        <v>3</v>
      </c>
      <c r="Q683">
        <v>2625.85</v>
      </c>
      <c r="R683">
        <v>0</v>
      </c>
      <c r="S683">
        <f>IF(ISNUMBER(SEARCH("%",R683)), VALUE(SUBSTITUTE(R683,"%",""))/100,IF(ISNUMBER(R683), R683, 0))</f>
        <v>0</v>
      </c>
      <c r="T683" t="str">
        <f>IF(S683&lt;0,"Negative discount (invalid)",IF(S683&gt;0.5,"Discount above allowed range (invalid)",IF(AND(R683="",S683=0),"Missing discount set to 0","OK")))</f>
        <v>OK</v>
      </c>
      <c r="U683">
        <v>7877.55</v>
      </c>
      <c r="V683">
        <v>5562.77</v>
      </c>
      <c r="W683">
        <v>2314.7800000000002</v>
      </c>
      <c r="X683" t="s">
        <v>32</v>
      </c>
      <c r="Y683" t="s">
        <v>33</v>
      </c>
      <c r="Z683">
        <f>IF(T683="OK",P683*Q683*(1-S683),"invalid")</f>
        <v>7877.5499999999993</v>
      </c>
      <c r="AA683">
        <f>IF(Z683="N/A","N/A",Z683-V683)</f>
        <v>2314.7799999999988</v>
      </c>
      <c r="AB683" s="8">
        <f>IF(Z683&lt;&gt;"N/A", AA683/Z683, "N/A")</f>
        <v>0.29384516759652418</v>
      </c>
      <c r="AC683">
        <f>MONTH(B683)</f>
        <v>3</v>
      </c>
      <c r="AD683">
        <f>YEAR(B683)</f>
        <v>2025</v>
      </c>
      <c r="AE683" s="10">
        <f t="shared" si="10"/>
        <v>9.0949470177292824E-13</v>
      </c>
      <c r="AF683" t="s">
        <v>2804</v>
      </c>
      <c r="AG683" t="s">
        <v>2811</v>
      </c>
    </row>
    <row r="684" spans="1:33">
      <c r="A684" t="s">
        <v>1321</v>
      </c>
      <c r="B684" s="4">
        <v>45713</v>
      </c>
      <c r="C684" s="4">
        <v>45713</v>
      </c>
      <c r="D684">
        <f>_xlfn.DAYS(C684,B684)</f>
        <v>0</v>
      </c>
      <c r="E684" t="s">
        <v>2804</v>
      </c>
      <c r="F684" t="s">
        <v>1322</v>
      </c>
      <c r="G684" t="s">
        <v>264</v>
      </c>
      <c r="H684" t="s">
        <v>37</v>
      </c>
      <c r="I684" t="s">
        <v>63</v>
      </c>
      <c r="J684" t="s">
        <v>190</v>
      </c>
      <c r="K684" t="s">
        <v>191</v>
      </c>
      <c r="L684" t="s">
        <v>41</v>
      </c>
      <c r="M684" t="s">
        <v>57</v>
      </c>
      <c r="N684" t="s">
        <v>1323</v>
      </c>
      <c r="O684" t="s">
        <v>59</v>
      </c>
      <c r="P684">
        <v>2</v>
      </c>
      <c r="Q684">
        <v>3924.2</v>
      </c>
      <c r="R684">
        <v>0.25</v>
      </c>
      <c r="S684">
        <f>IF(ISNUMBER(SEARCH("%",R684)), VALUE(SUBSTITUTE(R684,"%",""))/100,IF(ISNUMBER(R684), R684, 0))</f>
        <v>0.25</v>
      </c>
      <c r="T684" t="str">
        <f>IF(S684&lt;0,"Negative discount (invalid)",IF(S684&gt;0.5,"Discount above allowed range (invalid)",IF(AND(R684="",S684=0),"Missing discount set to 0","OK")))</f>
        <v>OK</v>
      </c>
      <c r="U684">
        <v>5886.3</v>
      </c>
      <c r="V684">
        <v>3621.76</v>
      </c>
      <c r="W684">
        <v>2264.54</v>
      </c>
      <c r="X684" t="s">
        <v>111</v>
      </c>
      <c r="Y684" t="s">
        <v>103</v>
      </c>
      <c r="Z684">
        <f>IF(T684="OK",P684*Q684*(1-S684),"invalid")</f>
        <v>5886.2999999999993</v>
      </c>
      <c r="AA684">
        <f>IF(Z684="N/A","N/A",Z684-V684)</f>
        <v>2264.5399999999991</v>
      </c>
      <c r="AB684" s="8">
        <f>IF(Z684&lt;&gt;"N/A", AA684/Z684, "N/A")</f>
        <v>0.38471365713606159</v>
      </c>
      <c r="AC684">
        <f>MONTH(B684)</f>
        <v>2</v>
      </c>
      <c r="AD684">
        <f>YEAR(B684)</f>
        <v>2025</v>
      </c>
      <c r="AE684" s="10">
        <f t="shared" si="10"/>
        <v>9.0949470177292824E-13</v>
      </c>
      <c r="AF684" t="s">
        <v>2804</v>
      </c>
      <c r="AG684" t="s">
        <v>2811</v>
      </c>
    </row>
    <row r="685" spans="1:33">
      <c r="A685" t="s">
        <v>1327</v>
      </c>
      <c r="B685" s="4">
        <v>45870</v>
      </c>
      <c r="C685" s="4">
        <v>45872</v>
      </c>
      <c r="D685">
        <f>_xlfn.DAYS(C685,B685)</f>
        <v>2</v>
      </c>
      <c r="E685" t="s">
        <v>2804</v>
      </c>
      <c r="F685" t="s">
        <v>1328</v>
      </c>
      <c r="G685" t="s">
        <v>132</v>
      </c>
      <c r="H685" t="s">
        <v>24</v>
      </c>
      <c r="I685" t="s">
        <v>63</v>
      </c>
      <c r="J685" t="s">
        <v>64</v>
      </c>
      <c r="K685" t="s">
        <v>65</v>
      </c>
      <c r="L685" t="s">
        <v>41</v>
      </c>
      <c r="M685" t="s">
        <v>66</v>
      </c>
      <c r="N685" t="s">
        <v>1329</v>
      </c>
      <c r="O685" t="s">
        <v>50</v>
      </c>
      <c r="P685">
        <v>4</v>
      </c>
      <c r="Q685">
        <v>1773.46</v>
      </c>
      <c r="R685">
        <v>0</v>
      </c>
      <c r="S685">
        <f>IF(ISNUMBER(SEARCH("%",R685)), VALUE(SUBSTITUTE(R685,"%",""))/100,IF(ISNUMBER(R685), R685, 0))</f>
        <v>0</v>
      </c>
      <c r="T685" t="str">
        <f>IF(S685&lt;0,"Negative discount (invalid)",IF(S685&gt;0.5,"Discount above allowed range (invalid)",IF(AND(R685="",S685=0),"Missing discount set to 0","OK")))</f>
        <v>OK</v>
      </c>
      <c r="U685">
        <v>7093.84</v>
      </c>
      <c r="V685">
        <v>4587.49</v>
      </c>
      <c r="W685">
        <v>2506.35</v>
      </c>
      <c r="X685" t="s">
        <v>155</v>
      </c>
      <c r="Y685" t="s">
        <v>103</v>
      </c>
      <c r="Z685">
        <f>IF(T685="OK",P685*Q685*(1-S685),"invalid")</f>
        <v>7093.84</v>
      </c>
      <c r="AA685">
        <f>IF(Z685="N/A","N/A",Z685-V685)</f>
        <v>2506.3500000000004</v>
      </c>
      <c r="AB685" s="8">
        <f>IF(Z685&lt;&gt;"N/A", AA685/Z685, "N/A")</f>
        <v>0.35331357910525191</v>
      </c>
      <c r="AC685">
        <f>MONTH(B685)</f>
        <v>8</v>
      </c>
      <c r="AD685">
        <f>YEAR(B685)</f>
        <v>2025</v>
      </c>
      <c r="AE685" s="10">
        <f t="shared" si="10"/>
        <v>0</v>
      </c>
      <c r="AF685" t="s">
        <v>2804</v>
      </c>
      <c r="AG685" t="s">
        <v>2811</v>
      </c>
    </row>
    <row r="686" spans="1:33">
      <c r="A686" t="s">
        <v>1330</v>
      </c>
      <c r="B686" s="4">
        <v>45701</v>
      </c>
      <c r="C686" s="4">
        <v>45703</v>
      </c>
      <c r="D686">
        <f>_xlfn.DAYS(C686,B686)</f>
        <v>2</v>
      </c>
      <c r="E686" t="s">
        <v>2804</v>
      </c>
      <c r="F686" t="s">
        <v>1331</v>
      </c>
      <c r="G686" t="s">
        <v>23</v>
      </c>
      <c r="H686" t="s">
        <v>24</v>
      </c>
      <c r="I686" t="s">
        <v>38</v>
      </c>
      <c r="J686" t="s">
        <v>166</v>
      </c>
      <c r="K686" t="s">
        <v>167</v>
      </c>
      <c r="L686" t="s">
        <v>74</v>
      </c>
      <c r="M686" t="s">
        <v>75</v>
      </c>
      <c r="N686" t="s">
        <v>1332</v>
      </c>
      <c r="O686" t="s">
        <v>44</v>
      </c>
      <c r="P686">
        <v>1</v>
      </c>
      <c r="Q686">
        <v>3025.46</v>
      </c>
      <c r="R686">
        <v>0.25</v>
      </c>
      <c r="S686">
        <f>IF(ISNUMBER(SEARCH("%",R686)), VALUE(SUBSTITUTE(R686,"%",""))/100,IF(ISNUMBER(R686), R686, 0))</f>
        <v>0.25</v>
      </c>
      <c r="T686" t="str">
        <f>IF(S686&lt;0,"Negative discount (invalid)",IF(S686&gt;0.5,"Discount above allowed range (invalid)",IF(AND(R686="",S686=0),"Missing discount set to 0","OK")))</f>
        <v>OK</v>
      </c>
      <c r="U686">
        <v>2269.1</v>
      </c>
      <c r="V686">
        <v>1593.59</v>
      </c>
      <c r="W686">
        <v>675.51</v>
      </c>
      <c r="X686" t="s">
        <v>102</v>
      </c>
      <c r="Y686" t="s">
        <v>103</v>
      </c>
      <c r="Z686">
        <f>IF(T686="OK",P686*Q686*(1-S686),"invalid")</f>
        <v>2269.0950000000003</v>
      </c>
      <c r="AA686">
        <f>IF(Z686="N/A","N/A",Z686-V686)</f>
        <v>675.50500000000034</v>
      </c>
      <c r="AB686" s="8">
        <f>IF(Z686&lt;&gt;"N/A", AA686/Z686, "N/A")</f>
        <v>0.29769798091309541</v>
      </c>
      <c r="AC686">
        <f>MONTH(B686)</f>
        <v>2</v>
      </c>
      <c r="AD686">
        <f>YEAR(B686)</f>
        <v>2025</v>
      </c>
      <c r="AE686" s="10">
        <f t="shared" si="10"/>
        <v>4.999999999654392E-3</v>
      </c>
      <c r="AF686" t="s">
        <v>2804</v>
      </c>
      <c r="AG686" t="s">
        <v>2811</v>
      </c>
    </row>
    <row r="687" spans="1:33">
      <c r="A687" t="s">
        <v>1336</v>
      </c>
      <c r="B687" s="4">
        <v>45892</v>
      </c>
      <c r="C687" s="4">
        <v>45897</v>
      </c>
      <c r="D687">
        <f>_xlfn.DAYS(C687,B687)</f>
        <v>5</v>
      </c>
      <c r="E687" t="s">
        <v>2804</v>
      </c>
      <c r="F687" t="s">
        <v>1337</v>
      </c>
      <c r="G687" t="s">
        <v>53</v>
      </c>
      <c r="H687" t="s">
        <v>95</v>
      </c>
      <c r="I687" t="s">
        <v>63</v>
      </c>
      <c r="J687" t="s">
        <v>26</v>
      </c>
      <c r="K687" t="s">
        <v>109</v>
      </c>
      <c r="L687" t="s">
        <v>41</v>
      </c>
      <c r="M687" t="s">
        <v>42</v>
      </c>
      <c r="N687" t="s">
        <v>1338</v>
      </c>
      <c r="O687" t="s">
        <v>50</v>
      </c>
      <c r="P687">
        <v>1</v>
      </c>
      <c r="Q687">
        <v>4167.8100000000004</v>
      </c>
      <c r="R687">
        <v>0.2</v>
      </c>
      <c r="S687">
        <f>IF(ISNUMBER(SEARCH("%",R687)), VALUE(SUBSTITUTE(R687,"%",""))/100,IF(ISNUMBER(R687), R687, 0))</f>
        <v>0.2</v>
      </c>
      <c r="T687" t="str">
        <f>IF(S687&lt;0,"Negative discount (invalid)",IF(S687&gt;0.5,"Discount above allowed range (invalid)",IF(AND(R687="",S687=0),"Missing discount set to 0","OK")))</f>
        <v>OK</v>
      </c>
      <c r="U687">
        <v>3334.25</v>
      </c>
      <c r="V687">
        <v>2768.77</v>
      </c>
      <c r="W687">
        <v>565.48</v>
      </c>
      <c r="X687" t="s">
        <v>155</v>
      </c>
      <c r="Y687" t="s">
        <v>103</v>
      </c>
      <c r="Z687">
        <f>IF(T687="OK",P687*Q687*(1-S687),"invalid")</f>
        <v>3334.2480000000005</v>
      </c>
      <c r="AA687">
        <f>IF(Z687="N/A","N/A",Z687-V687)</f>
        <v>565.47800000000052</v>
      </c>
      <c r="AB687" s="8">
        <f>IF(Z687&lt;&gt;"N/A", AA687/Z687, "N/A")</f>
        <v>0.16959686262089696</v>
      </c>
      <c r="AC687">
        <f>MONTH(B687)</f>
        <v>8</v>
      </c>
      <c r="AD687">
        <f>YEAR(B687)</f>
        <v>2025</v>
      </c>
      <c r="AE687" s="10">
        <f t="shared" si="10"/>
        <v>1.9999999994979589E-3</v>
      </c>
      <c r="AF687" t="s">
        <v>2804</v>
      </c>
      <c r="AG687" t="s">
        <v>2811</v>
      </c>
    </row>
    <row r="688" spans="1:33">
      <c r="A688" t="s">
        <v>1342</v>
      </c>
      <c r="B688" s="4">
        <v>45882</v>
      </c>
      <c r="C688" s="4">
        <v>45886</v>
      </c>
      <c r="D688">
        <f>_xlfn.DAYS(C688,B688)</f>
        <v>4</v>
      </c>
      <c r="E688" t="s">
        <v>2804</v>
      </c>
      <c r="F688" t="s">
        <v>1343</v>
      </c>
      <c r="G688" t="s">
        <v>79</v>
      </c>
      <c r="H688" t="s">
        <v>95</v>
      </c>
      <c r="I688" t="s">
        <v>63</v>
      </c>
      <c r="J688" t="s">
        <v>72</v>
      </c>
      <c r="K688" t="s">
        <v>73</v>
      </c>
      <c r="L688" t="s">
        <v>74</v>
      </c>
      <c r="M688" t="s">
        <v>75</v>
      </c>
      <c r="N688" t="s">
        <v>1344</v>
      </c>
      <c r="O688" t="s">
        <v>31</v>
      </c>
      <c r="P688">
        <v>8</v>
      </c>
      <c r="Q688">
        <v>1918.23</v>
      </c>
      <c r="R688">
        <v>0</v>
      </c>
      <c r="S688">
        <f>IF(ISNUMBER(SEARCH("%",R688)), VALUE(SUBSTITUTE(R688,"%",""))/100,IF(ISNUMBER(R688), R688, 0))</f>
        <v>0</v>
      </c>
      <c r="T688" t="str">
        <f>IF(S688&lt;0,"Negative discount (invalid)",IF(S688&gt;0.5,"Discount above allowed range (invalid)",IF(AND(R688="",S688=0),"Missing discount set to 0","OK")))</f>
        <v>OK</v>
      </c>
      <c r="U688">
        <v>15345.84</v>
      </c>
      <c r="V688">
        <v>10735.33</v>
      </c>
      <c r="W688">
        <v>4610.51</v>
      </c>
      <c r="X688" t="s">
        <v>111</v>
      </c>
      <c r="Y688" t="s">
        <v>68</v>
      </c>
      <c r="Z688">
        <f>IF(T688="OK",P688*Q688*(1-S688),"invalid")</f>
        <v>15345.84</v>
      </c>
      <c r="AA688">
        <f>IF(Z688="N/A","N/A",Z688-V688)</f>
        <v>4610.51</v>
      </c>
      <c r="AB688" s="8">
        <f>IF(Z688&lt;&gt;"N/A", AA688/Z688, "N/A")</f>
        <v>0.30044037993358463</v>
      </c>
      <c r="AC688">
        <f>MONTH(B688)</f>
        <v>8</v>
      </c>
      <c r="AD688">
        <f>YEAR(B688)</f>
        <v>2025</v>
      </c>
      <c r="AE688" s="10">
        <f t="shared" si="10"/>
        <v>0</v>
      </c>
      <c r="AF688" t="s">
        <v>2804</v>
      </c>
      <c r="AG688" t="s">
        <v>2811</v>
      </c>
    </row>
    <row r="689" spans="1:33">
      <c r="A689" t="s">
        <v>1351</v>
      </c>
      <c r="B689" s="4">
        <v>45665</v>
      </c>
      <c r="C689" s="4">
        <v>45673</v>
      </c>
      <c r="D689">
        <f>_xlfn.DAYS(C689,B689)</f>
        <v>8</v>
      </c>
      <c r="E689" t="s">
        <v>2804</v>
      </c>
      <c r="F689" t="s">
        <v>1352</v>
      </c>
      <c r="G689" t="s">
        <v>79</v>
      </c>
      <c r="H689" t="s">
        <v>24</v>
      </c>
      <c r="I689" t="s">
        <v>54</v>
      </c>
      <c r="J689" t="s">
        <v>55</v>
      </c>
      <c r="K689" t="s">
        <v>56</v>
      </c>
      <c r="L689" t="s">
        <v>41</v>
      </c>
      <c r="M689" t="s">
        <v>57</v>
      </c>
      <c r="N689" t="s">
        <v>1353</v>
      </c>
      <c r="O689" t="s">
        <v>50</v>
      </c>
      <c r="P689">
        <v>8</v>
      </c>
      <c r="Q689">
        <v>638.95000000000005</v>
      </c>
      <c r="R689">
        <v>0.25</v>
      </c>
      <c r="S689">
        <f>IF(ISNUMBER(SEARCH("%",R689)), VALUE(SUBSTITUTE(R689,"%",""))/100,IF(ISNUMBER(R689), R689, 0))</f>
        <v>0.25</v>
      </c>
      <c r="T689" t="str">
        <f>IF(S689&lt;0,"Negative discount (invalid)",IF(S689&gt;0.5,"Discount above allowed range (invalid)",IF(AND(R689="",S689=0),"Missing discount set to 0","OK")))</f>
        <v>OK</v>
      </c>
      <c r="U689">
        <v>3833.7</v>
      </c>
      <c r="V689">
        <v>2886.35</v>
      </c>
      <c r="W689">
        <v>947.35</v>
      </c>
      <c r="X689" t="s">
        <v>32</v>
      </c>
      <c r="Y689" t="s">
        <v>33</v>
      </c>
      <c r="Z689">
        <f>IF(T689="OK",P689*Q689*(1-S689),"invalid")</f>
        <v>3833.7000000000003</v>
      </c>
      <c r="AA689">
        <f>IF(Z689="N/A","N/A",Z689-V689)</f>
        <v>947.35000000000036</v>
      </c>
      <c r="AB689" s="8">
        <f>IF(Z689&lt;&gt;"N/A", AA689/Z689, "N/A")</f>
        <v>0.24711114589039318</v>
      </c>
      <c r="AC689">
        <f>MONTH(B689)</f>
        <v>1</v>
      </c>
      <c r="AD689">
        <f>YEAR(B689)</f>
        <v>2025</v>
      </c>
      <c r="AE689" s="10">
        <f t="shared" si="10"/>
        <v>4.5474735088646412E-13</v>
      </c>
      <c r="AF689" t="s">
        <v>2804</v>
      </c>
      <c r="AG689" t="s">
        <v>2811</v>
      </c>
    </row>
    <row r="690" spans="1:33">
      <c r="A690" t="s">
        <v>1354</v>
      </c>
      <c r="B690" s="4">
        <v>45686</v>
      </c>
      <c r="C690" s="4">
        <v>45693</v>
      </c>
      <c r="D690">
        <f>_xlfn.DAYS(C690,B690)</f>
        <v>7</v>
      </c>
      <c r="E690" t="s">
        <v>2804</v>
      </c>
      <c r="F690" t="s">
        <v>1355</v>
      </c>
      <c r="G690" t="s">
        <v>36</v>
      </c>
      <c r="H690" t="s">
        <v>24</v>
      </c>
      <c r="I690" t="s">
        <v>63</v>
      </c>
      <c r="J690" t="s">
        <v>180</v>
      </c>
      <c r="K690" t="s">
        <v>181</v>
      </c>
      <c r="L690" t="s">
        <v>28</v>
      </c>
      <c r="M690" t="s">
        <v>48</v>
      </c>
      <c r="N690" t="s">
        <v>1356</v>
      </c>
      <c r="O690" t="s">
        <v>50</v>
      </c>
      <c r="P690">
        <v>6</v>
      </c>
      <c r="Q690">
        <v>3863</v>
      </c>
      <c r="R690">
        <v>0.2</v>
      </c>
      <c r="S690">
        <f>IF(ISNUMBER(SEARCH("%",R690)), VALUE(SUBSTITUTE(R690,"%",""))/100,IF(ISNUMBER(R690), R690, 0))</f>
        <v>0.2</v>
      </c>
      <c r="T690" t="str">
        <f>IF(S690&lt;0,"Negative discount (invalid)",IF(S690&gt;0.5,"Discount above allowed range (invalid)",IF(AND(R690="",S690=0),"Missing discount set to 0","OK")))</f>
        <v>OK</v>
      </c>
      <c r="U690">
        <v>18542.400000000001</v>
      </c>
      <c r="V690">
        <v>11193.75</v>
      </c>
      <c r="W690">
        <v>7348.65</v>
      </c>
      <c r="X690" t="s">
        <v>32</v>
      </c>
      <c r="Y690" t="s">
        <v>33</v>
      </c>
      <c r="Z690">
        <f>IF(T690="OK",P690*Q690*(1-S690),"invalid")</f>
        <v>18542.400000000001</v>
      </c>
      <c r="AA690">
        <f>IF(Z690="N/A","N/A",Z690-V690)</f>
        <v>7348.6500000000015</v>
      </c>
      <c r="AB690" s="8">
        <f>IF(Z690&lt;&gt;"N/A", AA690/Z690, "N/A")</f>
        <v>0.39631601087237905</v>
      </c>
      <c r="AC690">
        <f>MONTH(B690)</f>
        <v>1</v>
      </c>
      <c r="AD690">
        <f>YEAR(B690)</f>
        <v>2025</v>
      </c>
      <c r="AE690" s="10">
        <f t="shared" si="10"/>
        <v>0</v>
      </c>
      <c r="AF690" t="s">
        <v>2804</v>
      </c>
      <c r="AG690" t="s">
        <v>2811</v>
      </c>
    </row>
    <row r="691" spans="1:33">
      <c r="A691" t="s">
        <v>1360</v>
      </c>
      <c r="B691" s="4">
        <v>45926</v>
      </c>
      <c r="C691" s="4">
        <v>45930</v>
      </c>
      <c r="D691">
        <f>_xlfn.DAYS(C691,B691)</f>
        <v>4</v>
      </c>
      <c r="E691" t="s">
        <v>2804</v>
      </c>
      <c r="F691" t="s">
        <v>1361</v>
      </c>
      <c r="G691" t="s">
        <v>132</v>
      </c>
      <c r="H691" t="s">
        <v>95</v>
      </c>
      <c r="I691" t="s">
        <v>25</v>
      </c>
      <c r="J691" t="s">
        <v>236</v>
      </c>
      <c r="K691" t="s">
        <v>237</v>
      </c>
      <c r="L691" t="s">
        <v>74</v>
      </c>
      <c r="M691" t="s">
        <v>171</v>
      </c>
      <c r="N691" t="s">
        <v>1362</v>
      </c>
      <c r="O691" t="s">
        <v>44</v>
      </c>
      <c r="P691">
        <v>2</v>
      </c>
      <c r="Q691">
        <v>688.83</v>
      </c>
      <c r="R691">
        <v>0.05</v>
      </c>
      <c r="S691">
        <f>IF(ISNUMBER(SEARCH("%",R691)), VALUE(SUBSTITUTE(R691,"%",""))/100,IF(ISNUMBER(R691), R691, 0))</f>
        <v>0.05</v>
      </c>
      <c r="T691" t="str">
        <f>IF(S691&lt;0,"Negative discount (invalid)",IF(S691&gt;0.5,"Discount above allowed range (invalid)",IF(AND(R691="",S691=0),"Missing discount set to 0","OK")))</f>
        <v>OK</v>
      </c>
      <c r="U691">
        <v>1308.78</v>
      </c>
      <c r="V691">
        <v>843</v>
      </c>
      <c r="W691">
        <v>465.78</v>
      </c>
      <c r="X691" t="s">
        <v>32</v>
      </c>
      <c r="Y691" t="s">
        <v>33</v>
      </c>
      <c r="Z691">
        <f>IF(T691="OK",P691*Q691*(1-S691),"invalid")</f>
        <v>1308.777</v>
      </c>
      <c r="AA691">
        <f>IF(Z691="N/A","N/A",Z691-V691)</f>
        <v>465.77700000000004</v>
      </c>
      <c r="AB691" s="8">
        <f>IF(Z691&lt;&gt;"N/A", AA691/Z691, "N/A")</f>
        <v>0.35588721378813964</v>
      </c>
      <c r="AC691">
        <f>MONTH(B691)</f>
        <v>9</v>
      </c>
      <c r="AD691">
        <f>YEAR(B691)</f>
        <v>2025</v>
      </c>
      <c r="AE691" s="10">
        <f t="shared" si="10"/>
        <v>2.9999999999290594E-3</v>
      </c>
      <c r="AF691" t="s">
        <v>2804</v>
      </c>
      <c r="AG691" t="s">
        <v>2811</v>
      </c>
    </row>
    <row r="692" spans="1:33">
      <c r="A692" t="s">
        <v>1363</v>
      </c>
      <c r="B692" s="4">
        <v>45734</v>
      </c>
      <c r="C692" s="4">
        <v>45735</v>
      </c>
      <c r="D692">
        <f>_xlfn.DAYS(C692,B692)</f>
        <v>1</v>
      </c>
      <c r="E692" t="s">
        <v>2804</v>
      </c>
      <c r="F692" t="s">
        <v>1364</v>
      </c>
      <c r="G692" t="s">
        <v>47</v>
      </c>
      <c r="H692" t="s">
        <v>90</v>
      </c>
      <c r="I692" t="s">
        <v>54</v>
      </c>
      <c r="J692" t="s">
        <v>247</v>
      </c>
      <c r="K692" t="s">
        <v>248</v>
      </c>
      <c r="L692" t="s">
        <v>74</v>
      </c>
      <c r="M692" t="s">
        <v>274</v>
      </c>
      <c r="N692" t="s">
        <v>1365</v>
      </c>
      <c r="O692" t="s">
        <v>59</v>
      </c>
      <c r="P692">
        <v>2</v>
      </c>
      <c r="Q692">
        <v>1209.99</v>
      </c>
      <c r="R692">
        <v>0.25</v>
      </c>
      <c r="S692">
        <f>IF(ISNUMBER(SEARCH("%",R692)), VALUE(SUBSTITUTE(R692,"%",""))/100,IF(ISNUMBER(R692), R692, 0))</f>
        <v>0.25</v>
      </c>
      <c r="T692" t="str">
        <f>IF(S692&lt;0,"Negative discount (invalid)",IF(S692&gt;0.5,"Discount above allowed range (invalid)",IF(AND(R692="",S692=0),"Missing discount set to 0","OK")))</f>
        <v>OK</v>
      </c>
      <c r="U692">
        <v>1814.99</v>
      </c>
      <c r="V692">
        <v>1120.06</v>
      </c>
      <c r="W692">
        <v>694.93</v>
      </c>
      <c r="X692" t="s">
        <v>111</v>
      </c>
      <c r="Y692" t="s">
        <v>68</v>
      </c>
      <c r="Z692">
        <f>IF(T692="OK",P692*Q692*(1-S692),"invalid")</f>
        <v>1814.9850000000001</v>
      </c>
      <c r="AA692">
        <f>IF(Z692="N/A","N/A",Z692-V692)</f>
        <v>694.92500000000018</v>
      </c>
      <c r="AB692" s="8">
        <f>IF(Z692&lt;&gt;"N/A", AA692/Z692, "N/A")</f>
        <v>0.38288195219244242</v>
      </c>
      <c r="AC692">
        <f>MONTH(B692)</f>
        <v>3</v>
      </c>
      <c r="AD692">
        <f>YEAR(B692)</f>
        <v>2025</v>
      </c>
      <c r="AE692" s="10">
        <f t="shared" si="10"/>
        <v>4.9999999998817657E-3</v>
      </c>
      <c r="AF692" t="s">
        <v>2804</v>
      </c>
      <c r="AG692" t="s">
        <v>2811</v>
      </c>
    </row>
    <row r="693" spans="1:33">
      <c r="A693" t="s">
        <v>1366</v>
      </c>
      <c r="B693" s="4">
        <v>45822</v>
      </c>
      <c r="C693" s="4">
        <v>45827</v>
      </c>
      <c r="D693">
        <f>_xlfn.DAYS(C693,B693)</f>
        <v>5</v>
      </c>
      <c r="E693" t="s">
        <v>2804</v>
      </c>
      <c r="F693" t="s">
        <v>1367</v>
      </c>
      <c r="G693" t="s">
        <v>141</v>
      </c>
      <c r="H693" t="s">
        <v>37</v>
      </c>
      <c r="I693" t="s">
        <v>25</v>
      </c>
      <c r="J693" t="s">
        <v>350</v>
      </c>
      <c r="K693" t="s">
        <v>351</v>
      </c>
      <c r="L693" t="s">
        <v>28</v>
      </c>
      <c r="M693" t="s">
        <v>153</v>
      </c>
      <c r="N693" t="s">
        <v>1368</v>
      </c>
      <c r="O693" t="s">
        <v>44</v>
      </c>
      <c r="P693">
        <v>3</v>
      </c>
      <c r="Q693">
        <v>1037.45</v>
      </c>
      <c r="R693">
        <v>0.2</v>
      </c>
      <c r="S693">
        <f>IF(ISNUMBER(SEARCH("%",R693)), VALUE(SUBSTITUTE(R693,"%",""))/100,IF(ISNUMBER(R693), R693, 0))</f>
        <v>0.2</v>
      </c>
      <c r="T693" t="str">
        <f>IF(S693&lt;0,"Negative discount (invalid)",IF(S693&gt;0.5,"Discount above allowed range (invalid)",IF(AND(R693="",S693=0),"Missing discount set to 0","OK")))</f>
        <v>OK</v>
      </c>
      <c r="U693">
        <v>2489.88</v>
      </c>
      <c r="V693">
        <v>1707.52</v>
      </c>
      <c r="W693">
        <v>782.36</v>
      </c>
      <c r="X693" t="s">
        <v>111</v>
      </c>
      <c r="Y693" t="s">
        <v>103</v>
      </c>
      <c r="Z693">
        <f>IF(T693="OK",P693*Q693*(1-S693),"invalid")</f>
        <v>2489.8800000000006</v>
      </c>
      <c r="AA693">
        <f>IF(Z693="N/A","N/A",Z693-V693)</f>
        <v>782.36000000000058</v>
      </c>
      <c r="AB693" s="8">
        <f>IF(Z693&lt;&gt;"N/A", AA693/Z693, "N/A")</f>
        <v>0.31421594615001541</v>
      </c>
      <c r="AC693">
        <f>MONTH(B693)</f>
        <v>6</v>
      </c>
      <c r="AD693">
        <f>YEAR(B693)</f>
        <v>2025</v>
      </c>
      <c r="AE693" s="10">
        <f t="shared" si="10"/>
        <v>4.5474735088646412E-13</v>
      </c>
      <c r="AF693" t="s">
        <v>2804</v>
      </c>
      <c r="AG693" t="s">
        <v>2811</v>
      </c>
    </row>
    <row r="694" spans="1:33">
      <c r="A694" t="s">
        <v>1369</v>
      </c>
      <c r="B694" s="4">
        <v>45903</v>
      </c>
      <c r="C694" s="4">
        <v>45906</v>
      </c>
      <c r="D694">
        <f>_xlfn.DAYS(C694,B694)</f>
        <v>3</v>
      </c>
      <c r="E694" t="s">
        <v>2804</v>
      </c>
      <c r="F694" t="s">
        <v>1370</v>
      </c>
      <c r="G694" t="s">
        <v>264</v>
      </c>
      <c r="H694" t="s">
        <v>24</v>
      </c>
      <c r="I694" t="s">
        <v>63</v>
      </c>
      <c r="J694" t="s">
        <v>72</v>
      </c>
      <c r="K694" t="s">
        <v>73</v>
      </c>
      <c r="L694" t="s">
        <v>74</v>
      </c>
      <c r="M694" t="s">
        <v>80</v>
      </c>
      <c r="N694" t="s">
        <v>1371</v>
      </c>
      <c r="O694" t="s">
        <v>44</v>
      </c>
      <c r="P694">
        <v>7</v>
      </c>
      <c r="Q694">
        <v>688.85</v>
      </c>
      <c r="R694">
        <v>0.15</v>
      </c>
      <c r="S694">
        <f>IF(ISNUMBER(SEARCH("%",R694)), VALUE(SUBSTITUTE(R694,"%",""))/100,IF(ISNUMBER(R694), R694, 0))</f>
        <v>0.15</v>
      </c>
      <c r="T694" t="str">
        <f>IF(S694&lt;0,"Negative discount (invalid)",IF(S694&gt;0.5,"Discount above allowed range (invalid)",IF(AND(R694="",S694=0),"Missing discount set to 0","OK")))</f>
        <v>OK</v>
      </c>
      <c r="U694">
        <v>4098.66</v>
      </c>
      <c r="V694">
        <v>2678.06</v>
      </c>
      <c r="W694">
        <v>1420.6</v>
      </c>
      <c r="X694" t="s">
        <v>32</v>
      </c>
      <c r="Y694" t="s">
        <v>33</v>
      </c>
      <c r="Z694">
        <f>IF(T694="OK",P694*Q694*(1-S694),"invalid")</f>
        <v>4098.6574999999993</v>
      </c>
      <c r="AA694">
        <f>IF(Z694="N/A","N/A",Z694-V694)</f>
        <v>1420.5974999999994</v>
      </c>
      <c r="AB694" s="8">
        <f>IF(Z694&lt;&gt;"N/A", AA694/Z694, "N/A")</f>
        <v>0.34660068571233377</v>
      </c>
      <c r="AC694">
        <f>MONTH(B694)</f>
        <v>9</v>
      </c>
      <c r="AD694">
        <f>YEAR(B694)</f>
        <v>2025</v>
      </c>
      <c r="AE694" s="10">
        <f t="shared" si="10"/>
        <v>2.500000000509317E-3</v>
      </c>
      <c r="AF694" t="s">
        <v>2804</v>
      </c>
      <c r="AG694" t="s">
        <v>2811</v>
      </c>
    </row>
    <row r="695" spans="1:33">
      <c r="A695" t="s">
        <v>1385</v>
      </c>
      <c r="B695" s="4">
        <v>45769</v>
      </c>
      <c r="C695" s="4">
        <v>45771</v>
      </c>
      <c r="D695">
        <f>_xlfn.DAYS(C695,B695)</f>
        <v>2</v>
      </c>
      <c r="E695" t="s">
        <v>2804</v>
      </c>
      <c r="F695" t="s">
        <v>1386</v>
      </c>
      <c r="G695" t="s">
        <v>47</v>
      </c>
      <c r="H695" t="s">
        <v>90</v>
      </c>
      <c r="I695" t="s">
        <v>2785</v>
      </c>
      <c r="J695" t="s">
        <v>228</v>
      </c>
      <c r="K695" t="s">
        <v>229</v>
      </c>
      <c r="L695" t="s">
        <v>74</v>
      </c>
      <c r="M695" t="s">
        <v>75</v>
      </c>
      <c r="N695" t="s">
        <v>1387</v>
      </c>
      <c r="O695" t="s">
        <v>59</v>
      </c>
      <c r="P695">
        <v>9</v>
      </c>
      <c r="Q695">
        <v>2939.44</v>
      </c>
      <c r="R695">
        <v>0</v>
      </c>
      <c r="S695">
        <f>IF(ISNUMBER(SEARCH("%",R695)), VALUE(SUBSTITUTE(R695,"%",""))/100,IF(ISNUMBER(R695), R695, 0))</f>
        <v>0</v>
      </c>
      <c r="T695" t="str">
        <f>IF(S695&lt;0,"Negative discount (invalid)",IF(S695&gt;0.5,"Discount above allowed range (invalid)",IF(AND(R695="",S695=0),"Missing discount set to 0","OK")))</f>
        <v>OK</v>
      </c>
      <c r="U695">
        <v>26454.959999999999</v>
      </c>
      <c r="V695">
        <v>17630.25</v>
      </c>
      <c r="W695">
        <v>8824.7099999999991</v>
      </c>
      <c r="X695" t="s">
        <v>32</v>
      </c>
      <c r="Y695" t="s">
        <v>33</v>
      </c>
      <c r="Z695">
        <f>IF(T695="OK",P695*Q695*(1-S695),"invalid")</f>
        <v>26454.959999999999</v>
      </c>
      <c r="AA695">
        <f>IF(Z695="N/A","N/A",Z695-V695)</f>
        <v>8824.7099999999991</v>
      </c>
      <c r="AB695" s="8">
        <f>IF(Z695&lt;&gt;"N/A", AA695/Z695, "N/A")</f>
        <v>0.33357487594008833</v>
      </c>
      <c r="AC695">
        <f>MONTH(B695)</f>
        <v>4</v>
      </c>
      <c r="AD695">
        <f>YEAR(B695)</f>
        <v>2025</v>
      </c>
      <c r="AE695" s="10">
        <f t="shared" si="10"/>
        <v>0</v>
      </c>
      <c r="AF695" t="s">
        <v>2799</v>
      </c>
      <c r="AG695" t="s">
        <v>2798</v>
      </c>
    </row>
    <row r="696" spans="1:33">
      <c r="A696" t="s">
        <v>1388</v>
      </c>
      <c r="B696" s="4">
        <v>45731</v>
      </c>
      <c r="C696" s="4">
        <v>45738</v>
      </c>
      <c r="D696">
        <f>_xlfn.DAYS(C696,B696)</f>
        <v>7</v>
      </c>
      <c r="E696" t="s">
        <v>2804</v>
      </c>
      <c r="F696" t="s">
        <v>1389</v>
      </c>
      <c r="G696" t="s">
        <v>23</v>
      </c>
      <c r="H696" t="s">
        <v>37</v>
      </c>
      <c r="I696" t="s">
        <v>38</v>
      </c>
      <c r="J696" t="s">
        <v>99</v>
      </c>
      <c r="K696" t="s">
        <v>100</v>
      </c>
      <c r="L696" t="s">
        <v>74</v>
      </c>
      <c r="M696" t="s">
        <v>171</v>
      </c>
      <c r="N696" t="s">
        <v>1390</v>
      </c>
      <c r="O696" t="s">
        <v>44</v>
      </c>
      <c r="P696">
        <v>2</v>
      </c>
      <c r="Q696">
        <v>1235.93</v>
      </c>
      <c r="R696">
        <v>0.25</v>
      </c>
      <c r="S696">
        <f>IF(ISNUMBER(SEARCH("%",R696)), VALUE(SUBSTITUTE(R696,"%",""))/100,IF(ISNUMBER(R696), R696, 0))</f>
        <v>0.25</v>
      </c>
      <c r="T696" t="str">
        <f>IF(S696&lt;0,"Negative discount (invalid)",IF(S696&gt;0.5,"Discount above allowed range (invalid)",IF(AND(R696="",S696=0),"Missing discount set to 0","OK")))</f>
        <v>OK</v>
      </c>
      <c r="U696">
        <v>1853.89</v>
      </c>
      <c r="V696">
        <v>1101.23</v>
      </c>
      <c r="W696">
        <v>752.66</v>
      </c>
      <c r="X696" t="s">
        <v>111</v>
      </c>
      <c r="Y696" t="s">
        <v>68</v>
      </c>
      <c r="Z696">
        <f>IF(T696="OK",P696*Q696*(1-S696),"invalid")</f>
        <v>1853.895</v>
      </c>
      <c r="AA696">
        <f>IF(Z696="N/A","N/A",Z696-V696)</f>
        <v>752.66499999999996</v>
      </c>
      <c r="AB696" s="8">
        <f>IF(Z696&lt;&gt;"N/A", AA696/Z696, "N/A")</f>
        <v>0.40599116994220275</v>
      </c>
      <c r="AC696">
        <f>MONTH(B696)</f>
        <v>3</v>
      </c>
      <c r="AD696">
        <f>YEAR(B696)</f>
        <v>2025</v>
      </c>
      <c r="AE696" s="10">
        <f t="shared" si="10"/>
        <v>4.9999999998817657E-3</v>
      </c>
      <c r="AF696" t="s">
        <v>2804</v>
      </c>
      <c r="AG696" t="s">
        <v>2811</v>
      </c>
    </row>
    <row r="697" spans="1:33">
      <c r="A697" t="s">
        <v>1391</v>
      </c>
      <c r="B697" s="4">
        <v>45717</v>
      </c>
      <c r="C697" s="4">
        <v>45724</v>
      </c>
      <c r="D697">
        <f>_xlfn.DAYS(C697,B697)</f>
        <v>7</v>
      </c>
      <c r="E697" t="s">
        <v>2804</v>
      </c>
      <c r="F697" t="s">
        <v>1392</v>
      </c>
      <c r="G697" t="s">
        <v>79</v>
      </c>
      <c r="H697" t="s">
        <v>95</v>
      </c>
      <c r="I697" t="s">
        <v>25</v>
      </c>
      <c r="J697" t="s">
        <v>26</v>
      </c>
      <c r="K697" t="s">
        <v>27</v>
      </c>
      <c r="L697" t="s">
        <v>74</v>
      </c>
      <c r="M697" t="s">
        <v>80</v>
      </c>
      <c r="N697" t="s">
        <v>1393</v>
      </c>
      <c r="O697" t="s">
        <v>44</v>
      </c>
      <c r="P697">
        <v>8</v>
      </c>
      <c r="Q697">
        <v>2943.1</v>
      </c>
      <c r="R697">
        <v>0.25</v>
      </c>
      <c r="S697">
        <f>IF(ISNUMBER(SEARCH("%",R697)), VALUE(SUBSTITUTE(R697,"%",""))/100,IF(ISNUMBER(R697), R697, 0))</f>
        <v>0.25</v>
      </c>
      <c r="T697" t="str">
        <f>IF(S697&lt;0,"Negative discount (invalid)",IF(S697&gt;0.5,"Discount above allowed range (invalid)",IF(AND(R697="",S697=0),"Missing discount set to 0","OK")))</f>
        <v>OK</v>
      </c>
      <c r="U697">
        <v>17658.599999999999</v>
      </c>
      <c r="V697">
        <v>13842.48</v>
      </c>
      <c r="W697">
        <v>3816.12</v>
      </c>
      <c r="X697" t="s">
        <v>32</v>
      </c>
      <c r="Y697" t="s">
        <v>33</v>
      </c>
      <c r="Z697">
        <f>IF(T697="OK",P697*Q697*(1-S697),"invalid")</f>
        <v>17658.599999999999</v>
      </c>
      <c r="AA697">
        <f>IF(Z697="N/A","N/A",Z697-V697)</f>
        <v>3816.119999999999</v>
      </c>
      <c r="AB697" s="8">
        <f>IF(Z697&lt;&gt;"N/A", AA697/Z697, "N/A")</f>
        <v>0.2161054670245659</v>
      </c>
      <c r="AC697">
        <f>MONTH(B697)</f>
        <v>3</v>
      </c>
      <c r="AD697">
        <f>YEAR(B697)</f>
        <v>2025</v>
      </c>
      <c r="AE697" s="10">
        <f t="shared" si="10"/>
        <v>0</v>
      </c>
      <c r="AF697" t="s">
        <v>2804</v>
      </c>
      <c r="AG697" t="s">
        <v>2811</v>
      </c>
    </row>
    <row r="698" spans="1:33">
      <c r="A698" t="s">
        <v>1406</v>
      </c>
      <c r="B698" s="4">
        <v>45758</v>
      </c>
      <c r="C698" s="4">
        <v>45762</v>
      </c>
      <c r="D698">
        <f>_xlfn.DAYS(C698,B698)</f>
        <v>4</v>
      </c>
      <c r="E698" t="s">
        <v>2804</v>
      </c>
      <c r="F698" t="s">
        <v>1407</v>
      </c>
      <c r="G698" t="s">
        <v>36</v>
      </c>
      <c r="H698" t="s">
        <v>95</v>
      </c>
      <c r="I698" t="s">
        <v>25</v>
      </c>
      <c r="J698" t="s">
        <v>136</v>
      </c>
      <c r="K698" t="s">
        <v>137</v>
      </c>
      <c r="L698" t="s">
        <v>74</v>
      </c>
      <c r="M698" t="s">
        <v>75</v>
      </c>
      <c r="N698" t="s">
        <v>1408</v>
      </c>
      <c r="O698" t="s">
        <v>31</v>
      </c>
      <c r="P698">
        <v>5</v>
      </c>
      <c r="Q698">
        <v>652.78</v>
      </c>
      <c r="R698">
        <v>0</v>
      </c>
      <c r="S698">
        <f>IF(ISNUMBER(SEARCH("%",R698)), VALUE(SUBSTITUTE(R698,"%",""))/100,IF(ISNUMBER(R698), R698, 0))</f>
        <v>0</v>
      </c>
      <c r="T698" t="str">
        <f>IF(S698&lt;0,"Negative discount (invalid)",IF(S698&gt;0.5,"Discount above allowed range (invalid)",IF(AND(R698="",S698=0),"Missing discount set to 0","OK")))</f>
        <v>OK</v>
      </c>
      <c r="U698">
        <v>3263.9</v>
      </c>
      <c r="V698">
        <v>2068.44</v>
      </c>
      <c r="W698">
        <v>1195.46</v>
      </c>
      <c r="X698" t="s">
        <v>32</v>
      </c>
      <c r="Y698" t="s">
        <v>33</v>
      </c>
      <c r="Z698">
        <f>IF(T698="OK",P698*Q698*(1-S698),"invalid")</f>
        <v>3263.8999999999996</v>
      </c>
      <c r="AA698">
        <f>IF(Z698="N/A","N/A",Z698-V698)</f>
        <v>1195.4599999999996</v>
      </c>
      <c r="AB698" s="8">
        <f>IF(Z698&lt;&gt;"N/A", AA698/Z698, "N/A")</f>
        <v>0.3662673488771101</v>
      </c>
      <c r="AC698">
        <f>MONTH(B698)</f>
        <v>4</v>
      </c>
      <c r="AD698">
        <f>YEAR(B698)</f>
        <v>2025</v>
      </c>
      <c r="AE698" s="10">
        <f t="shared" si="10"/>
        <v>4.5474735088646412E-13</v>
      </c>
      <c r="AF698" t="s">
        <v>2804</v>
      </c>
      <c r="AG698" t="s">
        <v>2811</v>
      </c>
    </row>
    <row r="699" spans="1:33">
      <c r="A699" t="s">
        <v>1409</v>
      </c>
      <c r="B699" s="4">
        <v>45759</v>
      </c>
      <c r="C699" s="4">
        <v>45767</v>
      </c>
      <c r="D699">
        <f>_xlfn.DAYS(C699,B699)</f>
        <v>8</v>
      </c>
      <c r="E699" t="s">
        <v>2804</v>
      </c>
      <c r="F699" t="s">
        <v>1410</v>
      </c>
      <c r="G699" t="s">
        <v>264</v>
      </c>
      <c r="H699" t="s">
        <v>95</v>
      </c>
      <c r="I699" t="s">
        <v>25</v>
      </c>
      <c r="J699" t="s">
        <v>350</v>
      </c>
      <c r="K699" t="s">
        <v>351</v>
      </c>
      <c r="L699" t="s">
        <v>74</v>
      </c>
      <c r="M699" t="s">
        <v>274</v>
      </c>
      <c r="N699" t="s">
        <v>1411</v>
      </c>
      <c r="O699" t="s">
        <v>59</v>
      </c>
      <c r="P699">
        <v>1</v>
      </c>
      <c r="Q699">
        <v>2737.71</v>
      </c>
      <c r="R699">
        <v>0.15</v>
      </c>
      <c r="S699">
        <f>IF(ISNUMBER(SEARCH("%",R699)), VALUE(SUBSTITUTE(R699,"%",""))/100,IF(ISNUMBER(R699), R699, 0))</f>
        <v>0.15</v>
      </c>
      <c r="T699" t="str">
        <f>IF(S699&lt;0,"Negative discount (invalid)",IF(S699&gt;0.5,"Discount above allowed range (invalid)",IF(AND(R699="",S699=0),"Missing discount set to 0","OK")))</f>
        <v>OK</v>
      </c>
      <c r="U699">
        <v>2327.0500000000002</v>
      </c>
      <c r="V699">
        <v>1919.42</v>
      </c>
      <c r="W699">
        <v>407.63</v>
      </c>
      <c r="X699" t="s">
        <v>32</v>
      </c>
      <c r="Y699" t="s">
        <v>68</v>
      </c>
      <c r="Z699">
        <f>IF(T699="OK",P699*Q699*(1-S699),"invalid")</f>
        <v>2327.0535</v>
      </c>
      <c r="AA699">
        <f>IF(Z699="N/A","N/A",Z699-V699)</f>
        <v>407.63349999999991</v>
      </c>
      <c r="AB699" s="8">
        <f>IF(Z699&lt;&gt;"N/A", AA699/Z699, "N/A")</f>
        <v>0.17517152055163318</v>
      </c>
      <c r="AC699">
        <f>MONTH(B699)</f>
        <v>4</v>
      </c>
      <c r="AD699">
        <f>YEAR(B699)</f>
        <v>2025</v>
      </c>
      <c r="AE699" s="10">
        <f t="shared" si="10"/>
        <v>3.4999999998035491E-3</v>
      </c>
      <c r="AF699" t="s">
        <v>2804</v>
      </c>
      <c r="AG699" t="s">
        <v>2811</v>
      </c>
    </row>
    <row r="700" spans="1:33">
      <c r="A700" t="s">
        <v>1418</v>
      </c>
      <c r="B700" s="4">
        <v>45784</v>
      </c>
      <c r="C700" s="4">
        <v>45782</v>
      </c>
      <c r="D700">
        <f>_xlfn.DAYS(C700,B700)</f>
        <v>-2</v>
      </c>
      <c r="E700" t="str">
        <f>IF(B700="INVALID","Missing/Invalid order_date", IF(C700="INVALID","Missing/Invalid ship_date",IF(AND(B700&lt;&gt;"",C700&lt;&gt;"",C700&lt;B700),"Ship date before order date","")))</f>
        <v>Ship date before order date</v>
      </c>
      <c r="F700" t="s">
        <v>1419</v>
      </c>
      <c r="G700" t="s">
        <v>79</v>
      </c>
      <c r="H700" t="s">
        <v>90</v>
      </c>
      <c r="I700" t="s">
        <v>38</v>
      </c>
      <c r="J700" t="s">
        <v>228</v>
      </c>
      <c r="K700" t="s">
        <v>229</v>
      </c>
      <c r="L700" t="s">
        <v>74</v>
      </c>
      <c r="M700" t="s">
        <v>171</v>
      </c>
      <c r="N700" t="s">
        <v>1420</v>
      </c>
      <c r="O700" t="s">
        <v>59</v>
      </c>
      <c r="P700">
        <v>1</v>
      </c>
      <c r="Q700">
        <v>2266.4699999999998</v>
      </c>
      <c r="R700">
        <v>0.2</v>
      </c>
      <c r="S700">
        <f>IF(ISNUMBER(SEARCH("%",R700)), VALUE(SUBSTITUTE(R700,"%",""))/100,IF(ISNUMBER(R700), R700, 0))</f>
        <v>0.2</v>
      </c>
      <c r="T700" t="str">
        <f>IF(S700&lt;0,"Negative discount (invalid)",IF(S700&gt;0.5,"Discount above allowed range (invalid)",IF(AND(R700="",S700=0),"Missing discount set to 0","OK")))</f>
        <v>OK</v>
      </c>
      <c r="U700">
        <v>1813.18</v>
      </c>
      <c r="V700">
        <v>1363.64</v>
      </c>
      <c r="W700">
        <v>449.54</v>
      </c>
      <c r="X700" t="s">
        <v>32</v>
      </c>
      <c r="Y700" t="s">
        <v>33</v>
      </c>
      <c r="Z700">
        <f>IF(T700="OK",P700*Q700*(1-S700),"invalid")</f>
        <v>1813.1759999999999</v>
      </c>
      <c r="AA700">
        <f>IF(Z700="N/A","N/A",Z700-V700)</f>
        <v>449.53599999999983</v>
      </c>
      <c r="AB700" s="8">
        <f>IF(Z700&lt;&gt;"N/A", AA700/Z700, "N/A")</f>
        <v>0.24792739370033567</v>
      </c>
      <c r="AC700">
        <f>MONTH(B700)</f>
        <v>5</v>
      </c>
      <c r="AD700">
        <f>YEAR(B700)</f>
        <v>2025</v>
      </c>
      <c r="AE700" s="10">
        <f t="shared" si="10"/>
        <v>4.0000000001327862E-3</v>
      </c>
      <c r="AF700" t="s">
        <v>2806</v>
      </c>
      <c r="AG700" t="s">
        <v>2789</v>
      </c>
    </row>
    <row r="701" spans="1:33">
      <c r="A701" t="s">
        <v>1421</v>
      </c>
      <c r="B701" s="4">
        <v>45838</v>
      </c>
      <c r="C701" s="4">
        <v>45841</v>
      </c>
      <c r="D701">
        <f>_xlfn.DAYS(C701,B701)</f>
        <v>3</v>
      </c>
      <c r="E701" t="s">
        <v>2804</v>
      </c>
      <c r="F701" t="s">
        <v>1422</v>
      </c>
      <c r="G701" t="s">
        <v>128</v>
      </c>
      <c r="H701" t="s">
        <v>95</v>
      </c>
      <c r="I701" t="s">
        <v>63</v>
      </c>
      <c r="J701" t="s">
        <v>190</v>
      </c>
      <c r="K701" t="s">
        <v>191</v>
      </c>
      <c r="L701" t="s">
        <v>28</v>
      </c>
      <c r="M701" t="s">
        <v>124</v>
      </c>
      <c r="N701" t="s">
        <v>1423</v>
      </c>
      <c r="O701" t="s">
        <v>44</v>
      </c>
      <c r="P701">
        <v>5</v>
      </c>
      <c r="Q701">
        <v>665.25</v>
      </c>
      <c r="R701">
        <v>0</v>
      </c>
      <c r="S701">
        <f>IF(ISNUMBER(SEARCH("%",R701)), VALUE(SUBSTITUTE(R701,"%",""))/100,IF(ISNUMBER(R701), R701, 0))</f>
        <v>0</v>
      </c>
      <c r="T701" t="str">
        <f>IF(S701&lt;0,"Negative discount (invalid)",IF(S701&gt;0.5,"Discount above allowed range (invalid)",IF(AND(R701="",S701=0),"Missing discount set to 0","OK")))</f>
        <v>OK</v>
      </c>
      <c r="U701">
        <v>3326.25</v>
      </c>
      <c r="V701">
        <v>2689.36</v>
      </c>
      <c r="W701">
        <v>636.89</v>
      </c>
      <c r="X701" t="s">
        <v>102</v>
      </c>
      <c r="Y701" t="s">
        <v>103</v>
      </c>
      <c r="Z701">
        <f>IF(T701="OK",P701*Q701*(1-S701),"invalid")</f>
        <v>3326.25</v>
      </c>
      <c r="AA701">
        <f>IF(Z701="N/A","N/A",Z701-V701)</f>
        <v>636.88999999999987</v>
      </c>
      <c r="AB701" s="8">
        <f>IF(Z701&lt;&gt;"N/A", AA701/Z701, "N/A")</f>
        <v>0.19147388199924836</v>
      </c>
      <c r="AC701">
        <f>MONTH(B701)</f>
        <v>6</v>
      </c>
      <c r="AD701">
        <f>YEAR(B701)</f>
        <v>2025</v>
      </c>
      <c r="AE701" s="10">
        <f t="shared" si="10"/>
        <v>0</v>
      </c>
      <c r="AF701" t="s">
        <v>2804</v>
      </c>
      <c r="AG701" t="s">
        <v>2811</v>
      </c>
    </row>
    <row r="702" spans="1:33">
      <c r="A702" t="s">
        <v>1429</v>
      </c>
      <c r="B702" s="4">
        <v>45669</v>
      </c>
      <c r="C702" s="4">
        <v>45676</v>
      </c>
      <c r="D702">
        <f>_xlfn.DAYS(C702,B702)</f>
        <v>7</v>
      </c>
      <c r="E702" t="s">
        <v>2804</v>
      </c>
      <c r="F702" t="s">
        <v>1430</v>
      </c>
      <c r="G702" t="s">
        <v>128</v>
      </c>
      <c r="H702" t="s">
        <v>24</v>
      </c>
      <c r="I702" t="s">
        <v>38</v>
      </c>
      <c r="J702" t="s">
        <v>228</v>
      </c>
      <c r="K702" t="s">
        <v>229</v>
      </c>
      <c r="L702" t="s">
        <v>41</v>
      </c>
      <c r="M702" t="s">
        <v>42</v>
      </c>
      <c r="N702" t="s">
        <v>1431</v>
      </c>
      <c r="O702" t="s">
        <v>50</v>
      </c>
      <c r="P702">
        <v>1</v>
      </c>
      <c r="Q702">
        <v>1842.31</v>
      </c>
      <c r="R702">
        <v>0</v>
      </c>
      <c r="S702">
        <f>IF(ISNUMBER(SEARCH("%",R702)), VALUE(SUBSTITUTE(R702,"%",""))/100,IF(ISNUMBER(R702), R702, 0))</f>
        <v>0</v>
      </c>
      <c r="T702" t="str">
        <f>IF(S702&lt;0,"Negative discount (invalid)",IF(S702&gt;0.5,"Discount above allowed range (invalid)",IF(AND(R702="",S702=0),"Missing discount set to 0","OK")))</f>
        <v>OK</v>
      </c>
      <c r="U702">
        <v>1842.31</v>
      </c>
      <c r="V702">
        <v>1019.17</v>
      </c>
      <c r="W702">
        <v>823.14</v>
      </c>
      <c r="X702" t="s">
        <v>32</v>
      </c>
      <c r="Y702" t="s">
        <v>33</v>
      </c>
      <c r="Z702">
        <f>IF(T702="OK",P702*Q702*(1-S702),"invalid")</f>
        <v>1842.31</v>
      </c>
      <c r="AA702">
        <f>IF(Z702="N/A","N/A",Z702-V702)</f>
        <v>823.14</v>
      </c>
      <c r="AB702" s="8">
        <f>IF(Z702&lt;&gt;"N/A", AA702/Z702, "N/A")</f>
        <v>0.44679777019068451</v>
      </c>
      <c r="AC702">
        <f>MONTH(B702)</f>
        <v>1</v>
      </c>
      <c r="AD702">
        <f>YEAR(B702)</f>
        <v>2025</v>
      </c>
      <c r="AE702" s="10">
        <f t="shared" si="10"/>
        <v>0</v>
      </c>
      <c r="AF702" t="s">
        <v>2804</v>
      </c>
      <c r="AG702" t="s">
        <v>2811</v>
      </c>
    </row>
    <row r="703" spans="1:33">
      <c r="A703" t="s">
        <v>1435</v>
      </c>
      <c r="B703" s="4">
        <v>45881</v>
      </c>
      <c r="C703" s="4">
        <v>45885</v>
      </c>
      <c r="D703">
        <f>_xlfn.DAYS(C703,B703)</f>
        <v>4</v>
      </c>
      <c r="E703" t="s">
        <v>2804</v>
      </c>
      <c r="F703" t="s">
        <v>1436</v>
      </c>
      <c r="G703" t="s">
        <v>62</v>
      </c>
      <c r="H703" t="s">
        <v>24</v>
      </c>
      <c r="I703" t="s">
        <v>38</v>
      </c>
      <c r="J703" t="s">
        <v>166</v>
      </c>
      <c r="K703" t="s">
        <v>167</v>
      </c>
      <c r="L703" t="s">
        <v>74</v>
      </c>
      <c r="M703" t="s">
        <v>75</v>
      </c>
      <c r="N703" t="s">
        <v>1437</v>
      </c>
      <c r="O703" t="s">
        <v>44</v>
      </c>
      <c r="P703">
        <v>9</v>
      </c>
      <c r="Q703">
        <v>2379.2399999999998</v>
      </c>
      <c r="R703">
        <v>0.05</v>
      </c>
      <c r="S703">
        <f>IF(ISNUMBER(SEARCH("%",R703)), VALUE(SUBSTITUTE(R703,"%",""))/100,IF(ISNUMBER(R703), R703, 0))</f>
        <v>0.05</v>
      </c>
      <c r="T703" t="str">
        <f>IF(S703&lt;0,"Negative discount (invalid)",IF(S703&gt;0.5,"Discount above allowed range (invalid)",IF(AND(R703="",S703=0),"Missing discount set to 0","OK")))</f>
        <v>OK</v>
      </c>
      <c r="U703">
        <v>20342.5</v>
      </c>
      <c r="V703">
        <v>12407.51</v>
      </c>
      <c r="W703">
        <v>7934.99</v>
      </c>
      <c r="X703" t="s">
        <v>32</v>
      </c>
      <c r="Y703" t="s">
        <v>33</v>
      </c>
      <c r="Z703">
        <f>IF(T703="OK",P703*Q703*(1-S703),"invalid")</f>
        <v>20342.501999999997</v>
      </c>
      <c r="AA703">
        <f>IF(Z703="N/A","N/A",Z703-V703)</f>
        <v>7934.9919999999966</v>
      </c>
      <c r="AB703" s="8">
        <f>IF(Z703&lt;&gt;"N/A", AA703/Z703, "N/A")</f>
        <v>0.39006961877157481</v>
      </c>
      <c r="AC703">
        <f>MONTH(B703)</f>
        <v>8</v>
      </c>
      <c r="AD703">
        <f>YEAR(B703)</f>
        <v>2025</v>
      </c>
      <c r="AE703" s="10">
        <f t="shared" si="10"/>
        <v>1.9999999967694748E-3</v>
      </c>
      <c r="AF703" t="s">
        <v>2804</v>
      </c>
      <c r="AG703" t="s">
        <v>2811</v>
      </c>
    </row>
    <row r="704" spans="1:33">
      <c r="A704" t="s">
        <v>1441</v>
      </c>
      <c r="B704" s="4">
        <v>45918</v>
      </c>
      <c r="C704" s="4">
        <v>45919</v>
      </c>
      <c r="D704">
        <f>_xlfn.DAYS(C704,B704)</f>
        <v>1</v>
      </c>
      <c r="E704" t="s">
        <v>2804</v>
      </c>
      <c r="F704" t="s">
        <v>1442</v>
      </c>
      <c r="G704" t="s">
        <v>132</v>
      </c>
      <c r="H704" t="s">
        <v>95</v>
      </c>
      <c r="I704" t="s">
        <v>54</v>
      </c>
      <c r="J704" t="s">
        <v>84</v>
      </c>
      <c r="K704" t="s">
        <v>85</v>
      </c>
      <c r="L704" t="s">
        <v>28</v>
      </c>
      <c r="M704" t="s">
        <v>124</v>
      </c>
      <c r="N704" t="s">
        <v>1443</v>
      </c>
      <c r="O704" t="s">
        <v>44</v>
      </c>
      <c r="P704">
        <v>8</v>
      </c>
      <c r="Q704">
        <v>4242.51</v>
      </c>
      <c r="R704">
        <v>0</v>
      </c>
      <c r="S704">
        <f>IF(ISNUMBER(SEARCH("%",R704)), VALUE(SUBSTITUTE(R704,"%",""))/100,IF(ISNUMBER(R704), R704, 0))</f>
        <v>0</v>
      </c>
      <c r="T704" t="str">
        <f>IF(S704&lt;0,"Negative discount (invalid)",IF(S704&gt;0.5,"Discount above allowed range (invalid)",IF(AND(R704="",S704=0),"Missing discount set to 0","OK")))</f>
        <v>OK</v>
      </c>
      <c r="U704">
        <v>33940.080000000002</v>
      </c>
      <c r="V704">
        <v>23754.19</v>
      </c>
      <c r="W704">
        <v>10185.89</v>
      </c>
      <c r="X704" t="s">
        <v>32</v>
      </c>
      <c r="Y704" t="s">
        <v>33</v>
      </c>
      <c r="Z704">
        <f>IF(T704="OK",P704*Q704*(1-S704),"invalid")</f>
        <v>33940.080000000002</v>
      </c>
      <c r="AA704">
        <f>IF(Z704="N/A","N/A",Z704-V704)</f>
        <v>10185.890000000003</v>
      </c>
      <c r="AB704" s="8">
        <f>IF(Z704&lt;&gt;"N/A", AA704/Z704, "N/A")</f>
        <v>0.30011390662603044</v>
      </c>
      <c r="AC704">
        <f>MONTH(B704)</f>
        <v>9</v>
      </c>
      <c r="AD704">
        <f>YEAR(B704)</f>
        <v>2025</v>
      </c>
      <c r="AE704" s="10">
        <f t="shared" si="10"/>
        <v>0</v>
      </c>
      <c r="AF704" t="s">
        <v>2804</v>
      </c>
      <c r="AG704" t="s">
        <v>2811</v>
      </c>
    </row>
    <row r="705" spans="1:33">
      <c r="A705" t="s">
        <v>1444</v>
      </c>
      <c r="B705" s="4">
        <v>45879</v>
      </c>
      <c r="C705" s="4">
        <v>45879</v>
      </c>
      <c r="D705">
        <f>_xlfn.DAYS(C705,B705)</f>
        <v>0</v>
      </c>
      <c r="E705" t="s">
        <v>2804</v>
      </c>
      <c r="F705" t="s">
        <v>1445</v>
      </c>
      <c r="G705" t="s">
        <v>141</v>
      </c>
      <c r="H705" t="s">
        <v>95</v>
      </c>
      <c r="I705" t="s">
        <v>54</v>
      </c>
      <c r="J705" t="s">
        <v>55</v>
      </c>
      <c r="K705" t="s">
        <v>56</v>
      </c>
      <c r="L705" t="s">
        <v>41</v>
      </c>
      <c r="M705" t="s">
        <v>158</v>
      </c>
      <c r="N705" t="s">
        <v>1446</v>
      </c>
      <c r="O705" t="s">
        <v>59</v>
      </c>
      <c r="P705">
        <v>6</v>
      </c>
      <c r="Q705">
        <v>4288.7</v>
      </c>
      <c r="R705">
        <v>0.15</v>
      </c>
      <c r="S705">
        <f>IF(ISNUMBER(SEARCH("%",R705)), VALUE(SUBSTITUTE(R705,"%",""))/100,IF(ISNUMBER(R705), R705, 0))</f>
        <v>0.15</v>
      </c>
      <c r="T705" t="str">
        <f>IF(S705&lt;0,"Negative discount (invalid)",IF(S705&gt;0.5,"Discount above allowed range (invalid)",IF(AND(R705="",S705=0),"Missing discount set to 0","OK")))</f>
        <v>OK</v>
      </c>
      <c r="U705">
        <v>21872.37</v>
      </c>
      <c r="V705">
        <v>13829.5</v>
      </c>
      <c r="W705">
        <v>8042.87</v>
      </c>
      <c r="X705" t="s">
        <v>111</v>
      </c>
      <c r="Y705" t="s">
        <v>103</v>
      </c>
      <c r="Z705">
        <f>IF(T705="OK",P705*Q705*(1-S705),"invalid")</f>
        <v>21872.369999999995</v>
      </c>
      <c r="AA705">
        <f>IF(Z705="N/A","N/A",Z705-V705)</f>
        <v>8042.8699999999953</v>
      </c>
      <c r="AB705" s="8">
        <f>IF(Z705&lt;&gt;"N/A", AA705/Z705, "N/A")</f>
        <v>0.36771826738483288</v>
      </c>
      <c r="AC705">
        <f>MONTH(B705)</f>
        <v>8</v>
      </c>
      <c r="AD705">
        <f>YEAR(B705)</f>
        <v>2025</v>
      </c>
      <c r="AE705" s="10">
        <f t="shared" si="10"/>
        <v>3.637978807091713E-12</v>
      </c>
      <c r="AF705" t="s">
        <v>2804</v>
      </c>
      <c r="AG705" t="s">
        <v>2811</v>
      </c>
    </row>
    <row r="706" spans="1:33">
      <c r="A706" t="s">
        <v>1452</v>
      </c>
      <c r="B706" s="4">
        <v>45820</v>
      </c>
      <c r="C706" s="4">
        <v>45827</v>
      </c>
      <c r="D706">
        <f>_xlfn.DAYS(C706,B706)</f>
        <v>7</v>
      </c>
      <c r="E706" t="s">
        <v>2804</v>
      </c>
      <c r="F706" t="s">
        <v>1453</v>
      </c>
      <c r="G706" t="s">
        <v>62</v>
      </c>
      <c r="H706" t="s">
        <v>90</v>
      </c>
      <c r="I706" t="s">
        <v>25</v>
      </c>
      <c r="J706" t="s">
        <v>350</v>
      </c>
      <c r="K706" t="s">
        <v>351</v>
      </c>
      <c r="L706" t="s">
        <v>41</v>
      </c>
      <c r="M706" t="s">
        <v>66</v>
      </c>
      <c r="N706" t="s">
        <v>1454</v>
      </c>
      <c r="O706" t="s">
        <v>59</v>
      </c>
      <c r="P706">
        <v>9</v>
      </c>
      <c r="Q706">
        <v>2278.5700000000002</v>
      </c>
      <c r="R706">
        <v>0.25</v>
      </c>
      <c r="S706">
        <f>IF(ISNUMBER(SEARCH("%",R706)), VALUE(SUBSTITUTE(R706,"%",""))/100,IF(ISNUMBER(R706), R706, 0))</f>
        <v>0.25</v>
      </c>
      <c r="T706" t="str">
        <f>IF(S706&lt;0,"Negative discount (invalid)",IF(S706&gt;0.5,"Discount above allowed range (invalid)",IF(AND(R706="",S706=0),"Missing discount set to 0","OK")))</f>
        <v>OK</v>
      </c>
      <c r="U706">
        <v>15380.35</v>
      </c>
      <c r="V706">
        <v>9907.3700000000008</v>
      </c>
      <c r="W706">
        <v>5472.98</v>
      </c>
      <c r="X706" t="s">
        <v>32</v>
      </c>
      <c r="Y706" t="s">
        <v>33</v>
      </c>
      <c r="Z706">
        <f>IF(T706="OK",P706*Q706*(1-S706),"invalid")</f>
        <v>15380.3475</v>
      </c>
      <c r="AA706">
        <f>IF(Z706="N/A","N/A",Z706-V706)</f>
        <v>5472.9774999999991</v>
      </c>
      <c r="AB706" s="8">
        <f>IF(Z706&lt;&gt;"N/A", AA706/Z706, "N/A")</f>
        <v>0.35584225258889624</v>
      </c>
      <c r="AC706">
        <f>MONTH(B706)</f>
        <v>6</v>
      </c>
      <c r="AD706">
        <f>YEAR(B706)</f>
        <v>2025</v>
      </c>
      <c r="AE706" s="10">
        <f t="shared" si="10"/>
        <v>2.500000000509317E-3</v>
      </c>
      <c r="AF706" t="s">
        <v>2804</v>
      </c>
      <c r="AG706" t="s">
        <v>2811</v>
      </c>
    </row>
    <row r="707" spans="1:33">
      <c r="A707" t="s">
        <v>1461</v>
      </c>
      <c r="B707" s="4">
        <v>45780</v>
      </c>
      <c r="C707" s="4">
        <v>45788</v>
      </c>
      <c r="D707">
        <f>_xlfn.DAYS(C707,B707)</f>
        <v>8</v>
      </c>
      <c r="E707" t="s">
        <v>2804</v>
      </c>
      <c r="F707" t="s">
        <v>1462</v>
      </c>
      <c r="G707" t="s">
        <v>141</v>
      </c>
      <c r="H707" t="s">
        <v>37</v>
      </c>
      <c r="I707" t="s">
        <v>63</v>
      </c>
      <c r="J707" t="s">
        <v>72</v>
      </c>
      <c r="K707" t="s">
        <v>73</v>
      </c>
      <c r="L707" t="s">
        <v>28</v>
      </c>
      <c r="M707" t="s">
        <v>91</v>
      </c>
      <c r="N707" t="s">
        <v>1463</v>
      </c>
      <c r="O707" t="s">
        <v>44</v>
      </c>
      <c r="P707">
        <v>5</v>
      </c>
      <c r="Q707">
        <v>1483.52</v>
      </c>
      <c r="R707">
        <v>0</v>
      </c>
      <c r="S707">
        <f>IF(ISNUMBER(SEARCH("%",R707)), VALUE(SUBSTITUTE(R707,"%",""))/100,IF(ISNUMBER(R707), R707, 0))</f>
        <v>0</v>
      </c>
      <c r="T707" t="str">
        <f>IF(S707&lt;0,"Negative discount (invalid)",IF(S707&gt;0.5,"Discount above allowed range (invalid)",IF(AND(R707="",S707=0),"Missing discount set to 0","OK")))</f>
        <v>OK</v>
      </c>
      <c r="U707">
        <v>7417.6</v>
      </c>
      <c r="V707">
        <v>4955.8599999999997</v>
      </c>
      <c r="W707">
        <v>2461.7399999999998</v>
      </c>
      <c r="X707" t="s">
        <v>32</v>
      </c>
      <c r="Y707" t="s">
        <v>33</v>
      </c>
      <c r="Z707">
        <f>IF(T707="OK",P707*Q707*(1-S707),"invalid")</f>
        <v>7417.6</v>
      </c>
      <c r="AA707">
        <f>IF(Z707="N/A","N/A",Z707-V707)</f>
        <v>2461.7400000000007</v>
      </c>
      <c r="AB707" s="8">
        <f>IF(Z707&lt;&gt;"N/A", AA707/Z707, "N/A")</f>
        <v>0.3318782355478862</v>
      </c>
      <c r="AC707">
        <f>MONTH(B707)</f>
        <v>5</v>
      </c>
      <c r="AD707">
        <f>YEAR(B707)</f>
        <v>2025</v>
      </c>
      <c r="AE707" s="10">
        <f t="shared" ref="AE707:AE770" si="11">IF(Z707&lt;&gt;"N/A",ABS(Z707-U707),"N/A")</f>
        <v>0</v>
      </c>
      <c r="AF707" t="s">
        <v>2804</v>
      </c>
      <c r="AG707" t="s">
        <v>2811</v>
      </c>
    </row>
    <row r="708" spans="1:33">
      <c r="A708" t="s">
        <v>1464</v>
      </c>
      <c r="B708" s="4">
        <v>45739</v>
      </c>
      <c r="C708" s="4">
        <v>45744</v>
      </c>
      <c r="D708">
        <f>_xlfn.DAYS(C708,B708)</f>
        <v>5</v>
      </c>
      <c r="E708" t="s">
        <v>2804</v>
      </c>
      <c r="F708" t="s">
        <v>1465</v>
      </c>
      <c r="G708" t="s">
        <v>71</v>
      </c>
      <c r="H708" t="s">
        <v>37</v>
      </c>
      <c r="I708" t="s">
        <v>25</v>
      </c>
      <c r="J708" t="s">
        <v>26</v>
      </c>
      <c r="K708" t="s">
        <v>27</v>
      </c>
      <c r="L708" t="s">
        <v>41</v>
      </c>
      <c r="M708" t="s">
        <v>57</v>
      </c>
      <c r="N708" t="s">
        <v>1466</v>
      </c>
      <c r="O708" t="s">
        <v>59</v>
      </c>
      <c r="P708">
        <v>9</v>
      </c>
      <c r="Q708">
        <v>3298</v>
      </c>
      <c r="R708">
        <v>0.15</v>
      </c>
      <c r="S708">
        <f>IF(ISNUMBER(SEARCH("%",R708)), VALUE(SUBSTITUTE(R708,"%",""))/100,IF(ISNUMBER(R708), R708, 0))</f>
        <v>0.15</v>
      </c>
      <c r="T708" t="str">
        <f>IF(S708&lt;0,"Negative discount (invalid)",IF(S708&gt;0.5,"Discount above allowed range (invalid)",IF(AND(R708="",S708=0),"Missing discount set to 0","OK")))</f>
        <v>OK</v>
      </c>
      <c r="U708">
        <v>25229.7</v>
      </c>
      <c r="V708">
        <v>20170.43</v>
      </c>
      <c r="W708">
        <v>5059.2700000000004</v>
      </c>
      <c r="X708" t="s">
        <v>32</v>
      </c>
      <c r="Y708" t="s">
        <v>33</v>
      </c>
      <c r="Z708">
        <f>IF(T708="OK",P708*Q708*(1-S708),"invalid")</f>
        <v>25229.7</v>
      </c>
      <c r="AA708">
        <f>IF(Z708="N/A","N/A",Z708-V708)</f>
        <v>5059.2700000000004</v>
      </c>
      <c r="AB708" s="8">
        <f>IF(Z708&lt;&gt;"N/A", AA708/Z708, "N/A")</f>
        <v>0.20052834556098567</v>
      </c>
      <c r="AC708">
        <f>MONTH(B708)</f>
        <v>3</v>
      </c>
      <c r="AD708">
        <f>YEAR(B708)</f>
        <v>2025</v>
      </c>
      <c r="AE708" s="10">
        <f t="shared" si="11"/>
        <v>0</v>
      </c>
      <c r="AF708" t="s">
        <v>2804</v>
      </c>
      <c r="AG708" t="s">
        <v>2811</v>
      </c>
    </row>
    <row r="709" spans="1:33">
      <c r="A709" t="s">
        <v>1482</v>
      </c>
      <c r="B709" s="4">
        <v>45930</v>
      </c>
      <c r="C709" s="4">
        <v>45936</v>
      </c>
      <c r="D709">
        <f>_xlfn.DAYS(C709,B709)</f>
        <v>6</v>
      </c>
      <c r="E709" t="s">
        <v>2804</v>
      </c>
      <c r="F709" t="s">
        <v>1483</v>
      </c>
      <c r="G709" t="s">
        <v>128</v>
      </c>
      <c r="H709" t="s">
        <v>90</v>
      </c>
      <c r="I709" t="s">
        <v>2785</v>
      </c>
      <c r="J709" t="s">
        <v>26</v>
      </c>
      <c r="K709" t="s">
        <v>27</v>
      </c>
      <c r="L709" t="s">
        <v>74</v>
      </c>
      <c r="M709" t="s">
        <v>80</v>
      </c>
      <c r="N709" t="s">
        <v>1484</v>
      </c>
      <c r="O709" t="s">
        <v>31</v>
      </c>
      <c r="P709">
        <v>9</v>
      </c>
      <c r="Q709">
        <v>1359.88</v>
      </c>
      <c r="R709">
        <v>0.05</v>
      </c>
      <c r="S709">
        <f>IF(ISNUMBER(SEARCH("%",R709)), VALUE(SUBSTITUTE(R709,"%",""))/100,IF(ISNUMBER(R709), R709, 0))</f>
        <v>0.05</v>
      </c>
      <c r="T709" t="str">
        <f>IF(S709&lt;0,"Negative discount (invalid)",IF(S709&gt;0.5,"Discount above allowed range (invalid)",IF(AND(R709="",S709=0),"Missing discount set to 0","OK")))</f>
        <v>OK</v>
      </c>
      <c r="U709">
        <v>11626.97</v>
      </c>
      <c r="V709">
        <v>7394.07</v>
      </c>
      <c r="W709">
        <v>4232.8999999999996</v>
      </c>
      <c r="X709" t="s">
        <v>32</v>
      </c>
      <c r="Y709" t="s">
        <v>33</v>
      </c>
      <c r="Z709">
        <f>IF(T709="OK",P709*Q709*(1-S709),"invalid")</f>
        <v>11626.974000000002</v>
      </c>
      <c r="AA709">
        <f>IF(Z709="N/A","N/A",Z709-V709)</f>
        <v>4232.9040000000023</v>
      </c>
      <c r="AB709" s="8">
        <f>IF(Z709&lt;&gt;"N/A", AA709/Z709, "N/A")</f>
        <v>0.36405895463428417</v>
      </c>
      <c r="AC709">
        <f>MONTH(B709)</f>
        <v>9</v>
      </c>
      <c r="AD709">
        <f>YEAR(B709)</f>
        <v>2025</v>
      </c>
      <c r="AE709" s="10">
        <f t="shared" si="11"/>
        <v>4.0000000026338967E-3</v>
      </c>
      <c r="AF709" t="s">
        <v>2799</v>
      </c>
      <c r="AG709" t="s">
        <v>2798</v>
      </c>
    </row>
    <row r="710" spans="1:33">
      <c r="A710" t="s">
        <v>1485</v>
      </c>
      <c r="B710" s="4">
        <v>45802</v>
      </c>
      <c r="C710" s="4">
        <v>45803</v>
      </c>
      <c r="D710">
        <f>_xlfn.DAYS(C710,B710)</f>
        <v>1</v>
      </c>
      <c r="E710" t="s">
        <v>2804</v>
      </c>
      <c r="F710" t="s">
        <v>1486</v>
      </c>
      <c r="G710" t="s">
        <v>79</v>
      </c>
      <c r="H710" t="s">
        <v>90</v>
      </c>
      <c r="I710" t="s">
        <v>54</v>
      </c>
      <c r="J710" t="s">
        <v>84</v>
      </c>
      <c r="K710" t="s">
        <v>85</v>
      </c>
      <c r="L710" t="s">
        <v>28</v>
      </c>
      <c r="M710" t="s">
        <v>29</v>
      </c>
      <c r="N710" t="s">
        <v>1487</v>
      </c>
      <c r="O710" t="s">
        <v>59</v>
      </c>
      <c r="P710">
        <v>3</v>
      </c>
      <c r="Q710">
        <v>3378.15</v>
      </c>
      <c r="R710">
        <v>0.15</v>
      </c>
      <c r="S710">
        <f>IF(ISNUMBER(SEARCH("%",R710)), VALUE(SUBSTITUTE(R710,"%",""))/100,IF(ISNUMBER(R710), R710, 0))</f>
        <v>0.15</v>
      </c>
      <c r="T710" t="str">
        <f>IF(S710&lt;0,"Negative discount (invalid)",IF(S710&gt;0.5,"Discount above allowed range (invalid)",IF(AND(R710="",S710=0),"Missing discount set to 0","OK")))</f>
        <v>OK</v>
      </c>
      <c r="U710">
        <v>8614.2800000000007</v>
      </c>
      <c r="V710">
        <v>7052.08</v>
      </c>
      <c r="W710">
        <v>1562.2</v>
      </c>
      <c r="X710" t="s">
        <v>32</v>
      </c>
      <c r="Y710" t="s">
        <v>33</v>
      </c>
      <c r="Z710">
        <f>IF(T710="OK",P710*Q710*(1-S710),"invalid")</f>
        <v>8614.2825000000012</v>
      </c>
      <c r="AA710">
        <f>IF(Z710="N/A","N/A",Z710-V710)</f>
        <v>1562.2025000000012</v>
      </c>
      <c r="AB710" s="8">
        <f>IF(Z710&lt;&gt;"N/A", AA710/Z710, "N/A")</f>
        <v>0.18135027496486225</v>
      </c>
      <c r="AC710">
        <f>MONTH(B710)</f>
        <v>5</v>
      </c>
      <c r="AD710">
        <f>YEAR(B710)</f>
        <v>2025</v>
      </c>
      <c r="AE710" s="10">
        <f t="shared" si="11"/>
        <v>2.500000000509317E-3</v>
      </c>
      <c r="AF710" t="s">
        <v>2804</v>
      </c>
      <c r="AG710" t="s">
        <v>2811</v>
      </c>
    </row>
    <row r="711" spans="1:33">
      <c r="A711" t="s">
        <v>1491</v>
      </c>
      <c r="B711" s="4">
        <v>45695</v>
      </c>
      <c r="C711" s="4">
        <v>45696</v>
      </c>
      <c r="D711">
        <f>_xlfn.DAYS(C711,B711)</f>
        <v>1</v>
      </c>
      <c r="E711" t="s">
        <v>2804</v>
      </c>
      <c r="F711" t="s">
        <v>1492</v>
      </c>
      <c r="G711" t="s">
        <v>53</v>
      </c>
      <c r="H711" t="s">
        <v>90</v>
      </c>
      <c r="I711" t="s">
        <v>63</v>
      </c>
      <c r="J711" t="s">
        <v>72</v>
      </c>
      <c r="K711" t="s">
        <v>73</v>
      </c>
      <c r="L711" t="s">
        <v>74</v>
      </c>
      <c r="M711" t="s">
        <v>171</v>
      </c>
      <c r="N711" t="s">
        <v>1493</v>
      </c>
      <c r="O711" t="s">
        <v>59</v>
      </c>
      <c r="P711">
        <v>4</v>
      </c>
      <c r="Q711">
        <v>889.5</v>
      </c>
      <c r="R711">
        <v>0.2</v>
      </c>
      <c r="S711">
        <f>IF(ISNUMBER(SEARCH("%",R711)), VALUE(SUBSTITUTE(R711,"%",""))/100,IF(ISNUMBER(R711), R711, 0))</f>
        <v>0.2</v>
      </c>
      <c r="T711" t="str">
        <f>IF(S711&lt;0,"Negative discount (invalid)",IF(S711&gt;0.5,"Discount above allowed range (invalid)",IF(AND(R711="",S711=0),"Missing discount set to 0","OK")))</f>
        <v>OK</v>
      </c>
      <c r="U711">
        <v>2846.4</v>
      </c>
      <c r="V711">
        <v>2132.37</v>
      </c>
      <c r="W711">
        <v>714.03</v>
      </c>
      <c r="X711" t="s">
        <v>32</v>
      </c>
      <c r="Y711" t="s">
        <v>33</v>
      </c>
      <c r="Z711">
        <f>IF(T711="OK",P711*Q711*(1-S711),"invalid")</f>
        <v>2846.4</v>
      </c>
      <c r="AA711">
        <f>IF(Z711="N/A","N/A",Z711-V711)</f>
        <v>714.0300000000002</v>
      </c>
      <c r="AB711" s="8">
        <f>IF(Z711&lt;&gt;"N/A", AA711/Z711, "N/A")</f>
        <v>0.25085370994940986</v>
      </c>
      <c r="AC711">
        <f>MONTH(B711)</f>
        <v>2</v>
      </c>
      <c r="AD711">
        <f>YEAR(B711)</f>
        <v>2025</v>
      </c>
      <c r="AE711" s="10">
        <f t="shared" si="11"/>
        <v>0</v>
      </c>
      <c r="AF711" t="s">
        <v>2804</v>
      </c>
      <c r="AG711" t="s">
        <v>2811</v>
      </c>
    </row>
    <row r="712" spans="1:33">
      <c r="A712" t="s">
        <v>1494</v>
      </c>
      <c r="B712" s="4">
        <v>45727</v>
      </c>
      <c r="C712" s="4">
        <v>45731</v>
      </c>
      <c r="D712">
        <f>_xlfn.DAYS(C712,B712)</f>
        <v>4</v>
      </c>
      <c r="E712" t="s">
        <v>2804</v>
      </c>
      <c r="F712" t="s">
        <v>1495</v>
      </c>
      <c r="G712" t="s">
        <v>53</v>
      </c>
      <c r="H712" t="s">
        <v>90</v>
      </c>
      <c r="I712" t="s">
        <v>38</v>
      </c>
      <c r="J712" t="s">
        <v>145</v>
      </c>
      <c r="K712" t="s">
        <v>146</v>
      </c>
      <c r="L712" t="s">
        <v>28</v>
      </c>
      <c r="M712" t="s">
        <v>29</v>
      </c>
      <c r="N712" t="s">
        <v>1496</v>
      </c>
      <c r="O712" t="s">
        <v>44</v>
      </c>
      <c r="P712">
        <v>3</v>
      </c>
      <c r="Q712">
        <v>3625.08</v>
      </c>
      <c r="R712">
        <v>0.05</v>
      </c>
      <c r="S712">
        <f>IF(ISNUMBER(SEARCH("%",R712)), VALUE(SUBSTITUTE(R712,"%",""))/100,IF(ISNUMBER(R712), R712, 0))</f>
        <v>0.05</v>
      </c>
      <c r="T712" t="str">
        <f>IF(S712&lt;0,"Negative discount (invalid)",IF(S712&gt;0.5,"Discount above allowed range (invalid)",IF(AND(R712="",S712=0),"Missing discount set to 0","OK")))</f>
        <v>OK</v>
      </c>
      <c r="U712">
        <v>10331.48</v>
      </c>
      <c r="V712">
        <v>7131.91</v>
      </c>
      <c r="W712">
        <v>3199.57</v>
      </c>
      <c r="X712" t="s">
        <v>111</v>
      </c>
      <c r="Y712" t="s">
        <v>68</v>
      </c>
      <c r="Z712">
        <f>IF(T712="OK",P712*Q712*(1-S712),"invalid")</f>
        <v>10331.477999999999</v>
      </c>
      <c r="AA712">
        <f>IF(Z712="N/A","N/A",Z712-V712)</f>
        <v>3199.5679999999993</v>
      </c>
      <c r="AB712" s="8">
        <f>IF(Z712&lt;&gt;"N/A", AA712/Z712, "N/A")</f>
        <v>0.30969121746181905</v>
      </c>
      <c r="AC712">
        <f>MONTH(B712)</f>
        <v>3</v>
      </c>
      <c r="AD712">
        <f>YEAR(B712)</f>
        <v>2025</v>
      </c>
      <c r="AE712" s="10">
        <f t="shared" si="11"/>
        <v>2.0000000004074536E-3</v>
      </c>
      <c r="AF712" t="s">
        <v>2804</v>
      </c>
      <c r="AG712" t="s">
        <v>2811</v>
      </c>
    </row>
    <row r="713" spans="1:33">
      <c r="A713" t="s">
        <v>1506</v>
      </c>
      <c r="B713" s="4">
        <v>45666</v>
      </c>
      <c r="C713" s="4">
        <v>45664</v>
      </c>
      <c r="D713">
        <f>_xlfn.DAYS(C713,B713)</f>
        <v>-2</v>
      </c>
      <c r="E713" t="str">
        <f>IF(B713="INVALID","Missing/Invalid order_date", IF(C713="INVALID","Missing/Invalid ship_date",IF(AND(B713&lt;&gt;"",C713&lt;&gt;"",C713&lt;B713),"Ship date before order date","")))</f>
        <v>Ship date before order date</v>
      </c>
      <c r="F713" t="s">
        <v>1507</v>
      </c>
      <c r="G713" t="s">
        <v>128</v>
      </c>
      <c r="H713" t="s">
        <v>95</v>
      </c>
      <c r="I713" t="s">
        <v>38</v>
      </c>
      <c r="J713" t="s">
        <v>99</v>
      </c>
      <c r="K713" t="s">
        <v>100</v>
      </c>
      <c r="L713" t="s">
        <v>28</v>
      </c>
      <c r="M713" t="s">
        <v>153</v>
      </c>
      <c r="N713" t="s">
        <v>1508</v>
      </c>
      <c r="O713" t="s">
        <v>31</v>
      </c>
      <c r="P713">
        <v>3</v>
      </c>
      <c r="Q713">
        <v>2188.33</v>
      </c>
      <c r="R713">
        <v>0</v>
      </c>
      <c r="S713">
        <f>IF(ISNUMBER(SEARCH("%",R713)), VALUE(SUBSTITUTE(R713,"%",""))/100,IF(ISNUMBER(R713), R713, 0))</f>
        <v>0</v>
      </c>
      <c r="T713" t="str">
        <f>IF(S713&lt;0,"Negative discount (invalid)",IF(S713&gt;0.5,"Discount above allowed range (invalid)",IF(AND(R713="",S713=0),"Missing discount set to 0","OK")))</f>
        <v>OK</v>
      </c>
      <c r="U713">
        <v>6564.99</v>
      </c>
      <c r="V713">
        <v>5407.24</v>
      </c>
      <c r="W713">
        <v>1157.75</v>
      </c>
      <c r="X713" t="s">
        <v>32</v>
      </c>
      <c r="Y713" t="s">
        <v>33</v>
      </c>
      <c r="Z713">
        <f>IF(T713="OK",P713*Q713*(1-S713),"invalid")</f>
        <v>6564.99</v>
      </c>
      <c r="AA713">
        <f>IF(Z713="N/A","N/A",Z713-V713)</f>
        <v>1157.75</v>
      </c>
      <c r="AB713" s="8">
        <f>IF(Z713&lt;&gt;"N/A", AA713/Z713, "N/A")</f>
        <v>0.17635213458055535</v>
      </c>
      <c r="AC713">
        <f>MONTH(B713)</f>
        <v>1</v>
      </c>
      <c r="AD713">
        <f>YEAR(B713)</f>
        <v>2025</v>
      </c>
      <c r="AE713" s="10">
        <f t="shared" si="11"/>
        <v>0</v>
      </c>
      <c r="AF713" t="s">
        <v>2806</v>
      </c>
      <c r="AG713" t="s">
        <v>2789</v>
      </c>
    </row>
    <row r="714" spans="1:33">
      <c r="A714" t="s">
        <v>1527</v>
      </c>
      <c r="B714" s="4">
        <v>45717</v>
      </c>
      <c r="C714" s="4">
        <v>45724</v>
      </c>
      <c r="D714">
        <f>_xlfn.DAYS(C714,B714)</f>
        <v>7</v>
      </c>
      <c r="E714" t="s">
        <v>2804</v>
      </c>
      <c r="F714" t="s">
        <v>1528</v>
      </c>
      <c r="G714" t="s">
        <v>71</v>
      </c>
      <c r="H714" t="s">
        <v>24</v>
      </c>
      <c r="I714" t="s">
        <v>38</v>
      </c>
      <c r="J714" t="s">
        <v>99</v>
      </c>
      <c r="K714" t="s">
        <v>100</v>
      </c>
      <c r="L714" t="s">
        <v>41</v>
      </c>
      <c r="M714" t="s">
        <v>66</v>
      </c>
      <c r="N714" t="s">
        <v>1529</v>
      </c>
      <c r="O714" t="s">
        <v>44</v>
      </c>
      <c r="P714">
        <v>8</v>
      </c>
      <c r="Q714">
        <v>3378.82</v>
      </c>
      <c r="R714">
        <v>0.25</v>
      </c>
      <c r="S714">
        <f>IF(ISNUMBER(SEARCH("%",R714)), VALUE(SUBSTITUTE(R714,"%",""))/100,IF(ISNUMBER(R714), R714, 0))</f>
        <v>0.25</v>
      </c>
      <c r="T714" t="str">
        <f>IF(S714&lt;0,"Negative discount (invalid)",IF(S714&gt;0.5,"Discount above allowed range (invalid)",IF(AND(R714="",S714=0),"Missing discount set to 0","OK")))</f>
        <v>OK</v>
      </c>
      <c r="U714">
        <v>20272.919999999998</v>
      </c>
      <c r="V714">
        <v>15873.38</v>
      </c>
      <c r="W714">
        <v>4399.54</v>
      </c>
      <c r="X714" t="s">
        <v>111</v>
      </c>
      <c r="Y714" t="s">
        <v>103</v>
      </c>
      <c r="Z714">
        <f>IF(T714="OK",P714*Q714*(1-S714),"invalid")</f>
        <v>20272.920000000002</v>
      </c>
      <c r="AA714">
        <f>IF(Z714="N/A","N/A",Z714-V714)</f>
        <v>4399.5400000000027</v>
      </c>
      <c r="AB714" s="8">
        <f>IF(Z714&lt;&gt;"N/A", AA714/Z714, "N/A")</f>
        <v>0.21701560505344086</v>
      </c>
      <c r="AC714">
        <f>MONTH(B714)</f>
        <v>3</v>
      </c>
      <c r="AD714">
        <f>YEAR(B714)</f>
        <v>2025</v>
      </c>
      <c r="AE714" s="10">
        <f t="shared" si="11"/>
        <v>3.637978807091713E-12</v>
      </c>
      <c r="AF714" t="s">
        <v>2804</v>
      </c>
      <c r="AG714" t="s">
        <v>2811</v>
      </c>
    </row>
    <row r="715" spans="1:33">
      <c r="A715" t="s">
        <v>1533</v>
      </c>
      <c r="B715" s="4">
        <v>45892</v>
      </c>
      <c r="C715" s="4">
        <v>45897</v>
      </c>
      <c r="D715">
        <f>_xlfn.DAYS(C715,B715)</f>
        <v>5</v>
      </c>
      <c r="E715" t="s">
        <v>2804</v>
      </c>
      <c r="F715" t="s">
        <v>1534</v>
      </c>
      <c r="G715" t="s">
        <v>71</v>
      </c>
      <c r="H715" t="s">
        <v>90</v>
      </c>
      <c r="I715" t="s">
        <v>63</v>
      </c>
      <c r="J715" t="s">
        <v>180</v>
      </c>
      <c r="K715" t="s">
        <v>181</v>
      </c>
      <c r="L715" t="s">
        <v>41</v>
      </c>
      <c r="M715" t="s">
        <v>66</v>
      </c>
      <c r="N715" t="s">
        <v>1535</v>
      </c>
      <c r="O715" t="s">
        <v>59</v>
      </c>
      <c r="P715">
        <v>6</v>
      </c>
      <c r="Q715">
        <v>2193.23</v>
      </c>
      <c r="R715">
        <v>0.1</v>
      </c>
      <c r="S715">
        <f>IF(ISNUMBER(SEARCH("%",R715)), VALUE(SUBSTITUTE(R715,"%",""))/100,IF(ISNUMBER(R715), R715, 0))</f>
        <v>0.1</v>
      </c>
      <c r="T715" t="str">
        <f>IF(S715&lt;0,"Negative discount (invalid)",IF(S715&gt;0.5,"Discount above allowed range (invalid)",IF(AND(R715="",S715=0),"Missing discount set to 0","OK")))</f>
        <v>OK</v>
      </c>
      <c r="U715">
        <v>11843.44</v>
      </c>
      <c r="V715">
        <v>9356.8799999999992</v>
      </c>
      <c r="W715">
        <v>2486.56</v>
      </c>
      <c r="X715" t="s">
        <v>32</v>
      </c>
      <c r="Y715" t="s">
        <v>68</v>
      </c>
      <c r="Z715">
        <f>IF(T715="OK",P715*Q715*(1-S715),"invalid")</f>
        <v>11843.442000000001</v>
      </c>
      <c r="AA715">
        <f>IF(Z715="N/A","N/A",Z715-V715)</f>
        <v>2486.5620000000017</v>
      </c>
      <c r="AB715" s="8">
        <f>IF(Z715&lt;&gt;"N/A", AA715/Z715, "N/A")</f>
        <v>0.20995264721184953</v>
      </c>
      <c r="AC715">
        <f>MONTH(B715)</f>
        <v>8</v>
      </c>
      <c r="AD715">
        <f>YEAR(B715)</f>
        <v>2025</v>
      </c>
      <c r="AE715" s="10">
        <f t="shared" si="11"/>
        <v>2.0000000004074536E-3</v>
      </c>
      <c r="AF715" t="s">
        <v>2804</v>
      </c>
      <c r="AG715" t="s">
        <v>2811</v>
      </c>
    </row>
    <row r="716" spans="1:33">
      <c r="A716" t="s">
        <v>1542</v>
      </c>
      <c r="B716" s="4">
        <v>45662</v>
      </c>
      <c r="C716" s="4">
        <v>45666</v>
      </c>
      <c r="D716">
        <f>_xlfn.DAYS(C716,B716)</f>
        <v>4</v>
      </c>
      <c r="E716" t="s">
        <v>2804</v>
      </c>
      <c r="F716" t="s">
        <v>1543</v>
      </c>
      <c r="G716" t="s">
        <v>79</v>
      </c>
      <c r="H716" t="s">
        <v>37</v>
      </c>
      <c r="I716" t="s">
        <v>54</v>
      </c>
      <c r="J716" t="s">
        <v>247</v>
      </c>
      <c r="K716" t="s">
        <v>248</v>
      </c>
      <c r="L716" t="s">
        <v>28</v>
      </c>
      <c r="M716" t="s">
        <v>124</v>
      </c>
      <c r="N716" t="s">
        <v>1544</v>
      </c>
      <c r="O716" t="s">
        <v>2785</v>
      </c>
      <c r="P716">
        <v>5</v>
      </c>
      <c r="Q716">
        <v>905.16</v>
      </c>
      <c r="R716">
        <v>0</v>
      </c>
      <c r="S716">
        <f>IF(ISNUMBER(SEARCH("%",R716)), VALUE(SUBSTITUTE(R716,"%",""))/100,IF(ISNUMBER(R716), R716, 0))</f>
        <v>0</v>
      </c>
      <c r="T716" t="str">
        <f>IF(S716&lt;0,"Negative discount (invalid)",IF(S716&gt;0.5,"Discount above allowed range (invalid)",IF(AND(R716="",S716=0),"Missing discount set to 0","OK")))</f>
        <v>OK</v>
      </c>
      <c r="U716">
        <v>4525.8</v>
      </c>
      <c r="V716">
        <v>2714.51</v>
      </c>
      <c r="W716">
        <v>1811.29</v>
      </c>
      <c r="X716" t="s">
        <v>32</v>
      </c>
      <c r="Y716" t="s">
        <v>33</v>
      </c>
      <c r="Z716">
        <f>IF(T716="OK",P716*Q716*(1-S716),"invalid")</f>
        <v>4525.8</v>
      </c>
      <c r="AA716">
        <f>IF(Z716="N/A","N/A",Z716-V716)</f>
        <v>1811.29</v>
      </c>
      <c r="AB716" s="8">
        <f>IF(Z716&lt;&gt;"N/A", AA716/Z716, "N/A")</f>
        <v>0.40021432674886204</v>
      </c>
      <c r="AC716">
        <f>MONTH(B716)</f>
        <v>1</v>
      </c>
      <c r="AD716">
        <f>YEAR(B716)</f>
        <v>2025</v>
      </c>
      <c r="AE716" s="10">
        <f t="shared" si="11"/>
        <v>0</v>
      </c>
      <c r="AF716" t="s">
        <v>2800</v>
      </c>
      <c r="AG716" t="s">
        <v>2798</v>
      </c>
    </row>
    <row r="717" spans="1:33">
      <c r="A717" t="s">
        <v>1545</v>
      </c>
      <c r="B717" s="4">
        <v>45813</v>
      </c>
      <c r="C717" s="4">
        <v>45821</v>
      </c>
      <c r="D717">
        <f>_xlfn.DAYS(C717,B717)</f>
        <v>8</v>
      </c>
      <c r="E717" t="s">
        <v>2804</v>
      </c>
      <c r="F717" t="s">
        <v>1546</v>
      </c>
      <c r="G717" t="s">
        <v>47</v>
      </c>
      <c r="H717" t="s">
        <v>24</v>
      </c>
      <c r="I717" t="s">
        <v>25</v>
      </c>
      <c r="J717" t="s">
        <v>136</v>
      </c>
      <c r="K717" t="s">
        <v>137</v>
      </c>
      <c r="L717" t="s">
        <v>74</v>
      </c>
      <c r="M717" t="s">
        <v>274</v>
      </c>
      <c r="N717" t="s">
        <v>1547</v>
      </c>
      <c r="O717" t="s">
        <v>44</v>
      </c>
      <c r="P717">
        <v>4</v>
      </c>
      <c r="Q717">
        <v>2793.88</v>
      </c>
      <c r="R717" t="s">
        <v>768</v>
      </c>
      <c r="S717">
        <f>IF(ISNUMBER(SEARCH("%",R717)), VALUE(SUBSTITUTE(R717,"%",""))/100,IF(ISNUMBER(R717), R717, 0))</f>
        <v>0.85</v>
      </c>
      <c r="T717" t="str">
        <f>IF(S717&lt;0,"Negative discount (invalid)",IF(S717&gt;0.5,"Discount above allowed range (invalid)",IF(AND(R717="",S717=0),"Missing discount set to 0","OK")))</f>
        <v>Discount above allowed range (invalid)</v>
      </c>
      <c r="U717">
        <v>10616.74</v>
      </c>
      <c r="V717">
        <v>6353.59</v>
      </c>
      <c r="W717">
        <v>4263.1499999999996</v>
      </c>
      <c r="X717" t="s">
        <v>32</v>
      </c>
      <c r="Y717" t="s">
        <v>33</v>
      </c>
      <c r="Z717" t="s">
        <v>2793</v>
      </c>
      <c r="AA717" t="str">
        <f>IF(Z717="N/A","N/A",Z717-V717)</f>
        <v>N/A</v>
      </c>
      <c r="AB717" s="8" t="str">
        <f>IF(Z717&lt;&gt;"N/A", AA717/Z717, "N/A")</f>
        <v>N/A</v>
      </c>
      <c r="AC717">
        <f>MONTH(B717)</f>
        <v>6</v>
      </c>
      <c r="AD717">
        <f>YEAR(B717)</f>
        <v>2025</v>
      </c>
      <c r="AE717" s="10" t="str">
        <f t="shared" si="11"/>
        <v>N/A</v>
      </c>
      <c r="AF717" t="s">
        <v>2802</v>
      </c>
      <c r="AG717" t="s">
        <v>2789</v>
      </c>
    </row>
    <row r="718" spans="1:33">
      <c r="A718" t="s">
        <v>1557</v>
      </c>
      <c r="B718" s="4">
        <v>45679</v>
      </c>
      <c r="C718" s="4">
        <v>45680</v>
      </c>
      <c r="D718">
        <f>_xlfn.DAYS(C718,B718)</f>
        <v>1</v>
      </c>
      <c r="E718" t="s">
        <v>2804</v>
      </c>
      <c r="F718" t="s">
        <v>1558</v>
      </c>
      <c r="G718" t="s">
        <v>118</v>
      </c>
      <c r="H718" t="s">
        <v>90</v>
      </c>
      <c r="I718" t="s">
        <v>63</v>
      </c>
      <c r="J718" t="s">
        <v>190</v>
      </c>
      <c r="K718" t="s">
        <v>191</v>
      </c>
      <c r="L718" t="s">
        <v>41</v>
      </c>
      <c r="M718" t="s">
        <v>158</v>
      </c>
      <c r="N718" t="s">
        <v>1559</v>
      </c>
      <c r="O718" t="s">
        <v>59</v>
      </c>
      <c r="P718">
        <v>4</v>
      </c>
      <c r="Q718">
        <v>2555.19</v>
      </c>
      <c r="R718">
        <v>0.25</v>
      </c>
      <c r="S718">
        <f>IF(ISNUMBER(SEARCH("%",R718)), VALUE(SUBSTITUTE(R718,"%",""))/100,IF(ISNUMBER(R718), R718, 0))</f>
        <v>0.25</v>
      </c>
      <c r="T718" t="str">
        <f>IF(S718&lt;0,"Negative discount (invalid)",IF(S718&gt;0.5,"Discount above allowed range (invalid)",IF(AND(R718="",S718=0),"Missing discount set to 0","OK")))</f>
        <v>OK</v>
      </c>
      <c r="U718">
        <v>7665.57</v>
      </c>
      <c r="V718">
        <v>5595.6</v>
      </c>
      <c r="W718">
        <v>2069.9699999999998</v>
      </c>
      <c r="X718" t="s">
        <v>32</v>
      </c>
      <c r="Y718" t="s">
        <v>33</v>
      </c>
      <c r="Z718">
        <f>IF(T718="OK",P718*Q718*(1-S718),"invalid")</f>
        <v>7665.57</v>
      </c>
      <c r="AA718">
        <f>IF(Z718="N/A","N/A",Z718-V718)</f>
        <v>2069.9699999999993</v>
      </c>
      <c r="AB718" s="8">
        <f>IF(Z718&lt;&gt;"N/A", AA718/Z718, "N/A")</f>
        <v>0.27003471366121495</v>
      </c>
      <c r="AC718">
        <f>MONTH(B718)</f>
        <v>1</v>
      </c>
      <c r="AD718">
        <f>YEAR(B718)</f>
        <v>2025</v>
      </c>
      <c r="AE718" s="10">
        <f t="shared" si="11"/>
        <v>0</v>
      </c>
      <c r="AF718" t="s">
        <v>2804</v>
      </c>
      <c r="AG718" t="s">
        <v>2811</v>
      </c>
    </row>
    <row r="719" spans="1:33">
      <c r="A719" t="s">
        <v>1560</v>
      </c>
      <c r="B719" s="4">
        <v>45830</v>
      </c>
      <c r="C719" s="4">
        <v>45834</v>
      </c>
      <c r="D719">
        <f>_xlfn.DAYS(C719,B719)</f>
        <v>4</v>
      </c>
      <c r="E719" t="s">
        <v>2804</v>
      </c>
      <c r="F719" t="s">
        <v>1561</v>
      </c>
      <c r="G719" t="s">
        <v>118</v>
      </c>
      <c r="H719" t="s">
        <v>90</v>
      </c>
      <c r="I719" t="s">
        <v>63</v>
      </c>
      <c r="J719" t="s">
        <v>190</v>
      </c>
      <c r="K719" t="s">
        <v>191</v>
      </c>
      <c r="L719" t="s">
        <v>41</v>
      </c>
      <c r="M719" t="s">
        <v>42</v>
      </c>
      <c r="N719" t="s">
        <v>1562</v>
      </c>
      <c r="O719" t="s">
        <v>59</v>
      </c>
      <c r="P719">
        <v>3</v>
      </c>
      <c r="Q719">
        <v>1946.18</v>
      </c>
      <c r="R719">
        <v>0.2</v>
      </c>
      <c r="S719">
        <f>IF(ISNUMBER(SEARCH("%",R719)), VALUE(SUBSTITUTE(R719,"%",""))/100,IF(ISNUMBER(R719), R719, 0))</f>
        <v>0.2</v>
      </c>
      <c r="T719" t="str">
        <f>IF(S719&lt;0,"Negative discount (invalid)",IF(S719&gt;0.5,"Discount above allowed range (invalid)",IF(AND(R719="",S719=0),"Missing discount set to 0","OK")))</f>
        <v>OK</v>
      </c>
      <c r="U719">
        <v>4670.83</v>
      </c>
      <c r="V719">
        <v>3166.49</v>
      </c>
      <c r="W719">
        <v>1504.34</v>
      </c>
      <c r="X719" t="s">
        <v>32</v>
      </c>
      <c r="Y719" t="s">
        <v>33</v>
      </c>
      <c r="Z719">
        <f>IF(T719="OK",P719*Q719*(1-S719),"invalid")</f>
        <v>4670.8320000000003</v>
      </c>
      <c r="AA719">
        <f>IF(Z719="N/A","N/A",Z719-V719)</f>
        <v>1504.3420000000006</v>
      </c>
      <c r="AB719" s="8">
        <f>IF(Z719&lt;&gt;"N/A", AA719/Z719, "N/A")</f>
        <v>0.3220715281560117</v>
      </c>
      <c r="AC719">
        <f>MONTH(B719)</f>
        <v>6</v>
      </c>
      <c r="AD719">
        <f>YEAR(B719)</f>
        <v>2025</v>
      </c>
      <c r="AE719" s="10">
        <f t="shared" si="11"/>
        <v>2.0000000004074536E-3</v>
      </c>
      <c r="AF719" t="s">
        <v>2804</v>
      </c>
      <c r="AG719" t="s">
        <v>2811</v>
      </c>
    </row>
    <row r="720" spans="1:33">
      <c r="A720" t="s">
        <v>1563</v>
      </c>
      <c r="B720" s="4">
        <v>45818</v>
      </c>
      <c r="C720" s="4">
        <v>45825</v>
      </c>
      <c r="D720">
        <f>_xlfn.DAYS(C720,B720)</f>
        <v>7</v>
      </c>
      <c r="E720" t="s">
        <v>2804</v>
      </c>
      <c r="F720" t="s">
        <v>1564</v>
      </c>
      <c r="G720" t="s">
        <v>118</v>
      </c>
      <c r="H720" t="s">
        <v>90</v>
      </c>
      <c r="I720" t="s">
        <v>54</v>
      </c>
      <c r="J720" t="s">
        <v>55</v>
      </c>
      <c r="K720" t="s">
        <v>56</v>
      </c>
      <c r="L720" t="s">
        <v>41</v>
      </c>
      <c r="M720" t="s">
        <v>57</v>
      </c>
      <c r="N720" t="s">
        <v>1565</v>
      </c>
      <c r="O720" t="s">
        <v>59</v>
      </c>
      <c r="P720">
        <v>5</v>
      </c>
      <c r="Q720">
        <v>1231.0999999999999</v>
      </c>
      <c r="R720">
        <v>0</v>
      </c>
      <c r="S720">
        <f>IF(ISNUMBER(SEARCH("%",R720)), VALUE(SUBSTITUTE(R720,"%",""))/100,IF(ISNUMBER(R720), R720, 0))</f>
        <v>0</v>
      </c>
      <c r="T720" t="str">
        <f>IF(S720&lt;0,"Negative discount (invalid)",IF(S720&gt;0.5,"Discount above allowed range (invalid)",IF(AND(R720="",S720=0),"Missing discount set to 0","OK")))</f>
        <v>OK</v>
      </c>
      <c r="U720">
        <v>6155.5</v>
      </c>
      <c r="V720">
        <v>4282.09</v>
      </c>
      <c r="W720">
        <v>1873.41</v>
      </c>
      <c r="X720" t="s">
        <v>102</v>
      </c>
      <c r="Y720" t="s">
        <v>103</v>
      </c>
      <c r="Z720">
        <f>IF(T720="OK",P720*Q720*(1-S720),"invalid")</f>
        <v>6155.5</v>
      </c>
      <c r="AA720">
        <f>IF(Z720="N/A","N/A",Z720-V720)</f>
        <v>1873.4099999999999</v>
      </c>
      <c r="AB720" s="8">
        <f>IF(Z720&lt;&gt;"N/A", AA720/Z720, "N/A")</f>
        <v>0.3043473316546178</v>
      </c>
      <c r="AC720">
        <f>MONTH(B720)</f>
        <v>6</v>
      </c>
      <c r="AD720">
        <f>YEAR(B720)</f>
        <v>2025</v>
      </c>
      <c r="AE720" s="10">
        <f t="shared" si="11"/>
        <v>0</v>
      </c>
      <c r="AF720" t="s">
        <v>2804</v>
      </c>
      <c r="AG720" t="s">
        <v>2811</v>
      </c>
    </row>
    <row r="721" spans="1:33">
      <c r="A721" t="s">
        <v>1575</v>
      </c>
      <c r="B721" s="4">
        <v>45776</v>
      </c>
      <c r="C721" s="4">
        <v>45777</v>
      </c>
      <c r="D721">
        <f>_xlfn.DAYS(C721,B721)</f>
        <v>1</v>
      </c>
      <c r="E721" t="s">
        <v>2804</v>
      </c>
      <c r="F721" t="s">
        <v>1576</v>
      </c>
      <c r="G721" t="s">
        <v>36</v>
      </c>
      <c r="H721" t="s">
        <v>90</v>
      </c>
      <c r="I721" t="s">
        <v>54</v>
      </c>
      <c r="J721" t="s">
        <v>185</v>
      </c>
      <c r="K721" t="s">
        <v>186</v>
      </c>
      <c r="L721" t="s">
        <v>74</v>
      </c>
      <c r="M721" t="s">
        <v>75</v>
      </c>
      <c r="N721" t="s">
        <v>1577</v>
      </c>
      <c r="O721" t="s">
        <v>59</v>
      </c>
      <c r="P721">
        <v>4</v>
      </c>
      <c r="Q721">
        <v>606.58000000000004</v>
      </c>
      <c r="R721">
        <v>0.2</v>
      </c>
      <c r="S721">
        <f>IF(ISNUMBER(SEARCH("%",R721)), VALUE(SUBSTITUTE(R721,"%",""))/100,IF(ISNUMBER(R721), R721, 0))</f>
        <v>0.2</v>
      </c>
      <c r="T721" t="str">
        <f>IF(S721&lt;0,"Negative discount (invalid)",IF(S721&gt;0.5,"Discount above allowed range (invalid)",IF(AND(R721="",S721=0),"Missing discount set to 0","OK")))</f>
        <v>OK</v>
      </c>
      <c r="U721">
        <v>1941.06</v>
      </c>
      <c r="V721">
        <v>1207.42</v>
      </c>
      <c r="W721">
        <v>733.64</v>
      </c>
      <c r="X721" t="s">
        <v>32</v>
      </c>
      <c r="Y721" t="s">
        <v>33</v>
      </c>
      <c r="Z721">
        <f>IF(T721="OK",P721*Q721*(1-S721),"invalid")</f>
        <v>1941.0560000000003</v>
      </c>
      <c r="AA721">
        <f>IF(Z721="N/A","N/A",Z721-V721)</f>
        <v>733.63600000000019</v>
      </c>
      <c r="AB721" s="8">
        <f>IF(Z721&lt;&gt;"N/A", AA721/Z721, "N/A")</f>
        <v>0.37795715321969076</v>
      </c>
      <c r="AC721">
        <f>MONTH(B721)</f>
        <v>4</v>
      </c>
      <c r="AD721">
        <f>YEAR(B721)</f>
        <v>2025</v>
      </c>
      <c r="AE721" s="10">
        <f t="shared" si="11"/>
        <v>3.9999999996780389E-3</v>
      </c>
      <c r="AF721" t="s">
        <v>2804</v>
      </c>
      <c r="AG721" t="s">
        <v>2811</v>
      </c>
    </row>
    <row r="722" spans="1:33">
      <c r="A722" t="s">
        <v>1578</v>
      </c>
      <c r="B722" s="4">
        <v>45836</v>
      </c>
      <c r="C722" s="4">
        <v>45840</v>
      </c>
      <c r="D722">
        <f>_xlfn.DAYS(C722,B722)</f>
        <v>4</v>
      </c>
      <c r="E722" t="s">
        <v>2804</v>
      </c>
      <c r="F722" t="s">
        <v>1579</v>
      </c>
      <c r="G722" t="s">
        <v>62</v>
      </c>
      <c r="H722" t="s">
        <v>90</v>
      </c>
      <c r="I722" t="s">
        <v>54</v>
      </c>
      <c r="J722" t="s">
        <v>84</v>
      </c>
      <c r="K722" t="s">
        <v>85</v>
      </c>
      <c r="L722" t="s">
        <v>28</v>
      </c>
      <c r="M722" t="s">
        <v>124</v>
      </c>
      <c r="N722" t="s">
        <v>1580</v>
      </c>
      <c r="O722" t="s">
        <v>31</v>
      </c>
      <c r="P722">
        <v>2</v>
      </c>
      <c r="Q722">
        <v>2725.44</v>
      </c>
      <c r="R722">
        <v>0.25</v>
      </c>
      <c r="S722">
        <f>IF(ISNUMBER(SEARCH("%",R722)), VALUE(SUBSTITUTE(R722,"%",""))/100,IF(ISNUMBER(R722), R722, 0))</f>
        <v>0.25</v>
      </c>
      <c r="T722" t="str">
        <f>IF(S722&lt;0,"Negative discount (invalid)",IF(S722&gt;0.5,"Discount above allowed range (invalid)",IF(AND(R722="",S722=0),"Missing discount set to 0","OK")))</f>
        <v>OK</v>
      </c>
      <c r="U722">
        <v>4088.16</v>
      </c>
      <c r="V722">
        <v>3205.68</v>
      </c>
      <c r="W722">
        <v>882.48</v>
      </c>
      <c r="X722" t="s">
        <v>32</v>
      </c>
      <c r="Y722" t="s">
        <v>33</v>
      </c>
      <c r="Z722">
        <f>IF(T722="OK",P722*Q722*(1-S722),"invalid")</f>
        <v>4088.16</v>
      </c>
      <c r="AA722">
        <f>IF(Z722="N/A","N/A",Z722-V722)</f>
        <v>882.48</v>
      </c>
      <c r="AB722" s="8">
        <f>IF(Z722&lt;&gt;"N/A", AA722/Z722, "N/A")</f>
        <v>0.21586239286133616</v>
      </c>
      <c r="AC722">
        <f>MONTH(B722)</f>
        <v>6</v>
      </c>
      <c r="AD722">
        <f>YEAR(B722)</f>
        <v>2025</v>
      </c>
      <c r="AE722" s="10">
        <f t="shared" si="11"/>
        <v>0</v>
      </c>
      <c r="AF722" t="s">
        <v>2804</v>
      </c>
      <c r="AG722" t="s">
        <v>2811</v>
      </c>
    </row>
    <row r="723" spans="1:33">
      <c r="A723" t="s">
        <v>1581</v>
      </c>
      <c r="B723" s="4">
        <v>45701</v>
      </c>
      <c r="C723" s="4">
        <v>45701</v>
      </c>
      <c r="D723">
        <f>_xlfn.DAYS(C723,B723)</f>
        <v>0</v>
      </c>
      <c r="E723" t="s">
        <v>2804</v>
      </c>
      <c r="F723" t="s">
        <v>1582</v>
      </c>
      <c r="G723" t="s">
        <v>264</v>
      </c>
      <c r="H723" t="s">
        <v>90</v>
      </c>
      <c r="I723" t="s">
        <v>38</v>
      </c>
      <c r="J723" t="s">
        <v>39</v>
      </c>
      <c r="K723" t="s">
        <v>40</v>
      </c>
      <c r="L723" t="s">
        <v>28</v>
      </c>
      <c r="M723" t="s">
        <v>29</v>
      </c>
      <c r="N723" t="s">
        <v>1583</v>
      </c>
      <c r="O723" t="s">
        <v>31</v>
      </c>
      <c r="P723">
        <v>7</v>
      </c>
      <c r="Q723">
        <v>2296.6999999999998</v>
      </c>
      <c r="R723">
        <v>0.05</v>
      </c>
      <c r="S723">
        <f>IF(ISNUMBER(SEARCH("%",R723)), VALUE(SUBSTITUTE(R723,"%",""))/100,IF(ISNUMBER(R723), R723, 0))</f>
        <v>0.05</v>
      </c>
      <c r="T723" t="str">
        <f>IF(S723&lt;0,"Negative discount (invalid)",IF(S723&gt;0.5,"Discount above allowed range (invalid)",IF(AND(R723="",S723=0),"Missing discount set to 0","OK")))</f>
        <v>OK</v>
      </c>
      <c r="U723">
        <v>15273.05</v>
      </c>
      <c r="V723">
        <v>11088.76</v>
      </c>
      <c r="W723">
        <v>4184.29</v>
      </c>
      <c r="X723" t="s">
        <v>32</v>
      </c>
      <c r="Y723" t="s">
        <v>33</v>
      </c>
      <c r="Z723">
        <f>IF(T723="OK",P723*Q723*(1-S723),"invalid")</f>
        <v>15273.054999999997</v>
      </c>
      <c r="AA723">
        <f>IF(Z723="N/A","N/A",Z723-V723)</f>
        <v>4184.2949999999964</v>
      </c>
      <c r="AB723" s="8">
        <f>IF(Z723&lt;&gt;"N/A", AA723/Z723, "N/A")</f>
        <v>0.27396581757873573</v>
      </c>
      <c r="AC723">
        <f>MONTH(B723)</f>
        <v>2</v>
      </c>
      <c r="AD723">
        <f>YEAR(B723)</f>
        <v>2025</v>
      </c>
      <c r="AE723" s="10">
        <f t="shared" si="11"/>
        <v>4.9999999973806553E-3</v>
      </c>
      <c r="AF723" t="s">
        <v>2804</v>
      </c>
      <c r="AG723" t="s">
        <v>2811</v>
      </c>
    </row>
    <row r="724" spans="1:33">
      <c r="A724" t="s">
        <v>1590</v>
      </c>
      <c r="B724" s="4">
        <v>45842</v>
      </c>
      <c r="C724" s="4">
        <v>45844</v>
      </c>
      <c r="D724">
        <f>_xlfn.DAYS(C724,B724)</f>
        <v>2</v>
      </c>
      <c r="E724" t="s">
        <v>2804</v>
      </c>
      <c r="F724" t="s">
        <v>1591</v>
      </c>
      <c r="G724" t="s">
        <v>264</v>
      </c>
      <c r="H724" t="s">
        <v>37</v>
      </c>
      <c r="I724" t="s">
        <v>38</v>
      </c>
      <c r="J724" t="s">
        <v>228</v>
      </c>
      <c r="K724" t="s">
        <v>229</v>
      </c>
      <c r="L724" t="s">
        <v>41</v>
      </c>
      <c r="M724" t="s">
        <v>66</v>
      </c>
      <c r="N724" t="s">
        <v>1592</v>
      </c>
      <c r="O724" t="s">
        <v>31</v>
      </c>
      <c r="P724">
        <v>2</v>
      </c>
      <c r="Q724">
        <v>3686.42</v>
      </c>
      <c r="R724">
        <v>0.1</v>
      </c>
      <c r="S724">
        <f>IF(ISNUMBER(SEARCH("%",R724)), VALUE(SUBSTITUTE(R724,"%",""))/100,IF(ISNUMBER(R724), R724, 0))</f>
        <v>0.1</v>
      </c>
      <c r="T724" t="str">
        <f>IF(S724&lt;0,"Negative discount (invalid)",IF(S724&gt;0.5,"Discount above allowed range (invalid)",IF(AND(R724="",S724=0),"Missing discount set to 0","OK")))</f>
        <v>OK</v>
      </c>
      <c r="U724">
        <v>6635.56</v>
      </c>
      <c r="V724">
        <v>3652.91</v>
      </c>
      <c r="W724">
        <v>2982.65</v>
      </c>
      <c r="X724" t="s">
        <v>32</v>
      </c>
      <c r="Y724" t="s">
        <v>33</v>
      </c>
      <c r="Z724">
        <f>IF(T724="OK",P724*Q724*(1-S724),"invalid")</f>
        <v>6635.5560000000005</v>
      </c>
      <c r="AA724">
        <f>IF(Z724="N/A","N/A",Z724-V724)</f>
        <v>2982.6460000000006</v>
      </c>
      <c r="AB724" s="8">
        <f>IF(Z724&lt;&gt;"N/A", AA724/Z724, "N/A")</f>
        <v>0.44949451108543131</v>
      </c>
      <c r="AC724">
        <f>MONTH(B724)</f>
        <v>7</v>
      </c>
      <c r="AD724">
        <f>YEAR(B724)</f>
        <v>2025</v>
      </c>
      <c r="AE724" s="10">
        <f t="shared" si="11"/>
        <v>3.9999999999054126E-3</v>
      </c>
      <c r="AF724" t="s">
        <v>2804</v>
      </c>
      <c r="AG724" t="s">
        <v>2811</v>
      </c>
    </row>
    <row r="725" spans="1:33">
      <c r="A725" t="s">
        <v>1596</v>
      </c>
      <c r="B725" s="4">
        <v>45907</v>
      </c>
      <c r="C725" s="4">
        <v>45910</v>
      </c>
      <c r="D725">
        <f>_xlfn.DAYS(C725,B725)</f>
        <v>3</v>
      </c>
      <c r="E725" t="s">
        <v>2804</v>
      </c>
      <c r="F725" t="s">
        <v>1597</v>
      </c>
      <c r="G725" t="s">
        <v>23</v>
      </c>
      <c r="H725" t="s">
        <v>24</v>
      </c>
      <c r="I725" t="s">
        <v>25</v>
      </c>
      <c r="J725" t="s">
        <v>122</v>
      </c>
      <c r="K725" t="s">
        <v>123</v>
      </c>
      <c r="L725" t="s">
        <v>41</v>
      </c>
      <c r="M725" t="s">
        <v>66</v>
      </c>
      <c r="N725" t="s">
        <v>1598</v>
      </c>
      <c r="O725" t="s">
        <v>44</v>
      </c>
      <c r="P725">
        <v>2</v>
      </c>
      <c r="Q725">
        <v>447.55</v>
      </c>
      <c r="R725">
        <v>0.05</v>
      </c>
      <c r="S725">
        <f>IF(ISNUMBER(SEARCH("%",R725)), VALUE(SUBSTITUTE(R725,"%",""))/100,IF(ISNUMBER(R725), R725, 0))</f>
        <v>0.05</v>
      </c>
      <c r="T725" t="str">
        <f>IF(S725&lt;0,"Negative discount (invalid)",IF(S725&gt;0.5,"Discount above allowed range (invalid)",IF(AND(R725="",S725=0),"Missing discount set to 0","OK")))</f>
        <v>OK</v>
      </c>
      <c r="U725">
        <v>850.35</v>
      </c>
      <c r="V725">
        <v>600.98</v>
      </c>
      <c r="W725">
        <v>249.37</v>
      </c>
      <c r="X725" t="s">
        <v>102</v>
      </c>
      <c r="Y725" t="s">
        <v>68</v>
      </c>
      <c r="Z725">
        <f>IF(T725="OK",P725*Q725*(1-S725),"invalid")</f>
        <v>850.34500000000003</v>
      </c>
      <c r="AA725">
        <f>IF(Z725="N/A","N/A",Z725-V725)</f>
        <v>249.36500000000001</v>
      </c>
      <c r="AB725" s="8">
        <f>IF(Z725&lt;&gt;"N/A", AA725/Z725, "N/A")</f>
        <v>0.29325156260106194</v>
      </c>
      <c r="AC725">
        <f>MONTH(B725)</f>
        <v>9</v>
      </c>
      <c r="AD725">
        <f>YEAR(B725)</f>
        <v>2025</v>
      </c>
      <c r="AE725" s="10">
        <f t="shared" si="11"/>
        <v>4.9999999999954525E-3</v>
      </c>
      <c r="AF725" t="s">
        <v>2804</v>
      </c>
      <c r="AG725" t="s">
        <v>2811</v>
      </c>
    </row>
    <row r="726" spans="1:33">
      <c r="A726" t="s">
        <v>1613</v>
      </c>
      <c r="B726" s="4">
        <v>45700</v>
      </c>
      <c r="C726" s="4">
        <v>45705</v>
      </c>
      <c r="D726">
        <f>_xlfn.DAYS(C726,B726)</f>
        <v>5</v>
      </c>
      <c r="E726" t="s">
        <v>2804</v>
      </c>
      <c r="F726" t="s">
        <v>1614</v>
      </c>
      <c r="G726" t="s">
        <v>53</v>
      </c>
      <c r="H726" t="s">
        <v>90</v>
      </c>
      <c r="I726" t="s">
        <v>63</v>
      </c>
      <c r="J726" t="s">
        <v>180</v>
      </c>
      <c r="K726" t="s">
        <v>181</v>
      </c>
      <c r="L726" t="s">
        <v>28</v>
      </c>
      <c r="M726" t="s">
        <v>48</v>
      </c>
      <c r="N726" t="s">
        <v>1615</v>
      </c>
      <c r="O726" t="s">
        <v>59</v>
      </c>
      <c r="P726">
        <v>4</v>
      </c>
      <c r="Q726">
        <v>4328.12</v>
      </c>
      <c r="R726">
        <v>0</v>
      </c>
      <c r="S726">
        <f>IF(ISNUMBER(SEARCH("%",R726)), VALUE(SUBSTITUTE(R726,"%",""))/100,IF(ISNUMBER(R726), R726, 0))</f>
        <v>0</v>
      </c>
      <c r="T726" t="str">
        <f>IF(S726&lt;0,"Negative discount (invalid)",IF(S726&gt;0.5,"Discount above allowed range (invalid)",IF(AND(R726="",S726=0),"Missing discount set to 0","OK")))</f>
        <v>OK</v>
      </c>
      <c r="U726">
        <v>17312.48</v>
      </c>
      <c r="V726">
        <v>14424.22</v>
      </c>
      <c r="W726">
        <v>2888.26</v>
      </c>
      <c r="X726" t="s">
        <v>32</v>
      </c>
      <c r="Y726" t="s">
        <v>33</v>
      </c>
      <c r="Z726">
        <f>IF(T726="OK",P726*Q726*(1-S726),"invalid")</f>
        <v>17312.48</v>
      </c>
      <c r="AA726">
        <f>IF(Z726="N/A","N/A",Z726-V726)</f>
        <v>2888.26</v>
      </c>
      <c r="AB726" s="8">
        <f>IF(Z726&lt;&gt;"N/A", AA726/Z726, "N/A")</f>
        <v>0.16683109525613893</v>
      </c>
      <c r="AC726">
        <f>MONTH(B726)</f>
        <v>2</v>
      </c>
      <c r="AD726">
        <f>YEAR(B726)</f>
        <v>2025</v>
      </c>
      <c r="AE726" s="10">
        <f t="shared" si="11"/>
        <v>0</v>
      </c>
      <c r="AF726" t="s">
        <v>2804</v>
      </c>
      <c r="AG726" t="s">
        <v>2811</v>
      </c>
    </row>
    <row r="727" spans="1:33">
      <c r="A727" t="s">
        <v>1622</v>
      </c>
      <c r="B727" s="4">
        <v>45762</v>
      </c>
      <c r="C727" s="4">
        <v>45769</v>
      </c>
      <c r="D727">
        <f>_xlfn.DAYS(C727,B727)</f>
        <v>7</v>
      </c>
      <c r="E727" t="s">
        <v>2804</v>
      </c>
      <c r="F727" t="s">
        <v>1623</v>
      </c>
      <c r="G727" t="s">
        <v>47</v>
      </c>
      <c r="H727" t="s">
        <v>37</v>
      </c>
      <c r="I727" t="s">
        <v>25</v>
      </c>
      <c r="J727" t="s">
        <v>236</v>
      </c>
      <c r="K727" t="s">
        <v>237</v>
      </c>
      <c r="L727" t="s">
        <v>28</v>
      </c>
      <c r="M727" t="s">
        <v>153</v>
      </c>
      <c r="N727" t="s">
        <v>1624</v>
      </c>
      <c r="O727" t="s">
        <v>44</v>
      </c>
      <c r="P727">
        <v>4</v>
      </c>
      <c r="Q727">
        <v>2990.42</v>
      </c>
      <c r="R727">
        <v>0.25</v>
      </c>
      <c r="S727">
        <f>IF(ISNUMBER(SEARCH("%",R727)), VALUE(SUBSTITUTE(R727,"%",""))/100,IF(ISNUMBER(R727), R727, 0))</f>
        <v>0.25</v>
      </c>
      <c r="T727" t="str">
        <f>IF(S727&lt;0,"Negative discount (invalid)",IF(S727&gt;0.5,"Discount above allowed range (invalid)",IF(AND(R727="",S727=0),"Missing discount set to 0","OK")))</f>
        <v>OK</v>
      </c>
      <c r="U727">
        <v>8971.26</v>
      </c>
      <c r="V727">
        <v>6814.35</v>
      </c>
      <c r="W727">
        <v>2156.91</v>
      </c>
      <c r="X727" t="s">
        <v>32</v>
      </c>
      <c r="Y727" t="s">
        <v>33</v>
      </c>
      <c r="Z727">
        <f>IF(T727="OK",P727*Q727*(1-S727),"invalid")</f>
        <v>8971.26</v>
      </c>
      <c r="AA727">
        <f>IF(Z727="N/A","N/A",Z727-V727)</f>
        <v>2156.91</v>
      </c>
      <c r="AB727" s="8">
        <f>IF(Z727&lt;&gt;"N/A", AA727/Z727, "N/A")</f>
        <v>0.24042442198754688</v>
      </c>
      <c r="AC727">
        <f>MONTH(B727)</f>
        <v>4</v>
      </c>
      <c r="AD727">
        <f>YEAR(B727)</f>
        <v>2025</v>
      </c>
      <c r="AE727" s="10">
        <f t="shared" si="11"/>
        <v>0</v>
      </c>
      <c r="AF727" t="s">
        <v>2804</v>
      </c>
      <c r="AG727" t="s">
        <v>2811</v>
      </c>
    </row>
    <row r="728" spans="1:33">
      <c r="A728" t="s">
        <v>1628</v>
      </c>
      <c r="B728" s="4">
        <v>45789</v>
      </c>
      <c r="C728" s="4">
        <v>45791</v>
      </c>
      <c r="D728">
        <f>_xlfn.DAYS(C728,B728)</f>
        <v>2</v>
      </c>
      <c r="E728" t="s">
        <v>2804</v>
      </c>
      <c r="F728" t="s">
        <v>1629</v>
      </c>
      <c r="G728" t="s">
        <v>79</v>
      </c>
      <c r="H728" t="s">
        <v>24</v>
      </c>
      <c r="I728" t="s">
        <v>63</v>
      </c>
      <c r="J728" t="s">
        <v>180</v>
      </c>
      <c r="K728" t="s">
        <v>181</v>
      </c>
      <c r="L728" t="s">
        <v>74</v>
      </c>
      <c r="M728" t="s">
        <v>274</v>
      </c>
      <c r="N728" t="s">
        <v>1630</v>
      </c>
      <c r="O728" t="s">
        <v>44</v>
      </c>
      <c r="P728">
        <v>8</v>
      </c>
      <c r="Q728">
        <v>3631.44</v>
      </c>
      <c r="R728">
        <v>0.2</v>
      </c>
      <c r="S728">
        <f>IF(ISNUMBER(SEARCH("%",R728)), VALUE(SUBSTITUTE(R728,"%",""))/100,IF(ISNUMBER(R728), R728, 0))</f>
        <v>0.2</v>
      </c>
      <c r="T728" t="str">
        <f>IF(S728&lt;0,"Negative discount (invalid)",IF(S728&gt;0.5,"Discount above allowed range (invalid)",IF(AND(R728="",S728=0),"Missing discount set to 0","OK")))</f>
        <v>OK</v>
      </c>
      <c r="U728">
        <v>23241.22</v>
      </c>
      <c r="V728">
        <v>17220.900000000001</v>
      </c>
      <c r="W728">
        <v>6020.32</v>
      </c>
      <c r="X728" t="s">
        <v>32</v>
      </c>
      <c r="Y728" t="s">
        <v>33</v>
      </c>
      <c r="Z728">
        <f>IF(T728="OK",P728*Q728*(1-S728),"invalid")</f>
        <v>23241.216</v>
      </c>
      <c r="AA728">
        <f>IF(Z728="N/A","N/A",Z728-V728)</f>
        <v>6020.3159999999989</v>
      </c>
      <c r="AB728" s="8">
        <f>IF(Z728&lt;&gt;"N/A", AA728/Z728, "N/A")</f>
        <v>0.25903618812371948</v>
      </c>
      <c r="AC728">
        <f>MONTH(B728)</f>
        <v>5</v>
      </c>
      <c r="AD728">
        <f>YEAR(B728)</f>
        <v>2025</v>
      </c>
      <c r="AE728" s="10">
        <f t="shared" si="11"/>
        <v>4.0000000008149073E-3</v>
      </c>
      <c r="AF728" t="s">
        <v>2804</v>
      </c>
      <c r="AG728" t="s">
        <v>2811</v>
      </c>
    </row>
    <row r="729" spans="1:33">
      <c r="A729" t="s">
        <v>1637</v>
      </c>
      <c r="B729" s="4">
        <v>45718</v>
      </c>
      <c r="C729" s="4">
        <v>45719</v>
      </c>
      <c r="D729">
        <f>_xlfn.DAYS(C729,B729)</f>
        <v>1</v>
      </c>
      <c r="E729" t="s">
        <v>2804</v>
      </c>
      <c r="F729" t="s">
        <v>1248</v>
      </c>
      <c r="G729" t="s">
        <v>47</v>
      </c>
      <c r="H729" t="s">
        <v>90</v>
      </c>
      <c r="I729" t="s">
        <v>54</v>
      </c>
      <c r="J729" t="s">
        <v>185</v>
      </c>
      <c r="K729" t="s">
        <v>186</v>
      </c>
      <c r="L729" t="s">
        <v>28</v>
      </c>
      <c r="M729" t="s">
        <v>91</v>
      </c>
      <c r="N729" t="s">
        <v>1638</v>
      </c>
      <c r="O729" t="s">
        <v>31</v>
      </c>
      <c r="P729">
        <v>2</v>
      </c>
      <c r="Q729">
        <v>4031.45</v>
      </c>
      <c r="R729">
        <v>0.25</v>
      </c>
      <c r="S729">
        <f>IF(ISNUMBER(SEARCH("%",R729)), VALUE(SUBSTITUTE(R729,"%",""))/100,IF(ISNUMBER(R729), R729, 0))</f>
        <v>0.25</v>
      </c>
      <c r="T729" t="str">
        <f>IF(S729&lt;0,"Negative discount (invalid)",IF(S729&gt;0.5,"Discount above allowed range (invalid)",IF(AND(R729="",S729=0),"Missing discount set to 0","OK")))</f>
        <v>OK</v>
      </c>
      <c r="U729">
        <v>6047.17</v>
      </c>
      <c r="V729">
        <v>3368.79</v>
      </c>
      <c r="W729">
        <v>2678.38</v>
      </c>
      <c r="X729" t="s">
        <v>32</v>
      </c>
      <c r="Y729" t="s">
        <v>33</v>
      </c>
      <c r="Z729">
        <f>IF(T729="OK",P729*Q729*(1-S729),"invalid")</f>
        <v>6047.1749999999993</v>
      </c>
      <c r="AA729">
        <f>IF(Z729="N/A","N/A",Z729-V729)</f>
        <v>2678.3849999999993</v>
      </c>
      <c r="AB729" s="8">
        <f>IF(Z729&lt;&gt;"N/A", AA729/Z729, "N/A")</f>
        <v>0.44291508018206843</v>
      </c>
      <c r="AC729">
        <f>MONTH(B729)</f>
        <v>3</v>
      </c>
      <c r="AD729">
        <f>YEAR(B729)</f>
        <v>2025</v>
      </c>
      <c r="AE729" s="10">
        <f t="shared" si="11"/>
        <v>4.9999999991996447E-3</v>
      </c>
      <c r="AF729" t="s">
        <v>2804</v>
      </c>
      <c r="AG729" t="s">
        <v>2811</v>
      </c>
    </row>
    <row r="730" spans="1:33">
      <c r="A730" t="s">
        <v>1639</v>
      </c>
      <c r="B730" s="4">
        <v>45835</v>
      </c>
      <c r="C730" s="4">
        <v>45840</v>
      </c>
      <c r="D730">
        <f>_xlfn.DAYS(C730,B730)</f>
        <v>5</v>
      </c>
      <c r="E730" t="s">
        <v>2804</v>
      </c>
      <c r="F730" t="s">
        <v>1640</v>
      </c>
      <c r="G730" t="s">
        <v>128</v>
      </c>
      <c r="H730" t="s">
        <v>90</v>
      </c>
      <c r="I730" t="s">
        <v>54</v>
      </c>
      <c r="J730" t="s">
        <v>185</v>
      </c>
      <c r="K730" t="s">
        <v>186</v>
      </c>
      <c r="L730" t="s">
        <v>74</v>
      </c>
      <c r="M730" t="s">
        <v>75</v>
      </c>
      <c r="N730" t="s">
        <v>1641</v>
      </c>
      <c r="O730" t="s">
        <v>50</v>
      </c>
      <c r="P730">
        <v>6</v>
      </c>
      <c r="Q730">
        <v>1099.49</v>
      </c>
      <c r="R730">
        <v>0.1</v>
      </c>
      <c r="S730">
        <f>IF(ISNUMBER(SEARCH("%",R730)), VALUE(SUBSTITUTE(R730,"%",""))/100,IF(ISNUMBER(R730), R730, 0))</f>
        <v>0.1</v>
      </c>
      <c r="T730" t="str">
        <f>IF(S730&lt;0,"Negative discount (invalid)",IF(S730&gt;0.5,"Discount above allowed range (invalid)",IF(AND(R730="",S730=0),"Missing discount set to 0","OK")))</f>
        <v>OK</v>
      </c>
      <c r="U730">
        <v>6212.38</v>
      </c>
      <c r="V730">
        <v>4088.46</v>
      </c>
      <c r="W730">
        <v>1848.79</v>
      </c>
      <c r="X730" t="s">
        <v>32</v>
      </c>
      <c r="Y730" t="s">
        <v>33</v>
      </c>
      <c r="Z730">
        <f>IF(T730="OK",P730*Q730*(1-S730),"invalid")</f>
        <v>5937.246000000001</v>
      </c>
      <c r="AA730">
        <f>IF(Z730="N/A","N/A",Z730-V730)</f>
        <v>1848.786000000001</v>
      </c>
      <c r="AB730" s="8">
        <f>IF(Z730&lt;&gt;"N/A", AA730/Z730, "N/A")</f>
        <v>0.31138780505304997</v>
      </c>
      <c r="AC730">
        <f>MONTH(B730)</f>
        <v>6</v>
      </c>
      <c r="AD730">
        <f>YEAR(B730)</f>
        <v>2025</v>
      </c>
      <c r="AE730" s="10">
        <f t="shared" si="11"/>
        <v>275.13399999999911</v>
      </c>
      <c r="AF730" t="s">
        <v>2807</v>
      </c>
      <c r="AG730" t="s">
        <v>2789</v>
      </c>
    </row>
    <row r="731" spans="1:33">
      <c r="A731" t="s">
        <v>1645</v>
      </c>
      <c r="B731" s="4">
        <v>45758</v>
      </c>
      <c r="C731" s="4">
        <v>45758</v>
      </c>
      <c r="D731">
        <f>_xlfn.DAYS(C731,B731)</f>
        <v>0</v>
      </c>
      <c r="E731" t="s">
        <v>2804</v>
      </c>
      <c r="F731" t="s">
        <v>1646</v>
      </c>
      <c r="G731" t="s">
        <v>118</v>
      </c>
      <c r="H731" t="s">
        <v>90</v>
      </c>
      <c r="I731" t="s">
        <v>25</v>
      </c>
      <c r="J731" t="s">
        <v>350</v>
      </c>
      <c r="K731" t="s">
        <v>351</v>
      </c>
      <c r="L731" t="s">
        <v>28</v>
      </c>
      <c r="M731" t="s">
        <v>29</v>
      </c>
      <c r="N731" t="s">
        <v>1647</v>
      </c>
      <c r="O731" t="s">
        <v>59</v>
      </c>
      <c r="P731">
        <v>1</v>
      </c>
      <c r="Q731">
        <v>4458.49</v>
      </c>
      <c r="R731">
        <v>-7.0000000000000007E-2</v>
      </c>
      <c r="S731">
        <f>IF(ISNUMBER(SEARCH("%",R731)), VALUE(SUBSTITUTE(R731,"%",""))/100,IF(ISNUMBER(R731), R731, 0))</f>
        <v>-7.0000000000000007E-2</v>
      </c>
      <c r="T731" t="str">
        <f>IF(S731&lt;0,"Negative discount (invalid)",IF(S731&gt;0.5,"Discount above allowed range (invalid)",IF(AND(R731="",S731=0),"Missing discount set to 0","OK")))</f>
        <v>Negative discount (invalid)</v>
      </c>
      <c r="U731">
        <v>3566.79</v>
      </c>
      <c r="V731">
        <v>2083.41</v>
      </c>
      <c r="W731">
        <v>1483.38</v>
      </c>
      <c r="X731" t="s">
        <v>32</v>
      </c>
      <c r="Y731" t="s">
        <v>33</v>
      </c>
      <c r="Z731" t="s">
        <v>2793</v>
      </c>
      <c r="AA731" t="str">
        <f>IF(Z731="N/A","N/A",Z731-V731)</f>
        <v>N/A</v>
      </c>
      <c r="AB731" s="8" t="str">
        <f>IF(Z731&lt;&gt;"N/A", AA731/Z731, "N/A")</f>
        <v>N/A</v>
      </c>
      <c r="AC731">
        <f>MONTH(B731)</f>
        <v>4</v>
      </c>
      <c r="AD731">
        <f>YEAR(B731)</f>
        <v>2025</v>
      </c>
      <c r="AE731" s="10" t="str">
        <f t="shared" si="11"/>
        <v>N/A</v>
      </c>
      <c r="AF731" t="s">
        <v>2802</v>
      </c>
      <c r="AG731" t="s">
        <v>2789</v>
      </c>
    </row>
    <row r="732" spans="1:33">
      <c r="A732" t="s">
        <v>1651</v>
      </c>
      <c r="B732" s="4">
        <v>45802</v>
      </c>
      <c r="C732" s="4">
        <v>45804</v>
      </c>
      <c r="D732">
        <f>_xlfn.DAYS(C732,B732)</f>
        <v>2</v>
      </c>
      <c r="E732" t="s">
        <v>2804</v>
      </c>
      <c r="F732" t="s">
        <v>1652</v>
      </c>
      <c r="G732" t="s">
        <v>118</v>
      </c>
      <c r="H732" t="s">
        <v>24</v>
      </c>
      <c r="I732" t="s">
        <v>38</v>
      </c>
      <c r="J732" t="s">
        <v>39</v>
      </c>
      <c r="K732" t="s">
        <v>40</v>
      </c>
      <c r="L732" t="s">
        <v>41</v>
      </c>
      <c r="M732" t="s">
        <v>57</v>
      </c>
      <c r="N732" t="s">
        <v>1653</v>
      </c>
      <c r="O732" t="s">
        <v>31</v>
      </c>
      <c r="P732">
        <v>7</v>
      </c>
      <c r="Q732">
        <v>2123.2800000000002</v>
      </c>
      <c r="R732">
        <v>0.2</v>
      </c>
      <c r="S732">
        <f>IF(ISNUMBER(SEARCH("%",R732)), VALUE(SUBSTITUTE(R732,"%",""))/100,IF(ISNUMBER(R732), R732, 0))</f>
        <v>0.2</v>
      </c>
      <c r="T732" t="str">
        <f>IF(S732&lt;0,"Negative discount (invalid)",IF(S732&gt;0.5,"Discount above allowed range (invalid)",IF(AND(R732="",S732=0),"Missing discount set to 0","OK")))</f>
        <v>OK</v>
      </c>
      <c r="U732">
        <v>11890.37</v>
      </c>
      <c r="V732">
        <v>9234.5300000000007</v>
      </c>
      <c r="W732">
        <v>2655.84</v>
      </c>
      <c r="X732" t="s">
        <v>102</v>
      </c>
      <c r="Y732" t="s">
        <v>103</v>
      </c>
      <c r="Z732">
        <f>IF(T732="OK",P732*Q732*(1-S732),"invalid")</f>
        <v>11890.368000000002</v>
      </c>
      <c r="AA732">
        <f>IF(Z732="N/A","N/A",Z732-V732)</f>
        <v>2655.8380000000016</v>
      </c>
      <c r="AB732" s="8">
        <f>IF(Z732&lt;&gt;"N/A", AA732/Z732, "N/A")</f>
        <v>0.22336045444514427</v>
      </c>
      <c r="AC732">
        <f>MONTH(B732)</f>
        <v>5</v>
      </c>
      <c r="AD732">
        <f>YEAR(B732)</f>
        <v>2025</v>
      </c>
      <c r="AE732" s="10">
        <f t="shared" si="11"/>
        <v>1.9999999985884642E-3</v>
      </c>
      <c r="AF732" t="s">
        <v>2804</v>
      </c>
      <c r="AG732" t="s">
        <v>2811</v>
      </c>
    </row>
    <row r="733" spans="1:33">
      <c r="A733" t="s">
        <v>1654</v>
      </c>
      <c r="B733" s="4">
        <v>45777</v>
      </c>
      <c r="C733" s="4">
        <v>45773</v>
      </c>
      <c r="D733">
        <f>_xlfn.DAYS(C733,B733)</f>
        <v>-4</v>
      </c>
      <c r="E733" t="str">
        <f>IF(B733="INVALID","Missing/Invalid order_date", IF(C733="INVALID","Missing/Invalid ship_date",IF(AND(B733&lt;&gt;"",C733&lt;&gt;"",C733&lt;B733),"Ship date before order date","")))</f>
        <v>Ship date before order date</v>
      </c>
      <c r="F733" t="s">
        <v>1655</v>
      </c>
      <c r="G733" t="s">
        <v>162</v>
      </c>
      <c r="H733" t="s">
        <v>90</v>
      </c>
      <c r="I733" t="s">
        <v>38</v>
      </c>
      <c r="J733" t="s">
        <v>39</v>
      </c>
      <c r="K733" t="s">
        <v>40</v>
      </c>
      <c r="L733" t="s">
        <v>41</v>
      </c>
      <c r="M733" t="s">
        <v>42</v>
      </c>
      <c r="N733" t="s">
        <v>1656</v>
      </c>
      <c r="O733" t="s">
        <v>50</v>
      </c>
      <c r="P733">
        <v>7</v>
      </c>
      <c r="Q733">
        <v>1604.13</v>
      </c>
      <c r="R733">
        <v>0.25</v>
      </c>
      <c r="S733">
        <f>IF(ISNUMBER(SEARCH("%",R733)), VALUE(SUBSTITUTE(R733,"%",""))/100,IF(ISNUMBER(R733), R733, 0))</f>
        <v>0.25</v>
      </c>
      <c r="T733" t="str">
        <f>IF(S733&lt;0,"Negative discount (invalid)",IF(S733&gt;0.5,"Discount above allowed range (invalid)",IF(AND(R733="",S733=0),"Missing discount set to 0","OK")))</f>
        <v>OK</v>
      </c>
      <c r="U733">
        <v>8421.68</v>
      </c>
      <c r="V733">
        <v>6534.47</v>
      </c>
      <c r="W733">
        <v>1887.21</v>
      </c>
      <c r="X733" t="s">
        <v>32</v>
      </c>
      <c r="Y733" t="s">
        <v>68</v>
      </c>
      <c r="Z733">
        <f>IF(T733="OK",P733*Q733*(1-S733),"invalid")</f>
        <v>8421.682499999999</v>
      </c>
      <c r="AA733">
        <f>IF(Z733="N/A","N/A",Z733-V733)</f>
        <v>1887.2124999999987</v>
      </c>
      <c r="AB733" s="8">
        <f>IF(Z733&lt;&gt;"N/A", AA733/Z733, "N/A")</f>
        <v>0.22408972316398759</v>
      </c>
      <c r="AC733">
        <f>MONTH(B733)</f>
        <v>4</v>
      </c>
      <c r="AD733">
        <f>YEAR(B733)</f>
        <v>2025</v>
      </c>
      <c r="AE733" s="10">
        <f t="shared" si="11"/>
        <v>2.4999999986903276E-3</v>
      </c>
      <c r="AF733" t="s">
        <v>2806</v>
      </c>
      <c r="AG733" t="s">
        <v>2789</v>
      </c>
    </row>
    <row r="734" spans="1:33">
      <c r="A734" t="s">
        <v>1657</v>
      </c>
      <c r="B734" s="4">
        <v>45841</v>
      </c>
      <c r="C734" s="4">
        <v>45845</v>
      </c>
      <c r="D734">
        <f>_xlfn.DAYS(C734,B734)</f>
        <v>4</v>
      </c>
      <c r="E734" t="s">
        <v>2804</v>
      </c>
      <c r="F734" t="s">
        <v>1658</v>
      </c>
      <c r="G734" t="s">
        <v>114</v>
      </c>
      <c r="H734" t="s">
        <v>24</v>
      </c>
      <c r="I734" t="s">
        <v>25</v>
      </c>
      <c r="J734" t="s">
        <v>136</v>
      </c>
      <c r="K734" t="s">
        <v>137</v>
      </c>
      <c r="L734" t="s">
        <v>41</v>
      </c>
      <c r="M734" t="s">
        <v>42</v>
      </c>
      <c r="N734" t="s">
        <v>1659</v>
      </c>
      <c r="O734" t="s">
        <v>59</v>
      </c>
      <c r="P734">
        <v>4</v>
      </c>
      <c r="Q734">
        <v>4365.21</v>
      </c>
      <c r="R734">
        <v>0.2</v>
      </c>
      <c r="S734">
        <f>IF(ISNUMBER(SEARCH("%",R734)), VALUE(SUBSTITUTE(R734,"%",""))/100,IF(ISNUMBER(R734), R734, 0))</f>
        <v>0.2</v>
      </c>
      <c r="T734" t="str">
        <f>IF(S734&lt;0,"Negative discount (invalid)",IF(S734&gt;0.5,"Discount above allowed range (invalid)",IF(AND(R734="",S734=0),"Missing discount set to 0","OK")))</f>
        <v>OK</v>
      </c>
      <c r="U734">
        <v>13968.67</v>
      </c>
      <c r="V734">
        <v>8857.58</v>
      </c>
      <c r="W734">
        <v>5111.09</v>
      </c>
      <c r="X734" t="s">
        <v>111</v>
      </c>
      <c r="Y734" t="s">
        <v>68</v>
      </c>
      <c r="Z734">
        <f>IF(T734="OK",P734*Q734*(1-S734),"invalid")</f>
        <v>13968.672</v>
      </c>
      <c r="AA734">
        <f>IF(Z734="N/A","N/A",Z734-V734)</f>
        <v>5111.0920000000006</v>
      </c>
      <c r="AB734" s="8">
        <f>IF(Z734&lt;&gt;"N/A", AA734/Z734, "N/A")</f>
        <v>0.36589677243477409</v>
      </c>
      <c r="AC734">
        <f>MONTH(B734)</f>
        <v>7</v>
      </c>
      <c r="AD734">
        <f>YEAR(B734)</f>
        <v>2025</v>
      </c>
      <c r="AE734" s="10">
        <f t="shared" si="11"/>
        <v>2.0000000004074536E-3</v>
      </c>
      <c r="AF734" t="s">
        <v>2804</v>
      </c>
      <c r="AG734" t="s">
        <v>2811</v>
      </c>
    </row>
    <row r="735" spans="1:33">
      <c r="A735" t="s">
        <v>1663</v>
      </c>
      <c r="B735" s="4">
        <v>45741</v>
      </c>
      <c r="C735" s="4">
        <v>45748</v>
      </c>
      <c r="D735">
        <f>_xlfn.DAYS(C735,B735)</f>
        <v>7</v>
      </c>
      <c r="E735" t="s">
        <v>2804</v>
      </c>
      <c r="F735" t="s">
        <v>1664</v>
      </c>
      <c r="G735" t="s">
        <v>162</v>
      </c>
      <c r="H735" t="s">
        <v>24</v>
      </c>
      <c r="I735" t="s">
        <v>25</v>
      </c>
      <c r="J735" t="s">
        <v>122</v>
      </c>
      <c r="K735" t="s">
        <v>123</v>
      </c>
      <c r="L735" t="s">
        <v>28</v>
      </c>
      <c r="M735" t="s">
        <v>91</v>
      </c>
      <c r="N735" t="s">
        <v>1665</v>
      </c>
      <c r="O735" t="s">
        <v>31</v>
      </c>
      <c r="P735">
        <v>6</v>
      </c>
      <c r="Q735">
        <v>2192.11</v>
      </c>
      <c r="R735">
        <v>0.05</v>
      </c>
      <c r="S735">
        <f>IF(ISNUMBER(SEARCH("%",R735)), VALUE(SUBSTITUTE(R735,"%",""))/100,IF(ISNUMBER(R735), R735, 0))</f>
        <v>0.05</v>
      </c>
      <c r="T735" t="str">
        <f>IF(S735&lt;0,"Negative discount (invalid)",IF(S735&gt;0.5,"Discount above allowed range (invalid)",IF(AND(R735="",S735=0),"Missing discount set to 0","OK")))</f>
        <v>OK</v>
      </c>
      <c r="U735">
        <v>12495.03</v>
      </c>
      <c r="V735">
        <v>9184.52</v>
      </c>
      <c r="W735">
        <v>3310.51</v>
      </c>
      <c r="X735" t="s">
        <v>32</v>
      </c>
      <c r="Y735" t="s">
        <v>33</v>
      </c>
      <c r="Z735">
        <f>IF(T735="OK",P735*Q735*(1-S735),"invalid")</f>
        <v>12495.027</v>
      </c>
      <c r="AA735">
        <f>IF(Z735="N/A","N/A",Z735-V735)</f>
        <v>3310.5069999999996</v>
      </c>
      <c r="AB735" s="8">
        <f>IF(Z735&lt;&gt;"N/A", AA735/Z735, "N/A")</f>
        <v>0.26494596610315446</v>
      </c>
      <c r="AC735">
        <f>MONTH(B735)</f>
        <v>3</v>
      </c>
      <c r="AD735">
        <f>YEAR(B735)</f>
        <v>2025</v>
      </c>
      <c r="AE735" s="10">
        <f t="shared" si="11"/>
        <v>3.0000000006111804E-3</v>
      </c>
      <c r="AF735" t="s">
        <v>2804</v>
      </c>
      <c r="AG735" t="s">
        <v>2811</v>
      </c>
    </row>
    <row r="736" spans="1:33">
      <c r="A736" t="s">
        <v>1666</v>
      </c>
      <c r="B736" s="4">
        <v>45716</v>
      </c>
      <c r="C736" s="4">
        <v>45724</v>
      </c>
      <c r="D736">
        <f>_xlfn.DAYS(C736,B736)</f>
        <v>8</v>
      </c>
      <c r="E736" t="s">
        <v>2804</v>
      </c>
      <c r="F736" t="s">
        <v>1667</v>
      </c>
      <c r="G736" t="s">
        <v>79</v>
      </c>
      <c r="H736" t="s">
        <v>37</v>
      </c>
      <c r="I736" t="s">
        <v>38</v>
      </c>
      <c r="J736" t="s">
        <v>228</v>
      </c>
      <c r="K736" t="s">
        <v>229</v>
      </c>
      <c r="L736" t="s">
        <v>74</v>
      </c>
      <c r="M736" t="s">
        <v>171</v>
      </c>
      <c r="N736" t="s">
        <v>1668</v>
      </c>
      <c r="O736" t="s">
        <v>50</v>
      </c>
      <c r="P736">
        <v>9</v>
      </c>
      <c r="Q736">
        <v>3670.54</v>
      </c>
      <c r="R736">
        <v>0</v>
      </c>
      <c r="S736">
        <f>IF(ISNUMBER(SEARCH("%",R736)), VALUE(SUBSTITUTE(R736,"%",""))/100,IF(ISNUMBER(R736), R736, 0))</f>
        <v>0</v>
      </c>
      <c r="T736" t="str">
        <f>IF(S736&lt;0,"Negative discount (invalid)",IF(S736&gt;0.5,"Discount above allowed range (invalid)",IF(AND(R736="",S736=0),"Missing discount set to 0","OK")))</f>
        <v>OK</v>
      </c>
      <c r="U736">
        <v>33034.86</v>
      </c>
      <c r="V736">
        <v>24539.83</v>
      </c>
      <c r="W736">
        <v>8495.0300000000007</v>
      </c>
      <c r="X736" t="s">
        <v>32</v>
      </c>
      <c r="Y736" t="s">
        <v>33</v>
      </c>
      <c r="Z736">
        <f>IF(T736="OK",P736*Q736*(1-S736),"invalid")</f>
        <v>33034.86</v>
      </c>
      <c r="AA736">
        <f>IF(Z736="N/A","N/A",Z736-V736)</f>
        <v>8495.0299999999988</v>
      </c>
      <c r="AB736" s="8">
        <f>IF(Z736&lt;&gt;"N/A", AA736/Z736, "N/A")</f>
        <v>0.25715350390466307</v>
      </c>
      <c r="AC736">
        <f>MONTH(B736)</f>
        <v>2</v>
      </c>
      <c r="AD736">
        <f>YEAR(B736)</f>
        <v>2025</v>
      </c>
      <c r="AE736" s="10">
        <f t="shared" si="11"/>
        <v>0</v>
      </c>
      <c r="AF736" t="s">
        <v>2804</v>
      </c>
      <c r="AG736" t="s">
        <v>2811</v>
      </c>
    </row>
    <row r="737" spans="1:33">
      <c r="A737" t="s">
        <v>1678</v>
      </c>
      <c r="B737" s="4">
        <v>45856</v>
      </c>
      <c r="C737" s="4">
        <v>45859</v>
      </c>
      <c r="D737">
        <f>_xlfn.DAYS(C737,B737)</f>
        <v>3</v>
      </c>
      <c r="E737" t="s">
        <v>2804</v>
      </c>
      <c r="F737" t="s">
        <v>1679</v>
      </c>
      <c r="G737" t="s">
        <v>114</v>
      </c>
      <c r="H737" t="s">
        <v>24</v>
      </c>
      <c r="I737" t="s">
        <v>38</v>
      </c>
      <c r="J737" t="s">
        <v>39</v>
      </c>
      <c r="K737" t="s">
        <v>40</v>
      </c>
      <c r="L737" t="s">
        <v>41</v>
      </c>
      <c r="M737" t="s">
        <v>42</v>
      </c>
      <c r="N737" t="s">
        <v>1680</v>
      </c>
      <c r="O737" t="s">
        <v>31</v>
      </c>
      <c r="P737">
        <v>4</v>
      </c>
      <c r="Q737">
        <v>284.04000000000002</v>
      </c>
      <c r="R737">
        <v>0</v>
      </c>
      <c r="S737">
        <f>IF(ISNUMBER(SEARCH("%",R737)), VALUE(SUBSTITUTE(R737,"%",""))/100,IF(ISNUMBER(R737), R737, 0))</f>
        <v>0</v>
      </c>
      <c r="T737" t="str">
        <f>IF(S737&lt;0,"Negative discount (invalid)",IF(S737&gt;0.5,"Discount above allowed range (invalid)",IF(AND(R737="",S737=0),"Missing discount set to 0","OK")))</f>
        <v>OK</v>
      </c>
      <c r="U737">
        <v>908.93</v>
      </c>
      <c r="V737">
        <v>572.08000000000004</v>
      </c>
      <c r="W737">
        <v>336.85</v>
      </c>
      <c r="X737" t="s">
        <v>32</v>
      </c>
      <c r="Y737" t="s">
        <v>33</v>
      </c>
      <c r="Z737">
        <f>IF(T737="OK",P737*Q737*(1-S737),"invalid")</f>
        <v>1136.1600000000001</v>
      </c>
      <c r="AA737">
        <f>IF(Z737="N/A","N/A",Z737-V737)</f>
        <v>564.08000000000004</v>
      </c>
      <c r="AB737" s="8">
        <f>IF(Z737&lt;&gt;"N/A", AA737/Z737, "N/A")</f>
        <v>0.49647936910294327</v>
      </c>
      <c r="AC737">
        <f>MONTH(B737)</f>
        <v>7</v>
      </c>
      <c r="AD737">
        <f>YEAR(B737)</f>
        <v>2025</v>
      </c>
      <c r="AE737" s="10">
        <f t="shared" si="11"/>
        <v>227.23000000000013</v>
      </c>
      <c r="AF737" t="s">
        <v>2807</v>
      </c>
      <c r="AG737" t="s">
        <v>2789</v>
      </c>
    </row>
    <row r="738" spans="1:33">
      <c r="A738" t="s">
        <v>1681</v>
      </c>
      <c r="B738" s="4">
        <v>45931</v>
      </c>
      <c r="C738" s="4">
        <v>45935</v>
      </c>
      <c r="D738">
        <f>_xlfn.DAYS(C738,B738)</f>
        <v>4</v>
      </c>
      <c r="E738" t="s">
        <v>2804</v>
      </c>
      <c r="F738" t="s">
        <v>1682</v>
      </c>
      <c r="G738" t="s">
        <v>89</v>
      </c>
      <c r="H738" t="s">
        <v>95</v>
      </c>
      <c r="I738" t="s">
        <v>25</v>
      </c>
      <c r="J738" t="s">
        <v>236</v>
      </c>
      <c r="K738" t="s">
        <v>237</v>
      </c>
      <c r="L738" t="s">
        <v>28</v>
      </c>
      <c r="M738" t="s">
        <v>29</v>
      </c>
      <c r="N738" t="s">
        <v>1683</v>
      </c>
      <c r="O738" t="s">
        <v>50</v>
      </c>
      <c r="P738">
        <v>5</v>
      </c>
      <c r="Q738">
        <v>3247.56</v>
      </c>
      <c r="R738">
        <v>0.15</v>
      </c>
      <c r="S738">
        <f>IF(ISNUMBER(SEARCH("%",R738)), VALUE(SUBSTITUTE(R738,"%",""))/100,IF(ISNUMBER(R738), R738, 0))</f>
        <v>0.15</v>
      </c>
      <c r="T738" t="str">
        <f>IF(S738&lt;0,"Negative discount (invalid)",IF(S738&gt;0.5,"Discount above allowed range (invalid)",IF(AND(R738="",S738=0),"Missing discount set to 0","OK")))</f>
        <v>OK</v>
      </c>
      <c r="U738">
        <v>13802.13</v>
      </c>
      <c r="V738">
        <v>10075.93</v>
      </c>
      <c r="W738">
        <v>3726.2</v>
      </c>
      <c r="X738" t="s">
        <v>32</v>
      </c>
      <c r="Y738" t="s">
        <v>33</v>
      </c>
      <c r="Z738">
        <f>IF(T738="OK",P738*Q738*(1-S738),"invalid")</f>
        <v>13802.13</v>
      </c>
      <c r="AA738">
        <f>IF(Z738="N/A","N/A",Z738-V738)</f>
        <v>3726.1999999999989</v>
      </c>
      <c r="AB738" s="8">
        <f>IF(Z738&lt;&gt;"N/A", AA738/Z738, "N/A")</f>
        <v>0.26997282303528508</v>
      </c>
      <c r="AC738">
        <f>MONTH(B738)</f>
        <v>10</v>
      </c>
      <c r="AD738">
        <f>YEAR(B738)</f>
        <v>2025</v>
      </c>
      <c r="AE738" s="10">
        <f t="shared" si="11"/>
        <v>0</v>
      </c>
      <c r="AF738" t="s">
        <v>2804</v>
      </c>
      <c r="AG738" t="s">
        <v>2811</v>
      </c>
    </row>
    <row r="739" spans="1:33">
      <c r="A739" t="s">
        <v>1689</v>
      </c>
      <c r="B739" s="4">
        <v>45807</v>
      </c>
      <c r="C739" s="4">
        <v>45809</v>
      </c>
      <c r="D739">
        <f>_xlfn.DAYS(C739,B739)</f>
        <v>2</v>
      </c>
      <c r="E739" t="s">
        <v>2804</v>
      </c>
      <c r="F739" t="s">
        <v>1690</v>
      </c>
      <c r="G739" t="s">
        <v>118</v>
      </c>
      <c r="H739" t="s">
        <v>95</v>
      </c>
      <c r="I739" t="s">
        <v>54</v>
      </c>
      <c r="J739" t="s">
        <v>247</v>
      </c>
      <c r="K739" t="s">
        <v>248</v>
      </c>
      <c r="L739" t="s">
        <v>28</v>
      </c>
      <c r="M739" t="s">
        <v>153</v>
      </c>
      <c r="N739" t="s">
        <v>1691</v>
      </c>
      <c r="O739" t="s">
        <v>59</v>
      </c>
      <c r="P739">
        <v>9</v>
      </c>
      <c r="Q739">
        <v>1994.51</v>
      </c>
      <c r="R739">
        <v>0.05</v>
      </c>
      <c r="S739">
        <f>IF(ISNUMBER(SEARCH("%",R739)), VALUE(SUBSTITUTE(R739,"%",""))/100,IF(ISNUMBER(R739), R739, 0))</f>
        <v>0.05</v>
      </c>
      <c r="T739" t="str">
        <f>IF(S739&lt;0,"Negative discount (invalid)",IF(S739&gt;0.5,"Discount above allowed range (invalid)",IF(AND(R739="",S739=0),"Missing discount set to 0","OK")))</f>
        <v>OK</v>
      </c>
      <c r="U739">
        <v>17053.060000000001</v>
      </c>
      <c r="V739">
        <v>10742.38</v>
      </c>
      <c r="W739">
        <v>6310.68</v>
      </c>
      <c r="X739" t="s">
        <v>32</v>
      </c>
      <c r="Y739" t="s">
        <v>33</v>
      </c>
      <c r="Z739">
        <f>IF(T739="OK",P739*Q739*(1-S739),"invalid")</f>
        <v>17053.0605</v>
      </c>
      <c r="AA739">
        <f>IF(Z739="N/A","N/A",Z739-V739)</f>
        <v>6310.6805000000004</v>
      </c>
      <c r="AB739" s="8">
        <f>IF(Z739&lt;&gt;"N/A", AA739/Z739, "N/A")</f>
        <v>0.37006146198801093</v>
      </c>
      <c r="AC739">
        <f>MONTH(B739)</f>
        <v>5</v>
      </c>
      <c r="AD739">
        <f>YEAR(B739)</f>
        <v>2025</v>
      </c>
      <c r="AE739" s="10">
        <f t="shared" si="11"/>
        <v>4.99999998282874E-4</v>
      </c>
      <c r="AF739" t="s">
        <v>2804</v>
      </c>
      <c r="AG739" t="s">
        <v>2811</v>
      </c>
    </row>
    <row r="740" spans="1:33">
      <c r="A740" t="s">
        <v>1695</v>
      </c>
      <c r="B740" s="4">
        <v>45935</v>
      </c>
      <c r="C740" s="4">
        <v>45940</v>
      </c>
      <c r="D740">
        <f>_xlfn.DAYS(C740,B740)</f>
        <v>5</v>
      </c>
      <c r="E740" t="s">
        <v>2804</v>
      </c>
      <c r="F740" t="s">
        <v>1696</v>
      </c>
      <c r="G740" t="s">
        <v>114</v>
      </c>
      <c r="H740" t="s">
        <v>90</v>
      </c>
      <c r="I740" t="s">
        <v>38</v>
      </c>
      <c r="J740" t="s">
        <v>166</v>
      </c>
      <c r="K740" t="s">
        <v>167</v>
      </c>
      <c r="L740" t="s">
        <v>41</v>
      </c>
      <c r="M740" t="s">
        <v>42</v>
      </c>
      <c r="N740" t="s">
        <v>1697</v>
      </c>
      <c r="O740" t="s">
        <v>31</v>
      </c>
      <c r="P740">
        <v>9</v>
      </c>
      <c r="Q740">
        <v>2089.14</v>
      </c>
      <c r="R740">
        <v>0.05</v>
      </c>
      <c r="S740">
        <f>IF(ISNUMBER(SEARCH("%",R740)), VALUE(SUBSTITUTE(R740,"%",""))/100,IF(ISNUMBER(R740), R740, 0))</f>
        <v>0.05</v>
      </c>
      <c r="T740" t="str">
        <f>IF(S740&lt;0,"Negative discount (invalid)",IF(S740&gt;0.5,"Discount above allowed range (invalid)",IF(AND(R740="",S740=0),"Missing discount set to 0","OK")))</f>
        <v>OK</v>
      </c>
      <c r="U740">
        <v>17862.150000000001</v>
      </c>
      <c r="V740">
        <v>9892.2099999999991</v>
      </c>
      <c r="W740">
        <v>7969.94</v>
      </c>
      <c r="X740" t="s">
        <v>155</v>
      </c>
      <c r="Y740" t="s">
        <v>68</v>
      </c>
      <c r="Z740">
        <f>IF(T740="OK",P740*Q740*(1-S740),"invalid")</f>
        <v>17862.146999999997</v>
      </c>
      <c r="AA740">
        <f>IF(Z740="N/A","N/A",Z740-V740)</f>
        <v>7969.9369999999981</v>
      </c>
      <c r="AB740" s="8">
        <f>IF(Z740&lt;&gt;"N/A", AA740/Z740, "N/A")</f>
        <v>0.44619143488182017</v>
      </c>
      <c r="AC740">
        <f>MONTH(B740)</f>
        <v>10</v>
      </c>
      <c r="AD740">
        <f>YEAR(B740)</f>
        <v>2025</v>
      </c>
      <c r="AE740" s="10">
        <f t="shared" si="11"/>
        <v>3.0000000042491592E-3</v>
      </c>
      <c r="AF740" t="s">
        <v>2804</v>
      </c>
      <c r="AG740" t="s">
        <v>2811</v>
      </c>
    </row>
    <row r="741" spans="1:33">
      <c r="A741" t="s">
        <v>1701</v>
      </c>
      <c r="B741" s="4">
        <v>45774</v>
      </c>
      <c r="C741" s="4">
        <v>45782</v>
      </c>
      <c r="D741">
        <f>_xlfn.DAYS(C741,B741)</f>
        <v>8</v>
      </c>
      <c r="E741" t="s">
        <v>2804</v>
      </c>
      <c r="F741" t="s">
        <v>1702</v>
      </c>
      <c r="G741" t="s">
        <v>141</v>
      </c>
      <c r="H741" t="s">
        <v>95</v>
      </c>
      <c r="I741" t="s">
        <v>38</v>
      </c>
      <c r="J741" t="s">
        <v>145</v>
      </c>
      <c r="K741" t="s">
        <v>146</v>
      </c>
      <c r="L741" t="s">
        <v>74</v>
      </c>
      <c r="M741" t="s">
        <v>75</v>
      </c>
      <c r="N741" t="s">
        <v>1703</v>
      </c>
      <c r="O741" t="s">
        <v>31</v>
      </c>
      <c r="P741">
        <v>4</v>
      </c>
      <c r="Q741">
        <v>3963.39</v>
      </c>
      <c r="R741">
        <v>0.1</v>
      </c>
      <c r="S741">
        <f>IF(ISNUMBER(SEARCH("%",R741)), VALUE(SUBSTITUTE(R741,"%",""))/100,IF(ISNUMBER(R741), R741, 0))</f>
        <v>0.1</v>
      </c>
      <c r="T741" t="str">
        <f>IF(S741&lt;0,"Negative discount (invalid)",IF(S741&gt;0.5,"Discount above allowed range (invalid)",IF(AND(R741="",S741=0),"Missing discount set to 0","OK")))</f>
        <v>OK</v>
      </c>
      <c r="U741">
        <v>14268.2</v>
      </c>
      <c r="V741">
        <v>11705.3</v>
      </c>
      <c r="W741">
        <v>2562.9</v>
      </c>
      <c r="X741" t="s">
        <v>111</v>
      </c>
      <c r="Y741" t="s">
        <v>103</v>
      </c>
      <c r="Z741">
        <f>IF(T741="OK",P741*Q741*(1-S741),"invalid")</f>
        <v>14268.204</v>
      </c>
      <c r="AA741">
        <f>IF(Z741="N/A","N/A",Z741-V741)</f>
        <v>2562.9040000000005</v>
      </c>
      <c r="AB741" s="8">
        <f>IF(Z741&lt;&gt;"N/A", AA741/Z741, "N/A")</f>
        <v>0.17962344805274724</v>
      </c>
      <c r="AC741">
        <f>MONTH(B741)</f>
        <v>4</v>
      </c>
      <c r="AD741">
        <f>YEAR(B741)</f>
        <v>2025</v>
      </c>
      <c r="AE741" s="10">
        <f t="shared" si="11"/>
        <v>3.9999999989959178E-3</v>
      </c>
      <c r="AF741" t="s">
        <v>2804</v>
      </c>
      <c r="AG741" t="s">
        <v>2811</v>
      </c>
    </row>
    <row r="742" spans="1:33">
      <c r="A742" t="s">
        <v>1707</v>
      </c>
      <c r="B742" s="4">
        <v>45757</v>
      </c>
      <c r="C742" s="4">
        <v>45764</v>
      </c>
      <c r="D742">
        <f>_xlfn.DAYS(C742,B742)</f>
        <v>7</v>
      </c>
      <c r="E742" t="s">
        <v>2804</v>
      </c>
      <c r="F742" t="s">
        <v>1708</v>
      </c>
      <c r="G742" t="s">
        <v>62</v>
      </c>
      <c r="H742" t="s">
        <v>37</v>
      </c>
      <c r="I742" t="s">
        <v>63</v>
      </c>
      <c r="J742" t="s">
        <v>26</v>
      </c>
      <c r="K742" t="s">
        <v>109</v>
      </c>
      <c r="L742" t="s">
        <v>41</v>
      </c>
      <c r="M742" t="s">
        <v>66</v>
      </c>
      <c r="N742" t="s">
        <v>1709</v>
      </c>
      <c r="O742" t="s">
        <v>50</v>
      </c>
      <c r="P742">
        <v>7</v>
      </c>
      <c r="Q742">
        <v>3788.9</v>
      </c>
      <c r="R742">
        <v>0.25</v>
      </c>
      <c r="S742">
        <f>IF(ISNUMBER(SEARCH("%",R742)), VALUE(SUBSTITUTE(R742,"%",""))/100,IF(ISNUMBER(R742), R742, 0))</f>
        <v>0.25</v>
      </c>
      <c r="T742" t="str">
        <f>IF(S742&lt;0,"Negative discount (invalid)",IF(S742&gt;0.5,"Discount above allowed range (invalid)",IF(AND(R742="",S742=0),"Missing discount set to 0","OK")))</f>
        <v>OK</v>
      </c>
      <c r="U742">
        <v>19891.72</v>
      </c>
      <c r="V742">
        <v>12295.76</v>
      </c>
      <c r="W742">
        <v>7595.96</v>
      </c>
      <c r="X742" t="s">
        <v>155</v>
      </c>
      <c r="Y742" t="s">
        <v>68</v>
      </c>
      <c r="Z742">
        <f>IF(T742="OK",P742*Q742*(1-S742),"invalid")</f>
        <v>19891.724999999999</v>
      </c>
      <c r="AA742">
        <f>IF(Z742="N/A","N/A",Z742-V742)</f>
        <v>7595.9649999999983</v>
      </c>
      <c r="AB742" s="8">
        <f>IF(Z742&lt;&gt;"N/A", AA742/Z742, "N/A")</f>
        <v>0.38186557475533162</v>
      </c>
      <c r="AC742">
        <f>MONTH(B742)</f>
        <v>4</v>
      </c>
      <c r="AD742">
        <f>YEAR(B742)</f>
        <v>2025</v>
      </c>
      <c r="AE742" s="10">
        <f t="shared" si="11"/>
        <v>4.9999999973806553E-3</v>
      </c>
      <c r="AF742" t="s">
        <v>2804</v>
      </c>
      <c r="AG742" t="s">
        <v>2811</v>
      </c>
    </row>
    <row r="743" spans="1:33">
      <c r="A743" t="s">
        <v>1716</v>
      </c>
      <c r="B743" s="4">
        <v>45842</v>
      </c>
      <c r="C743" s="4">
        <v>45842</v>
      </c>
      <c r="D743">
        <f>_xlfn.DAYS(C743,B743)</f>
        <v>0</v>
      </c>
      <c r="E743" t="s">
        <v>2804</v>
      </c>
      <c r="F743" t="s">
        <v>1717</v>
      </c>
      <c r="G743" t="s">
        <v>36</v>
      </c>
      <c r="H743" t="s">
        <v>37</v>
      </c>
      <c r="I743" t="s">
        <v>54</v>
      </c>
      <c r="J743" t="s">
        <v>247</v>
      </c>
      <c r="K743" t="s">
        <v>248</v>
      </c>
      <c r="L743" t="s">
        <v>41</v>
      </c>
      <c r="M743" t="s">
        <v>66</v>
      </c>
      <c r="N743" t="s">
        <v>1718</v>
      </c>
      <c r="O743" t="s">
        <v>59</v>
      </c>
      <c r="P743">
        <v>3</v>
      </c>
      <c r="Q743">
        <v>705.35</v>
      </c>
      <c r="R743">
        <v>0.1</v>
      </c>
      <c r="S743">
        <f>IF(ISNUMBER(SEARCH("%",R743)), VALUE(SUBSTITUTE(R743,"%",""))/100,IF(ISNUMBER(R743), R743, 0))</f>
        <v>0.1</v>
      </c>
      <c r="T743" t="str">
        <f>IF(S743&lt;0,"Negative discount (invalid)",IF(S743&gt;0.5,"Discount above allowed range (invalid)",IF(AND(R743="",S743=0),"Missing discount set to 0","OK")))</f>
        <v>OK</v>
      </c>
      <c r="U743">
        <v>1904.45</v>
      </c>
      <c r="V743">
        <v>1316.54</v>
      </c>
      <c r="W743">
        <v>587.91</v>
      </c>
      <c r="X743" t="s">
        <v>32</v>
      </c>
      <c r="Y743" t="s">
        <v>68</v>
      </c>
      <c r="Z743">
        <f>IF(T743="OK",P743*Q743*(1-S743),"invalid")</f>
        <v>1904.4450000000002</v>
      </c>
      <c r="AA743">
        <f>IF(Z743="N/A","N/A",Z743-V743)</f>
        <v>587.9050000000002</v>
      </c>
      <c r="AB743" s="8">
        <f>IF(Z743&lt;&gt;"N/A", AA743/Z743, "N/A")</f>
        <v>0.30870148520960183</v>
      </c>
      <c r="AC743">
        <f>MONTH(B743)</f>
        <v>7</v>
      </c>
      <c r="AD743">
        <f>YEAR(B743)</f>
        <v>2025</v>
      </c>
      <c r="AE743" s="10">
        <f t="shared" si="11"/>
        <v>4.9999999998817657E-3</v>
      </c>
      <c r="AF743" t="s">
        <v>2804</v>
      </c>
      <c r="AG743" t="s">
        <v>2811</v>
      </c>
    </row>
    <row r="744" spans="1:33">
      <c r="A744" t="s">
        <v>1722</v>
      </c>
      <c r="B744" s="4">
        <v>45846</v>
      </c>
      <c r="C744" s="4">
        <v>45847</v>
      </c>
      <c r="D744">
        <f>_xlfn.DAYS(C744,B744)</f>
        <v>1</v>
      </c>
      <c r="E744" t="s">
        <v>2804</v>
      </c>
      <c r="F744" t="s">
        <v>1723</v>
      </c>
      <c r="G744" t="s">
        <v>132</v>
      </c>
      <c r="H744" t="s">
        <v>24</v>
      </c>
      <c r="I744" t="s">
        <v>63</v>
      </c>
      <c r="J744" t="s">
        <v>64</v>
      </c>
      <c r="K744" t="s">
        <v>65</v>
      </c>
      <c r="L744" t="s">
        <v>74</v>
      </c>
      <c r="M744" t="s">
        <v>80</v>
      </c>
      <c r="N744" t="s">
        <v>1724</v>
      </c>
      <c r="O744" t="s">
        <v>44</v>
      </c>
      <c r="P744">
        <v>3</v>
      </c>
      <c r="Q744">
        <v>2880.56</v>
      </c>
      <c r="R744">
        <v>0</v>
      </c>
      <c r="S744">
        <f>IF(ISNUMBER(SEARCH("%",R744)), VALUE(SUBSTITUTE(R744,"%",""))/100,IF(ISNUMBER(R744), R744, 0))</f>
        <v>0</v>
      </c>
      <c r="T744" t="str">
        <f>IF(S744&lt;0,"Negative discount (invalid)",IF(S744&gt;0.5,"Discount above allowed range (invalid)",IF(AND(R744="",S744=0),"Missing discount set to 0","OK")))</f>
        <v>OK</v>
      </c>
      <c r="U744">
        <v>8641.68</v>
      </c>
      <c r="V744">
        <v>5747.09</v>
      </c>
      <c r="W744">
        <v>2894.59</v>
      </c>
      <c r="X744" t="s">
        <v>32</v>
      </c>
      <c r="Y744" t="s">
        <v>103</v>
      </c>
      <c r="Z744">
        <f>IF(T744="OK",P744*Q744*(1-S744),"invalid")</f>
        <v>8641.68</v>
      </c>
      <c r="AA744">
        <f>IF(Z744="N/A","N/A",Z744-V744)</f>
        <v>2894.59</v>
      </c>
      <c r="AB744" s="8">
        <f>IF(Z744&lt;&gt;"N/A", AA744/Z744, "N/A")</f>
        <v>0.33495686024013849</v>
      </c>
      <c r="AC744">
        <f>MONTH(B744)</f>
        <v>7</v>
      </c>
      <c r="AD744">
        <f>YEAR(B744)</f>
        <v>2025</v>
      </c>
      <c r="AE744" s="10">
        <f t="shared" si="11"/>
        <v>0</v>
      </c>
      <c r="AF744" t="s">
        <v>2804</v>
      </c>
      <c r="AG744" t="s">
        <v>2811</v>
      </c>
    </row>
    <row r="745" spans="1:33">
      <c r="A745" t="s">
        <v>1731</v>
      </c>
      <c r="B745" s="4">
        <v>45686</v>
      </c>
      <c r="C745" s="4">
        <v>45693</v>
      </c>
      <c r="D745">
        <f>_xlfn.DAYS(C745,B745)</f>
        <v>7</v>
      </c>
      <c r="E745" t="s">
        <v>2804</v>
      </c>
      <c r="F745" t="s">
        <v>1732</v>
      </c>
      <c r="G745" t="s">
        <v>62</v>
      </c>
      <c r="H745" t="s">
        <v>24</v>
      </c>
      <c r="I745" t="s">
        <v>54</v>
      </c>
      <c r="J745" t="s">
        <v>185</v>
      </c>
      <c r="K745" t="s">
        <v>186</v>
      </c>
      <c r="L745" t="s">
        <v>28</v>
      </c>
      <c r="M745" t="s">
        <v>48</v>
      </c>
      <c r="N745" t="s">
        <v>1733</v>
      </c>
      <c r="O745" t="s">
        <v>44</v>
      </c>
      <c r="P745">
        <v>8</v>
      </c>
      <c r="Q745">
        <v>3643.62</v>
      </c>
      <c r="R745">
        <v>0.25</v>
      </c>
      <c r="S745">
        <f>IF(ISNUMBER(SEARCH("%",R745)), VALUE(SUBSTITUTE(R745,"%",""))/100,IF(ISNUMBER(R745), R745, 0))</f>
        <v>0.25</v>
      </c>
      <c r="T745" t="str">
        <f>IF(S745&lt;0,"Negative discount (invalid)",IF(S745&gt;0.5,"Discount above allowed range (invalid)",IF(AND(R745="",S745=0),"Missing discount set to 0","OK")))</f>
        <v>OK</v>
      </c>
      <c r="U745">
        <v>21861.72</v>
      </c>
      <c r="V745">
        <v>18464.34</v>
      </c>
      <c r="W745">
        <v>3397.38</v>
      </c>
      <c r="X745" t="s">
        <v>32</v>
      </c>
      <c r="Y745" t="s">
        <v>68</v>
      </c>
      <c r="Z745">
        <f>IF(T745="OK",P745*Q745*(1-S745),"invalid")</f>
        <v>21861.72</v>
      </c>
      <c r="AA745">
        <f>IF(Z745="N/A","N/A",Z745-V745)</f>
        <v>3397.380000000001</v>
      </c>
      <c r="AB745" s="8">
        <f>IF(Z745&lt;&gt;"N/A", AA745/Z745, "N/A")</f>
        <v>0.1554031430280875</v>
      </c>
      <c r="AC745">
        <f>MONTH(B745)</f>
        <v>1</v>
      </c>
      <c r="AD745">
        <f>YEAR(B745)</f>
        <v>2025</v>
      </c>
      <c r="AE745" s="10">
        <f t="shared" si="11"/>
        <v>0</v>
      </c>
      <c r="AF745" t="s">
        <v>2804</v>
      </c>
      <c r="AG745" t="s">
        <v>2811</v>
      </c>
    </row>
    <row r="746" spans="1:33">
      <c r="A746" t="s">
        <v>1737</v>
      </c>
      <c r="B746" s="4">
        <v>45883</v>
      </c>
      <c r="C746" s="4">
        <v>45891</v>
      </c>
      <c r="D746">
        <f>_xlfn.DAYS(C746,B746)</f>
        <v>8</v>
      </c>
      <c r="E746" t="s">
        <v>2804</v>
      </c>
      <c r="F746" t="s">
        <v>1738</v>
      </c>
      <c r="G746" t="s">
        <v>53</v>
      </c>
      <c r="H746" t="s">
        <v>90</v>
      </c>
      <c r="I746" t="s">
        <v>63</v>
      </c>
      <c r="J746" t="s">
        <v>180</v>
      </c>
      <c r="K746" t="s">
        <v>181</v>
      </c>
      <c r="L746" t="s">
        <v>28</v>
      </c>
      <c r="M746" t="s">
        <v>29</v>
      </c>
      <c r="N746" t="s">
        <v>1739</v>
      </c>
      <c r="O746" t="s">
        <v>50</v>
      </c>
      <c r="P746">
        <v>5</v>
      </c>
      <c r="Q746">
        <v>2567.37</v>
      </c>
      <c r="R746">
        <v>0.15</v>
      </c>
      <c r="S746">
        <f>IF(ISNUMBER(SEARCH("%",R746)), VALUE(SUBSTITUTE(R746,"%",""))/100,IF(ISNUMBER(R746), R746, 0))</f>
        <v>0.15</v>
      </c>
      <c r="T746" t="str">
        <f>IF(S746&lt;0,"Negative discount (invalid)",IF(S746&gt;0.5,"Discount above allowed range (invalid)",IF(AND(R746="",S746=0),"Missing discount set to 0","OK")))</f>
        <v>OK</v>
      </c>
      <c r="U746">
        <v>10911.32</v>
      </c>
      <c r="V746">
        <v>6966.44</v>
      </c>
      <c r="W746">
        <v>4395.17</v>
      </c>
      <c r="X746" t="s">
        <v>32</v>
      </c>
      <c r="Y746" t="s">
        <v>33</v>
      </c>
      <c r="Z746">
        <f>IF(T746="OK",P746*Q746*(1-S746),"invalid")</f>
        <v>10911.322499999998</v>
      </c>
      <c r="AA746">
        <f>IF(Z746="N/A","N/A",Z746-V746)</f>
        <v>3944.8824999999988</v>
      </c>
      <c r="AB746" s="8">
        <f>IF(Z746&lt;&gt;"N/A", AA746/Z746, "N/A")</f>
        <v>0.36154027158486052</v>
      </c>
      <c r="AC746">
        <f>MONTH(B746)</f>
        <v>8</v>
      </c>
      <c r="AD746">
        <f>YEAR(B746)</f>
        <v>2025</v>
      </c>
      <c r="AE746" s="10">
        <f t="shared" si="11"/>
        <v>2.4999999986903276E-3</v>
      </c>
      <c r="AF746" t="s">
        <v>2804</v>
      </c>
      <c r="AG746" t="s">
        <v>2811</v>
      </c>
    </row>
    <row r="747" spans="1:33">
      <c r="A747" t="s">
        <v>1746</v>
      </c>
      <c r="B747" s="4">
        <v>45941</v>
      </c>
      <c r="C747" s="4">
        <v>45943</v>
      </c>
      <c r="D747">
        <f>_xlfn.DAYS(C747,B747)</f>
        <v>2</v>
      </c>
      <c r="E747" t="s">
        <v>2804</v>
      </c>
      <c r="F747" t="s">
        <v>1747</v>
      </c>
      <c r="G747" t="s">
        <v>36</v>
      </c>
      <c r="H747" t="s">
        <v>90</v>
      </c>
      <c r="I747" t="s">
        <v>54</v>
      </c>
      <c r="J747" t="s">
        <v>55</v>
      </c>
      <c r="K747" t="s">
        <v>56</v>
      </c>
      <c r="L747" t="s">
        <v>28</v>
      </c>
      <c r="M747" t="s">
        <v>48</v>
      </c>
      <c r="N747" t="s">
        <v>1748</v>
      </c>
      <c r="O747" t="s">
        <v>31</v>
      </c>
      <c r="P747">
        <v>3</v>
      </c>
      <c r="Q747">
        <v>3804.27</v>
      </c>
      <c r="R747">
        <v>0.1</v>
      </c>
      <c r="S747">
        <f>IF(ISNUMBER(SEARCH("%",R747)), VALUE(SUBSTITUTE(R747,"%",""))/100,IF(ISNUMBER(R747), R747, 0))</f>
        <v>0.1</v>
      </c>
      <c r="T747" t="str">
        <f>IF(S747&lt;0,"Negative discount (invalid)",IF(S747&gt;0.5,"Discount above allowed range (invalid)",IF(AND(R747="",S747=0),"Missing discount set to 0","OK")))</f>
        <v>OK</v>
      </c>
      <c r="U747">
        <v>10271.530000000001</v>
      </c>
      <c r="V747">
        <v>8272.24</v>
      </c>
      <c r="W747">
        <v>1999.29</v>
      </c>
      <c r="X747" t="s">
        <v>32</v>
      </c>
      <c r="Y747" t="s">
        <v>33</v>
      </c>
      <c r="Z747">
        <f>IF(T747="OK",P747*Q747*(1-S747),"invalid")</f>
        <v>10271.529</v>
      </c>
      <c r="AA747">
        <f>IF(Z747="N/A","N/A",Z747-V747)</f>
        <v>1999.2890000000007</v>
      </c>
      <c r="AB747" s="8">
        <f>IF(Z747&lt;&gt;"N/A", AA747/Z747, "N/A")</f>
        <v>0.19464375751652949</v>
      </c>
      <c r="AC747">
        <f>MONTH(B747)</f>
        <v>10</v>
      </c>
      <c r="AD747">
        <f>YEAR(B747)</f>
        <v>2025</v>
      </c>
      <c r="AE747" s="10">
        <f t="shared" si="11"/>
        <v>1.0000000002037268E-3</v>
      </c>
      <c r="AF747" t="s">
        <v>2804</v>
      </c>
      <c r="AG747" t="s">
        <v>2811</v>
      </c>
    </row>
    <row r="748" spans="1:33">
      <c r="A748" t="s">
        <v>1755</v>
      </c>
      <c r="B748" s="4">
        <v>45681</v>
      </c>
      <c r="C748" s="4">
        <v>45687</v>
      </c>
      <c r="D748">
        <f>_xlfn.DAYS(C748,B748)</f>
        <v>6</v>
      </c>
      <c r="E748" t="s">
        <v>2804</v>
      </c>
      <c r="F748" t="s">
        <v>1756</v>
      </c>
      <c r="G748" t="s">
        <v>62</v>
      </c>
      <c r="H748" t="s">
        <v>90</v>
      </c>
      <c r="I748" t="s">
        <v>38</v>
      </c>
      <c r="J748" t="s">
        <v>99</v>
      </c>
      <c r="K748" t="s">
        <v>100</v>
      </c>
      <c r="L748" t="s">
        <v>74</v>
      </c>
      <c r="M748" t="s">
        <v>80</v>
      </c>
      <c r="N748" t="s">
        <v>1757</v>
      </c>
      <c r="O748" t="s">
        <v>59</v>
      </c>
      <c r="P748">
        <v>8</v>
      </c>
      <c r="Q748">
        <v>312.52999999999997</v>
      </c>
      <c r="R748" t="s">
        <v>463</v>
      </c>
      <c r="S748">
        <f>IF(ISNUMBER(SEARCH("%",R748)), VALUE(SUBSTITUTE(R748,"%",""))/100,IF(ISNUMBER(R748), R748, 0))</f>
        <v>0.7</v>
      </c>
      <c r="T748" t="str">
        <f>IF(S748&lt;0,"Negative discount (invalid)",IF(S748&gt;0.5,"Discount above allowed range (invalid)",IF(AND(R748="",S748=0),"Missing discount set to 0","OK")))</f>
        <v>Discount above allowed range (invalid)</v>
      </c>
      <c r="U748">
        <v>1875.18</v>
      </c>
      <c r="V748">
        <v>1579.17</v>
      </c>
      <c r="W748">
        <v>296.01</v>
      </c>
      <c r="X748" t="s">
        <v>32</v>
      </c>
      <c r="Y748" t="s">
        <v>33</v>
      </c>
      <c r="Z748" t="s">
        <v>2793</v>
      </c>
      <c r="AA748" t="str">
        <f>IF(Z748="N/A","N/A",Z748-V748)</f>
        <v>N/A</v>
      </c>
      <c r="AB748" s="8" t="str">
        <f>IF(Z748&lt;&gt;"N/A", AA748/Z748, "N/A")</f>
        <v>N/A</v>
      </c>
      <c r="AC748">
        <f>MONTH(B748)</f>
        <v>1</v>
      </c>
      <c r="AD748">
        <f>YEAR(B748)</f>
        <v>2025</v>
      </c>
      <c r="AE748" s="10" t="str">
        <f t="shared" si="11"/>
        <v>N/A</v>
      </c>
      <c r="AF748" t="s">
        <v>2802</v>
      </c>
      <c r="AG748" t="s">
        <v>2789</v>
      </c>
    </row>
    <row r="749" spans="1:33">
      <c r="A749" t="s">
        <v>1758</v>
      </c>
      <c r="B749" s="4">
        <v>45772</v>
      </c>
      <c r="C749" s="4">
        <v>45775</v>
      </c>
      <c r="D749">
        <f>_xlfn.DAYS(C749,B749)</f>
        <v>3</v>
      </c>
      <c r="E749" t="s">
        <v>2804</v>
      </c>
      <c r="F749" t="s">
        <v>1759</v>
      </c>
      <c r="G749" t="s">
        <v>128</v>
      </c>
      <c r="H749" t="s">
        <v>37</v>
      </c>
      <c r="I749" t="s">
        <v>63</v>
      </c>
      <c r="J749" t="s">
        <v>180</v>
      </c>
      <c r="K749" t="s">
        <v>181</v>
      </c>
      <c r="L749" t="s">
        <v>28</v>
      </c>
      <c r="M749" t="s">
        <v>124</v>
      </c>
      <c r="N749" t="s">
        <v>1760</v>
      </c>
      <c r="O749" t="s">
        <v>50</v>
      </c>
      <c r="P749">
        <v>9</v>
      </c>
      <c r="Q749">
        <v>1294.1099999999999</v>
      </c>
      <c r="R749">
        <v>0.25</v>
      </c>
      <c r="S749">
        <f>IF(ISNUMBER(SEARCH("%",R749)), VALUE(SUBSTITUTE(R749,"%",""))/100,IF(ISNUMBER(R749), R749, 0))</f>
        <v>0.25</v>
      </c>
      <c r="T749" t="str">
        <f>IF(S749&lt;0,"Negative discount (invalid)",IF(S749&gt;0.5,"Discount above allowed range (invalid)",IF(AND(R749="",S749=0),"Missing discount set to 0","OK")))</f>
        <v>OK</v>
      </c>
      <c r="U749">
        <v>8735.24</v>
      </c>
      <c r="V749">
        <v>6620.07</v>
      </c>
      <c r="W749">
        <v>2115.17</v>
      </c>
      <c r="X749" t="s">
        <v>32</v>
      </c>
      <c r="Y749" t="s">
        <v>33</v>
      </c>
      <c r="Z749">
        <f>IF(T749="OK",P749*Q749*(1-S749),"invalid")</f>
        <v>8735.2425000000003</v>
      </c>
      <c r="AA749">
        <f>IF(Z749="N/A","N/A",Z749-V749)</f>
        <v>2115.1725000000006</v>
      </c>
      <c r="AB749" s="8">
        <f>IF(Z749&lt;&gt;"N/A", AA749/Z749, "N/A")</f>
        <v>0.24214239043735769</v>
      </c>
      <c r="AC749">
        <f>MONTH(B749)</f>
        <v>4</v>
      </c>
      <c r="AD749">
        <f>YEAR(B749)</f>
        <v>2025</v>
      </c>
      <c r="AE749" s="10">
        <f t="shared" si="11"/>
        <v>2.500000000509317E-3</v>
      </c>
      <c r="AF749" t="s">
        <v>2804</v>
      </c>
      <c r="AG749" t="s">
        <v>2811</v>
      </c>
    </row>
    <row r="750" spans="1:33">
      <c r="A750" t="s">
        <v>1764</v>
      </c>
      <c r="B750" s="4">
        <v>45692</v>
      </c>
      <c r="C750" s="4">
        <v>45698</v>
      </c>
      <c r="D750">
        <f>_xlfn.DAYS(C750,B750)</f>
        <v>6</v>
      </c>
      <c r="E750" t="s">
        <v>2804</v>
      </c>
      <c r="F750" t="s">
        <v>1765</v>
      </c>
      <c r="G750" t="s">
        <v>62</v>
      </c>
      <c r="H750" t="s">
        <v>37</v>
      </c>
      <c r="I750" t="s">
        <v>54</v>
      </c>
      <c r="J750" t="s">
        <v>55</v>
      </c>
      <c r="K750" t="s">
        <v>56</v>
      </c>
      <c r="L750" t="s">
        <v>28</v>
      </c>
      <c r="M750" t="s">
        <v>124</v>
      </c>
      <c r="N750" t="s">
        <v>1766</v>
      </c>
      <c r="O750" t="s">
        <v>59</v>
      </c>
      <c r="P750">
        <v>6</v>
      </c>
      <c r="Q750">
        <v>1042.8</v>
      </c>
      <c r="R750">
        <v>0.05</v>
      </c>
      <c r="S750">
        <f>IF(ISNUMBER(SEARCH("%",R750)), VALUE(SUBSTITUTE(R750,"%",""))/100,IF(ISNUMBER(R750), R750, 0))</f>
        <v>0.05</v>
      </c>
      <c r="T750" t="str">
        <f>IF(S750&lt;0,"Negative discount (invalid)",IF(S750&gt;0.5,"Discount above allowed range (invalid)",IF(AND(R750="",S750=0),"Missing discount set to 0","OK")))</f>
        <v>OK</v>
      </c>
      <c r="U750">
        <v>5943.96</v>
      </c>
      <c r="V750">
        <v>3604.14</v>
      </c>
      <c r="W750">
        <v>2339.8200000000002</v>
      </c>
      <c r="X750" t="s">
        <v>32</v>
      </c>
      <c r="Y750" t="s">
        <v>33</v>
      </c>
      <c r="Z750">
        <f>IF(T750="OK",P750*Q750*(1-S750),"invalid")</f>
        <v>5943.9599999999991</v>
      </c>
      <c r="AA750">
        <f>IF(Z750="N/A","N/A",Z750-V750)</f>
        <v>2339.8199999999993</v>
      </c>
      <c r="AB750" s="8">
        <f>IF(Z750&lt;&gt;"N/A", AA750/Z750, "N/A")</f>
        <v>0.39364665980255581</v>
      </c>
      <c r="AC750">
        <f>MONTH(B750)</f>
        <v>2</v>
      </c>
      <c r="AD750">
        <f>YEAR(B750)</f>
        <v>2025</v>
      </c>
      <c r="AE750" s="10">
        <f t="shared" si="11"/>
        <v>9.0949470177292824E-13</v>
      </c>
      <c r="AF750" t="s">
        <v>2804</v>
      </c>
      <c r="AG750" t="s">
        <v>2811</v>
      </c>
    </row>
    <row r="751" spans="1:33">
      <c r="A751" t="s">
        <v>1773</v>
      </c>
      <c r="B751" s="4">
        <v>45904</v>
      </c>
      <c r="C751" s="4">
        <v>45904</v>
      </c>
      <c r="D751">
        <f>_xlfn.DAYS(C751,B751)</f>
        <v>0</v>
      </c>
      <c r="E751" t="s">
        <v>2804</v>
      </c>
      <c r="F751" t="s">
        <v>1774</v>
      </c>
      <c r="G751" t="s">
        <v>89</v>
      </c>
      <c r="H751" t="s">
        <v>90</v>
      </c>
      <c r="I751" t="s">
        <v>25</v>
      </c>
      <c r="J751" t="s">
        <v>122</v>
      </c>
      <c r="K751" t="s">
        <v>123</v>
      </c>
      <c r="L751" t="s">
        <v>74</v>
      </c>
      <c r="M751" t="s">
        <v>274</v>
      </c>
      <c r="N751" t="s">
        <v>1775</v>
      </c>
      <c r="O751" t="s">
        <v>50</v>
      </c>
      <c r="P751">
        <v>8</v>
      </c>
      <c r="Q751">
        <v>3079.95</v>
      </c>
      <c r="R751">
        <v>0.2</v>
      </c>
      <c r="S751">
        <f>IF(ISNUMBER(SEARCH("%",R751)), VALUE(SUBSTITUTE(R751,"%",""))/100,IF(ISNUMBER(R751), R751, 0))</f>
        <v>0.2</v>
      </c>
      <c r="T751" t="str">
        <f>IF(S751&lt;0,"Negative discount (invalid)",IF(S751&gt;0.5,"Discount above allowed range (invalid)",IF(AND(R751="",S751=0),"Missing discount set to 0","OK")))</f>
        <v>OK</v>
      </c>
      <c r="U751">
        <v>19711.68</v>
      </c>
      <c r="V751">
        <v>14461.8</v>
      </c>
      <c r="W751">
        <v>5249.88</v>
      </c>
      <c r="X751" t="s">
        <v>32</v>
      </c>
      <c r="Y751" t="s">
        <v>33</v>
      </c>
      <c r="Z751">
        <f>IF(T751="OK",P751*Q751*(1-S751),"invalid")</f>
        <v>19711.68</v>
      </c>
      <c r="AA751">
        <f>IF(Z751="N/A","N/A",Z751-V751)</f>
        <v>5249.880000000001</v>
      </c>
      <c r="AB751" s="8">
        <f>IF(Z751&lt;&gt;"N/A", AA751/Z751, "N/A")</f>
        <v>0.26633346320557155</v>
      </c>
      <c r="AC751">
        <f>MONTH(B751)</f>
        <v>9</v>
      </c>
      <c r="AD751">
        <f>YEAR(B751)</f>
        <v>2025</v>
      </c>
      <c r="AE751" s="10">
        <f t="shared" si="11"/>
        <v>0</v>
      </c>
      <c r="AF751" t="s">
        <v>2804</v>
      </c>
      <c r="AG751" t="s">
        <v>2811</v>
      </c>
    </row>
    <row r="752" spans="1:33">
      <c r="A752" t="s">
        <v>1776</v>
      </c>
      <c r="B752" s="4">
        <v>45930</v>
      </c>
      <c r="C752" s="4">
        <v>45937</v>
      </c>
      <c r="D752">
        <f>_xlfn.DAYS(C752,B752)</f>
        <v>7</v>
      </c>
      <c r="E752" t="s">
        <v>2804</v>
      </c>
      <c r="F752" t="s">
        <v>1777</v>
      </c>
      <c r="G752" t="s">
        <v>162</v>
      </c>
      <c r="H752" t="s">
        <v>90</v>
      </c>
      <c r="I752" t="s">
        <v>38</v>
      </c>
      <c r="J752" t="s">
        <v>145</v>
      </c>
      <c r="K752" t="s">
        <v>146</v>
      </c>
      <c r="L752" t="s">
        <v>74</v>
      </c>
      <c r="M752" t="s">
        <v>80</v>
      </c>
      <c r="N752" t="s">
        <v>1778</v>
      </c>
      <c r="O752" t="s">
        <v>31</v>
      </c>
      <c r="P752">
        <v>5</v>
      </c>
      <c r="Q752">
        <v>3277.82</v>
      </c>
      <c r="R752">
        <v>0.1</v>
      </c>
      <c r="S752">
        <f>IF(ISNUMBER(SEARCH("%",R752)), VALUE(SUBSTITUTE(R752,"%",""))/100,IF(ISNUMBER(R752), R752, 0))</f>
        <v>0.1</v>
      </c>
      <c r="T752" t="str">
        <f>IF(S752&lt;0,"Negative discount (invalid)",IF(S752&gt;0.5,"Discount above allowed range (invalid)",IF(AND(R752="",S752=0),"Missing discount set to 0","OK")))</f>
        <v>OK</v>
      </c>
      <c r="U752">
        <v>14750.19</v>
      </c>
      <c r="V752">
        <v>9482.58</v>
      </c>
      <c r="W752">
        <v>5267.61</v>
      </c>
      <c r="X752" t="s">
        <v>32</v>
      </c>
      <c r="Y752" t="s">
        <v>103</v>
      </c>
      <c r="Z752">
        <f>IF(T752="OK",P752*Q752*(1-S752),"invalid")</f>
        <v>14750.190000000002</v>
      </c>
      <c r="AA752">
        <f>IF(Z752="N/A","N/A",Z752-V752)</f>
        <v>5267.6100000000024</v>
      </c>
      <c r="AB752" s="8">
        <f>IF(Z752&lt;&gt;"N/A", AA752/Z752, "N/A")</f>
        <v>0.35712150148574368</v>
      </c>
      <c r="AC752">
        <f>MONTH(B752)</f>
        <v>9</v>
      </c>
      <c r="AD752">
        <f>YEAR(B752)</f>
        <v>2025</v>
      </c>
      <c r="AE752" s="10">
        <f t="shared" si="11"/>
        <v>1.8189894035458565E-12</v>
      </c>
      <c r="AF752" t="s">
        <v>2804</v>
      </c>
      <c r="AG752" t="s">
        <v>2811</v>
      </c>
    </row>
    <row r="753" spans="1:33">
      <c r="A753" t="s">
        <v>1782</v>
      </c>
      <c r="B753" s="4">
        <v>45852</v>
      </c>
      <c r="C753" s="4">
        <v>45856</v>
      </c>
      <c r="D753">
        <f>_xlfn.DAYS(C753,B753)</f>
        <v>4</v>
      </c>
      <c r="E753" t="s">
        <v>2804</v>
      </c>
      <c r="F753" t="s">
        <v>1783</v>
      </c>
      <c r="G753" t="s">
        <v>89</v>
      </c>
      <c r="H753" t="s">
        <v>24</v>
      </c>
      <c r="I753" t="s">
        <v>25</v>
      </c>
      <c r="J753" t="s">
        <v>122</v>
      </c>
      <c r="K753" t="s">
        <v>123</v>
      </c>
      <c r="L753" t="s">
        <v>74</v>
      </c>
      <c r="M753" t="s">
        <v>80</v>
      </c>
      <c r="N753" t="s">
        <v>1784</v>
      </c>
      <c r="O753" t="s">
        <v>50</v>
      </c>
      <c r="P753">
        <v>4</v>
      </c>
      <c r="Q753">
        <v>725.22</v>
      </c>
      <c r="R753">
        <v>0</v>
      </c>
      <c r="S753">
        <f>IF(ISNUMBER(SEARCH("%",R753)), VALUE(SUBSTITUTE(R753,"%",""))/100,IF(ISNUMBER(R753), R753, 0))</f>
        <v>0</v>
      </c>
      <c r="T753" t="str">
        <f>IF(S753&lt;0,"Negative discount (invalid)",IF(S753&gt;0.5,"Discount above allowed range (invalid)",IF(AND(R753="",S753=0),"Missing discount set to 0","OK")))</f>
        <v>OK</v>
      </c>
      <c r="U753">
        <v>2900.88</v>
      </c>
      <c r="V753">
        <v>2391.85</v>
      </c>
      <c r="W753">
        <v>509.03</v>
      </c>
      <c r="X753" t="s">
        <v>111</v>
      </c>
      <c r="Y753" t="s">
        <v>103</v>
      </c>
      <c r="Z753">
        <f>IF(T753="OK",P753*Q753*(1-S753),"invalid")</f>
        <v>2900.88</v>
      </c>
      <c r="AA753">
        <f>IF(Z753="N/A","N/A",Z753-V753)</f>
        <v>509.0300000000002</v>
      </c>
      <c r="AB753" s="8">
        <f>IF(Z753&lt;&gt;"N/A", AA753/Z753, "N/A")</f>
        <v>0.17547433882132324</v>
      </c>
      <c r="AC753">
        <f>MONTH(B753)</f>
        <v>7</v>
      </c>
      <c r="AD753">
        <f>YEAR(B753)</f>
        <v>2025</v>
      </c>
      <c r="AE753" s="10">
        <f t="shared" si="11"/>
        <v>0</v>
      </c>
      <c r="AF753" t="s">
        <v>2804</v>
      </c>
      <c r="AG753" t="s">
        <v>2811</v>
      </c>
    </row>
    <row r="754" spans="1:33">
      <c r="A754" t="s">
        <v>1794</v>
      </c>
      <c r="B754" s="4">
        <v>45876</v>
      </c>
      <c r="C754" s="4">
        <v>45882</v>
      </c>
      <c r="D754">
        <f>_xlfn.DAYS(C754,B754)</f>
        <v>6</v>
      </c>
      <c r="E754" t="s">
        <v>2804</v>
      </c>
      <c r="F754" t="s">
        <v>1795</v>
      </c>
      <c r="G754" t="s">
        <v>36</v>
      </c>
      <c r="H754" t="s">
        <v>90</v>
      </c>
      <c r="I754" t="s">
        <v>25</v>
      </c>
      <c r="J754" t="s">
        <v>350</v>
      </c>
      <c r="K754" t="s">
        <v>351</v>
      </c>
      <c r="L754" t="s">
        <v>74</v>
      </c>
      <c r="M754" t="s">
        <v>171</v>
      </c>
      <c r="N754" t="s">
        <v>1796</v>
      </c>
      <c r="O754" t="s">
        <v>59</v>
      </c>
      <c r="P754">
        <v>6</v>
      </c>
      <c r="Q754">
        <v>1921.86</v>
      </c>
      <c r="R754">
        <v>0.2</v>
      </c>
      <c r="S754">
        <f>IF(ISNUMBER(SEARCH("%",R754)), VALUE(SUBSTITUTE(R754,"%",""))/100,IF(ISNUMBER(R754), R754, 0))</f>
        <v>0.2</v>
      </c>
      <c r="T754" t="str">
        <f>IF(S754&lt;0,"Negative discount (invalid)",IF(S754&gt;0.5,"Discount above allowed range (invalid)",IF(AND(R754="",S754=0),"Missing discount set to 0","OK")))</f>
        <v>OK</v>
      </c>
      <c r="U754">
        <v>9224.93</v>
      </c>
      <c r="V754">
        <v>7005.2</v>
      </c>
      <c r="W754">
        <v>2219.73</v>
      </c>
      <c r="X754" t="s">
        <v>102</v>
      </c>
      <c r="Y754" t="s">
        <v>68</v>
      </c>
      <c r="Z754">
        <f>IF(T754="OK",P754*Q754*(1-S754),"invalid")</f>
        <v>9224.9279999999999</v>
      </c>
      <c r="AA754">
        <f>IF(Z754="N/A","N/A",Z754-V754)</f>
        <v>2219.7280000000001</v>
      </c>
      <c r="AB754" s="8">
        <f>IF(Z754&lt;&gt;"N/A", AA754/Z754, "N/A")</f>
        <v>0.24062279944081949</v>
      </c>
      <c r="AC754">
        <f>MONTH(B754)</f>
        <v>8</v>
      </c>
      <c r="AD754">
        <f>YEAR(B754)</f>
        <v>2025</v>
      </c>
      <c r="AE754" s="10">
        <f t="shared" si="11"/>
        <v>2.0000000004074536E-3</v>
      </c>
      <c r="AF754" t="s">
        <v>2804</v>
      </c>
      <c r="AG754" t="s">
        <v>2811</v>
      </c>
    </row>
    <row r="755" spans="1:33">
      <c r="A755" t="s">
        <v>1805</v>
      </c>
      <c r="B755" s="4">
        <v>45908</v>
      </c>
      <c r="C755" s="4">
        <v>45910</v>
      </c>
      <c r="D755">
        <f>_xlfn.DAYS(C755,B755)</f>
        <v>2</v>
      </c>
      <c r="E755" t="s">
        <v>2804</v>
      </c>
      <c r="F755" t="s">
        <v>1806</v>
      </c>
      <c r="G755" t="s">
        <v>118</v>
      </c>
      <c r="H755" t="s">
        <v>95</v>
      </c>
      <c r="I755" t="s">
        <v>63</v>
      </c>
      <c r="J755" t="s">
        <v>64</v>
      </c>
      <c r="K755" t="s">
        <v>65</v>
      </c>
      <c r="L755" t="s">
        <v>41</v>
      </c>
      <c r="M755" t="s">
        <v>57</v>
      </c>
      <c r="N755" t="s">
        <v>1807</v>
      </c>
      <c r="O755" t="s">
        <v>59</v>
      </c>
      <c r="P755">
        <v>6</v>
      </c>
      <c r="Q755">
        <v>3251.17</v>
      </c>
      <c r="R755">
        <v>0.25</v>
      </c>
      <c r="S755">
        <f>IF(ISNUMBER(SEARCH("%",R755)), VALUE(SUBSTITUTE(R755,"%",""))/100,IF(ISNUMBER(R755), R755, 0))</f>
        <v>0.25</v>
      </c>
      <c r="T755" t="str">
        <f>IF(S755&lt;0,"Negative discount (invalid)",IF(S755&gt;0.5,"Discount above allowed range (invalid)",IF(AND(R755="",S755=0),"Missing discount set to 0","OK")))</f>
        <v>OK</v>
      </c>
      <c r="U755">
        <v>14630.26</v>
      </c>
      <c r="V755">
        <v>11906.36</v>
      </c>
      <c r="W755">
        <v>2723.9</v>
      </c>
      <c r="X755" t="s">
        <v>102</v>
      </c>
      <c r="Y755" t="s">
        <v>103</v>
      </c>
      <c r="Z755">
        <f>IF(T755="OK",P755*Q755*(1-S755),"invalid")</f>
        <v>14630.264999999999</v>
      </c>
      <c r="AA755">
        <f>IF(Z755="N/A","N/A",Z755-V755)</f>
        <v>2723.9049999999988</v>
      </c>
      <c r="AB755" s="8">
        <f>IF(Z755&lt;&gt;"N/A", AA755/Z755, "N/A")</f>
        <v>0.18618288868998606</v>
      </c>
      <c r="AC755">
        <f>MONTH(B755)</f>
        <v>9</v>
      </c>
      <c r="AD755">
        <f>YEAR(B755)</f>
        <v>2025</v>
      </c>
      <c r="AE755" s="10">
        <f t="shared" si="11"/>
        <v>4.9999999991996447E-3</v>
      </c>
      <c r="AF755" t="s">
        <v>2804</v>
      </c>
      <c r="AG755" t="s">
        <v>2811</v>
      </c>
    </row>
    <row r="756" spans="1:33">
      <c r="A756" t="s">
        <v>1808</v>
      </c>
      <c r="B756" s="4">
        <v>45887</v>
      </c>
      <c r="C756" s="4">
        <v>45891</v>
      </c>
      <c r="D756">
        <f>_xlfn.DAYS(C756,B756)</f>
        <v>4</v>
      </c>
      <c r="E756" t="s">
        <v>2804</v>
      </c>
      <c r="F756" t="s">
        <v>1809</v>
      </c>
      <c r="G756" t="s">
        <v>53</v>
      </c>
      <c r="H756" t="s">
        <v>24</v>
      </c>
      <c r="I756" t="s">
        <v>38</v>
      </c>
      <c r="J756" t="s">
        <v>228</v>
      </c>
      <c r="K756" t="s">
        <v>229</v>
      </c>
      <c r="L756" t="s">
        <v>41</v>
      </c>
      <c r="M756" t="s">
        <v>57</v>
      </c>
      <c r="N756" t="s">
        <v>1810</v>
      </c>
      <c r="O756" t="s">
        <v>31</v>
      </c>
      <c r="P756">
        <v>3</v>
      </c>
      <c r="Q756">
        <v>3946.44</v>
      </c>
      <c r="R756">
        <v>0.25</v>
      </c>
      <c r="S756">
        <f>IF(ISNUMBER(SEARCH("%",R756)), VALUE(SUBSTITUTE(R756,"%",""))/100,IF(ISNUMBER(R756), R756, 0))</f>
        <v>0.25</v>
      </c>
      <c r="T756" t="str">
        <f>IF(S756&lt;0,"Negative discount (invalid)",IF(S756&gt;0.5,"Discount above allowed range (invalid)",IF(AND(R756="",S756=0),"Missing discount set to 0","OK")))</f>
        <v>OK</v>
      </c>
      <c r="U756">
        <v>8879.49</v>
      </c>
      <c r="V756">
        <v>6344.57</v>
      </c>
      <c r="W756">
        <v>2534.92</v>
      </c>
      <c r="X756" t="s">
        <v>155</v>
      </c>
      <c r="Y756" t="s">
        <v>103</v>
      </c>
      <c r="Z756">
        <f>IF(T756="OK",P756*Q756*(1-S756),"invalid")</f>
        <v>8879.49</v>
      </c>
      <c r="AA756">
        <f>IF(Z756="N/A","N/A",Z756-V756)</f>
        <v>2534.92</v>
      </c>
      <c r="AB756" s="8">
        <f>IF(Z756&lt;&gt;"N/A", AA756/Z756, "N/A")</f>
        <v>0.28548035979543873</v>
      </c>
      <c r="AC756">
        <f>MONTH(B756)</f>
        <v>8</v>
      </c>
      <c r="AD756">
        <f>YEAR(B756)</f>
        <v>2025</v>
      </c>
      <c r="AE756" s="10">
        <f t="shared" si="11"/>
        <v>0</v>
      </c>
      <c r="AF756" t="s">
        <v>2804</v>
      </c>
      <c r="AG756" t="s">
        <v>2811</v>
      </c>
    </row>
    <row r="757" spans="1:33">
      <c r="A757" t="s">
        <v>1811</v>
      </c>
      <c r="B757" s="4">
        <v>45698</v>
      </c>
      <c r="C757" s="4">
        <v>45702</v>
      </c>
      <c r="D757">
        <f>_xlfn.DAYS(C757,B757)</f>
        <v>4</v>
      </c>
      <c r="E757" t="s">
        <v>2804</v>
      </c>
      <c r="F757" t="s">
        <v>1812</v>
      </c>
      <c r="G757" t="s">
        <v>114</v>
      </c>
      <c r="H757" t="s">
        <v>37</v>
      </c>
      <c r="I757" t="s">
        <v>25</v>
      </c>
      <c r="J757" t="s">
        <v>136</v>
      </c>
      <c r="K757" t="s">
        <v>137</v>
      </c>
      <c r="L757" t="s">
        <v>74</v>
      </c>
      <c r="M757" t="s">
        <v>171</v>
      </c>
      <c r="N757" t="s">
        <v>1813</v>
      </c>
      <c r="O757" t="s">
        <v>2785</v>
      </c>
      <c r="P757">
        <v>5</v>
      </c>
      <c r="Q757">
        <v>4276.29</v>
      </c>
      <c r="R757">
        <v>0</v>
      </c>
      <c r="S757">
        <f>IF(ISNUMBER(SEARCH("%",R757)), VALUE(SUBSTITUTE(R757,"%",""))/100,IF(ISNUMBER(R757), R757, 0))</f>
        <v>0</v>
      </c>
      <c r="T757" t="str">
        <f>IF(S757&lt;0,"Negative discount (invalid)",IF(S757&gt;0.5,"Discount above allowed range (invalid)",IF(AND(R757="",S757=0),"Missing discount set to 0","OK")))</f>
        <v>OK</v>
      </c>
      <c r="U757">
        <v>21443.63</v>
      </c>
      <c r="V757">
        <v>13240.21</v>
      </c>
      <c r="W757">
        <v>8141.24</v>
      </c>
      <c r="X757" t="s">
        <v>155</v>
      </c>
      <c r="Y757" t="s">
        <v>33</v>
      </c>
      <c r="Z757">
        <f>IF(T757="OK",P757*Q757*(1-S757),"invalid")</f>
        <v>21381.45</v>
      </c>
      <c r="AA757">
        <f>IF(Z757="N/A","N/A",Z757-V757)</f>
        <v>8141.2400000000016</v>
      </c>
      <c r="AB757" s="8">
        <f>IF(Z757&lt;&gt;"N/A", AA757/Z757, "N/A")</f>
        <v>0.38076182859441249</v>
      </c>
      <c r="AC757">
        <f>MONTH(B757)</f>
        <v>2</v>
      </c>
      <c r="AD757">
        <f>YEAR(B757)</f>
        <v>2025</v>
      </c>
      <c r="AE757" s="10">
        <f t="shared" si="11"/>
        <v>62.180000000000291</v>
      </c>
      <c r="AF757" t="s">
        <v>2809</v>
      </c>
      <c r="AG757" t="s">
        <v>2789</v>
      </c>
    </row>
    <row r="758" spans="1:33">
      <c r="A758" t="s">
        <v>1811</v>
      </c>
      <c r="B758" s="4">
        <v>45698</v>
      </c>
      <c r="C758" s="4">
        <v>45702</v>
      </c>
      <c r="D758">
        <f>_xlfn.DAYS(C758,B758)</f>
        <v>4</v>
      </c>
      <c r="E758" t="s">
        <v>2804</v>
      </c>
      <c r="F758" t="s">
        <v>1812</v>
      </c>
      <c r="G758" t="s">
        <v>114</v>
      </c>
      <c r="H758" t="s">
        <v>37</v>
      </c>
      <c r="I758" t="s">
        <v>25</v>
      </c>
      <c r="J758" t="s">
        <v>136</v>
      </c>
      <c r="K758" t="s">
        <v>137</v>
      </c>
      <c r="L758" t="s">
        <v>74</v>
      </c>
      <c r="M758" t="s">
        <v>171</v>
      </c>
      <c r="N758" t="s">
        <v>1813</v>
      </c>
      <c r="O758" t="s">
        <v>2785</v>
      </c>
      <c r="P758">
        <v>5</v>
      </c>
      <c r="Q758">
        <v>4276.29</v>
      </c>
      <c r="R758">
        <v>0</v>
      </c>
      <c r="S758">
        <f>IF(ISNUMBER(SEARCH("%",R758)), VALUE(SUBSTITUTE(R758,"%",""))/100,IF(ISNUMBER(R758), R758, 0))</f>
        <v>0</v>
      </c>
      <c r="T758" t="str">
        <f>IF(S758&lt;0,"Negative discount (invalid)",IF(S758&gt;0.5,"Discount above allowed range (invalid)",IF(AND(R758="",S758=0),"Missing discount set to 0","OK")))</f>
        <v>OK</v>
      </c>
      <c r="U758">
        <v>21381.45</v>
      </c>
      <c r="V758">
        <v>13240.21</v>
      </c>
      <c r="W758">
        <v>8141.24</v>
      </c>
      <c r="X758" t="s">
        <v>155</v>
      </c>
      <c r="Y758" t="s">
        <v>103</v>
      </c>
      <c r="Z758">
        <f>IF(T758="OK",P758*Q758*(1-S758),"invalid")</f>
        <v>21381.45</v>
      </c>
      <c r="AA758">
        <f>IF(Z758="N/A","N/A",Z758-V758)</f>
        <v>8141.2400000000016</v>
      </c>
      <c r="AB758" s="8">
        <f>IF(Z758&lt;&gt;"N/A", AA758/Z758, "N/A")</f>
        <v>0.38076182859441249</v>
      </c>
      <c r="AC758">
        <f>MONTH(B758)</f>
        <v>2</v>
      </c>
      <c r="AD758">
        <f>YEAR(B758)</f>
        <v>2025</v>
      </c>
      <c r="AE758" s="10">
        <f t="shared" si="11"/>
        <v>0</v>
      </c>
      <c r="AF758" t="s">
        <v>2800</v>
      </c>
      <c r="AG758" t="s">
        <v>2798</v>
      </c>
    </row>
    <row r="759" spans="1:33">
      <c r="A759" t="s">
        <v>1817</v>
      </c>
      <c r="B759" s="4">
        <v>45922</v>
      </c>
      <c r="C759" s="4">
        <v>45926</v>
      </c>
      <c r="D759">
        <f>_xlfn.DAYS(C759,B759)</f>
        <v>4</v>
      </c>
      <c r="E759" t="s">
        <v>2804</v>
      </c>
      <c r="F759" t="s">
        <v>1818</v>
      </c>
      <c r="G759" t="s">
        <v>47</v>
      </c>
      <c r="H759" t="s">
        <v>24</v>
      </c>
      <c r="I759" t="s">
        <v>54</v>
      </c>
      <c r="J759" t="s">
        <v>84</v>
      </c>
      <c r="K759" t="s">
        <v>85</v>
      </c>
      <c r="L759" t="s">
        <v>74</v>
      </c>
      <c r="M759" t="s">
        <v>171</v>
      </c>
      <c r="N759" t="s">
        <v>1819</v>
      </c>
      <c r="O759" t="s">
        <v>59</v>
      </c>
      <c r="P759">
        <v>1</v>
      </c>
      <c r="Q759">
        <v>573.65</v>
      </c>
      <c r="R759">
        <v>0</v>
      </c>
      <c r="S759">
        <f>IF(ISNUMBER(SEARCH("%",R759)), VALUE(SUBSTITUTE(R759,"%",""))/100,IF(ISNUMBER(R759), R759, 0))</f>
        <v>0</v>
      </c>
      <c r="T759" t="str">
        <f>IF(S759&lt;0,"Negative discount (invalid)",IF(S759&gt;0.5,"Discount above allowed range (invalid)",IF(AND(R759="",S759=0),"Missing discount set to 0","OK")))</f>
        <v>OK</v>
      </c>
      <c r="U759">
        <v>573.65</v>
      </c>
      <c r="V759">
        <v>322.67</v>
      </c>
      <c r="W759">
        <v>250.98</v>
      </c>
      <c r="X759" t="s">
        <v>32</v>
      </c>
      <c r="Y759" t="s">
        <v>33</v>
      </c>
      <c r="Z759">
        <f>IF(T759="OK",P759*Q759*(1-S759),"invalid")</f>
        <v>573.65</v>
      </c>
      <c r="AA759">
        <f>IF(Z759="N/A","N/A",Z759-V759)</f>
        <v>250.97999999999996</v>
      </c>
      <c r="AB759" s="8">
        <f>IF(Z759&lt;&gt;"N/A", AA759/Z759, "N/A")</f>
        <v>0.43751416368866031</v>
      </c>
      <c r="AC759">
        <f>MONTH(B759)</f>
        <v>9</v>
      </c>
      <c r="AD759">
        <f>YEAR(B759)</f>
        <v>2025</v>
      </c>
      <c r="AE759" s="10">
        <f t="shared" si="11"/>
        <v>0</v>
      </c>
      <c r="AF759" t="s">
        <v>2804</v>
      </c>
      <c r="AG759" t="s">
        <v>2811</v>
      </c>
    </row>
    <row r="760" spans="1:33">
      <c r="A760" t="s">
        <v>1822</v>
      </c>
      <c r="B760" s="4">
        <v>45727</v>
      </c>
      <c r="C760" s="4">
        <v>45730</v>
      </c>
      <c r="D760">
        <f>_xlfn.DAYS(C760,B760)</f>
        <v>3</v>
      </c>
      <c r="E760" t="s">
        <v>2804</v>
      </c>
      <c r="F760" t="s">
        <v>1823</v>
      </c>
      <c r="G760" t="s">
        <v>132</v>
      </c>
      <c r="H760" t="s">
        <v>95</v>
      </c>
      <c r="I760" t="s">
        <v>54</v>
      </c>
      <c r="J760" t="s">
        <v>185</v>
      </c>
      <c r="K760" t="s">
        <v>186</v>
      </c>
      <c r="L760" t="s">
        <v>41</v>
      </c>
      <c r="M760" t="s">
        <v>57</v>
      </c>
      <c r="N760" t="s">
        <v>1824</v>
      </c>
      <c r="O760" t="s">
        <v>44</v>
      </c>
      <c r="P760">
        <v>4</v>
      </c>
      <c r="Q760">
        <v>1244.82</v>
      </c>
      <c r="R760">
        <v>0.2</v>
      </c>
      <c r="S760">
        <f>IF(ISNUMBER(SEARCH("%",R760)), VALUE(SUBSTITUTE(R760,"%",""))/100,IF(ISNUMBER(R760), R760, 0))</f>
        <v>0.2</v>
      </c>
      <c r="T760" t="str">
        <f>IF(S760&lt;0,"Negative discount (invalid)",IF(S760&gt;0.5,"Discount above allowed range (invalid)",IF(AND(R760="",S760=0),"Missing discount set to 0","OK")))</f>
        <v>OK</v>
      </c>
      <c r="U760">
        <v>3983.42</v>
      </c>
      <c r="V760">
        <v>3174.91</v>
      </c>
      <c r="W760">
        <v>808.51</v>
      </c>
      <c r="X760" t="s">
        <v>155</v>
      </c>
      <c r="Y760" t="s">
        <v>103</v>
      </c>
      <c r="Z760">
        <f>IF(T760="OK",P760*Q760*(1-S760),"invalid")</f>
        <v>3983.424</v>
      </c>
      <c r="AA760">
        <f>IF(Z760="N/A","N/A",Z760-V760)</f>
        <v>808.51400000000012</v>
      </c>
      <c r="AB760" s="8">
        <f>IF(Z760&lt;&gt;"N/A", AA760/Z760, "N/A")</f>
        <v>0.2029696060474607</v>
      </c>
      <c r="AC760">
        <f>MONTH(B760)</f>
        <v>3</v>
      </c>
      <c r="AD760">
        <f>YEAR(B760)</f>
        <v>2025</v>
      </c>
      <c r="AE760" s="10">
        <f t="shared" si="11"/>
        <v>3.9999999999054126E-3</v>
      </c>
      <c r="AF760" t="s">
        <v>2804</v>
      </c>
      <c r="AG760" t="s">
        <v>2811</v>
      </c>
    </row>
    <row r="761" spans="1:33">
      <c r="A761" t="s">
        <v>1828</v>
      </c>
      <c r="B761" s="4">
        <v>45897</v>
      </c>
      <c r="C761" s="4">
        <v>45903</v>
      </c>
      <c r="D761">
        <f>_xlfn.DAYS(C761,B761)</f>
        <v>6</v>
      </c>
      <c r="E761" t="s">
        <v>2804</v>
      </c>
      <c r="F761" t="s">
        <v>1829</v>
      </c>
      <c r="G761" t="s">
        <v>114</v>
      </c>
      <c r="H761" t="s">
        <v>90</v>
      </c>
      <c r="I761" t="s">
        <v>63</v>
      </c>
      <c r="J761" t="s">
        <v>72</v>
      </c>
      <c r="K761" t="s">
        <v>73</v>
      </c>
      <c r="L761" t="s">
        <v>41</v>
      </c>
      <c r="M761" t="s">
        <v>57</v>
      </c>
      <c r="N761" t="s">
        <v>1830</v>
      </c>
      <c r="O761" t="s">
        <v>59</v>
      </c>
      <c r="P761">
        <v>7</v>
      </c>
      <c r="Q761">
        <v>268.45</v>
      </c>
      <c r="R761">
        <v>0</v>
      </c>
      <c r="S761">
        <f>IF(ISNUMBER(SEARCH("%",R761)), VALUE(SUBSTITUTE(R761,"%",""))/100,IF(ISNUMBER(R761), R761, 0))</f>
        <v>0</v>
      </c>
      <c r="T761" t="str">
        <f>IF(S761&lt;0,"Negative discount (invalid)",IF(S761&gt;0.5,"Discount above allowed range (invalid)",IF(AND(R761="",S761=0),"Missing discount set to 0","OK")))</f>
        <v>OK</v>
      </c>
      <c r="U761">
        <v>1879.15</v>
      </c>
      <c r="V761">
        <v>1134.9000000000001</v>
      </c>
      <c r="W761">
        <v>744.25</v>
      </c>
      <c r="X761" t="s">
        <v>32</v>
      </c>
      <c r="Y761" t="s">
        <v>33</v>
      </c>
      <c r="Z761">
        <f>IF(T761="OK",P761*Q761*(1-S761),"invalid")</f>
        <v>1879.1499999999999</v>
      </c>
      <c r="AA761">
        <f>IF(Z761="N/A","N/A",Z761-V761)</f>
        <v>744.24999999999977</v>
      </c>
      <c r="AB761" s="8">
        <f>IF(Z761&lt;&gt;"N/A", AA761/Z761, "N/A")</f>
        <v>0.39605672777585599</v>
      </c>
      <c r="AC761">
        <f>MONTH(B761)</f>
        <v>8</v>
      </c>
      <c r="AD761">
        <f>YEAR(B761)</f>
        <v>2025</v>
      </c>
      <c r="AE761" s="10">
        <f t="shared" si="11"/>
        <v>2.2737367544323206E-13</v>
      </c>
      <c r="AF761" t="s">
        <v>2804</v>
      </c>
      <c r="AG761" t="s">
        <v>2811</v>
      </c>
    </row>
    <row r="762" spans="1:33">
      <c r="A762" t="s">
        <v>1836</v>
      </c>
      <c r="B762" s="4">
        <v>45722</v>
      </c>
      <c r="C762" s="4">
        <v>45729</v>
      </c>
      <c r="D762">
        <f>_xlfn.DAYS(C762,B762)</f>
        <v>7</v>
      </c>
      <c r="E762" t="s">
        <v>2804</v>
      </c>
      <c r="F762" t="s">
        <v>1837</v>
      </c>
      <c r="G762" t="s">
        <v>264</v>
      </c>
      <c r="H762" t="s">
        <v>24</v>
      </c>
      <c r="I762" t="s">
        <v>54</v>
      </c>
      <c r="J762" t="s">
        <v>185</v>
      </c>
      <c r="K762" t="s">
        <v>186</v>
      </c>
      <c r="L762" t="s">
        <v>41</v>
      </c>
      <c r="M762" t="s">
        <v>66</v>
      </c>
      <c r="N762" t="s">
        <v>1838</v>
      </c>
      <c r="O762" t="s">
        <v>59</v>
      </c>
      <c r="P762">
        <v>3</v>
      </c>
      <c r="Q762">
        <v>163.72</v>
      </c>
      <c r="R762">
        <v>0.15</v>
      </c>
      <c r="S762">
        <f>IF(ISNUMBER(SEARCH("%",R762)), VALUE(SUBSTITUTE(R762,"%",""))/100,IF(ISNUMBER(R762), R762, 0))</f>
        <v>0.15</v>
      </c>
      <c r="T762" t="str">
        <f>IF(S762&lt;0,"Negative discount (invalid)",IF(S762&gt;0.5,"Discount above allowed range (invalid)",IF(AND(R762="",S762=0),"Missing discount set to 0","OK")))</f>
        <v>OK</v>
      </c>
      <c r="U762">
        <v>417.49</v>
      </c>
      <c r="V762">
        <v>261.67</v>
      </c>
      <c r="W762">
        <v>155.82</v>
      </c>
      <c r="X762" t="s">
        <v>155</v>
      </c>
      <c r="Y762" t="s">
        <v>103</v>
      </c>
      <c r="Z762">
        <f>IF(T762="OK",P762*Q762*(1-S762),"invalid")</f>
        <v>417.48599999999999</v>
      </c>
      <c r="AA762">
        <f>IF(Z762="N/A","N/A",Z762-V762)</f>
        <v>155.81599999999997</v>
      </c>
      <c r="AB762" s="8">
        <f>IF(Z762&lt;&gt;"N/A", AA762/Z762, "N/A")</f>
        <v>0.37322449136018926</v>
      </c>
      <c r="AC762">
        <f>MONTH(B762)</f>
        <v>3</v>
      </c>
      <c r="AD762">
        <f>YEAR(B762)</f>
        <v>2025</v>
      </c>
      <c r="AE762" s="10">
        <f t="shared" si="11"/>
        <v>4.0000000000190994E-3</v>
      </c>
      <c r="AF762" t="s">
        <v>2804</v>
      </c>
      <c r="AG762" t="s">
        <v>2811</v>
      </c>
    </row>
    <row r="763" spans="1:33">
      <c r="A763" t="s">
        <v>1839</v>
      </c>
      <c r="B763" s="4">
        <v>45878</v>
      </c>
      <c r="C763" s="4">
        <v>45879</v>
      </c>
      <c r="D763">
        <f>_xlfn.DAYS(C763,B763)</f>
        <v>1</v>
      </c>
      <c r="E763" t="s">
        <v>2804</v>
      </c>
      <c r="F763" t="s">
        <v>1840</v>
      </c>
      <c r="G763" t="s">
        <v>79</v>
      </c>
      <c r="H763" t="s">
        <v>24</v>
      </c>
      <c r="I763" t="s">
        <v>25</v>
      </c>
      <c r="J763" t="s">
        <v>350</v>
      </c>
      <c r="K763" t="s">
        <v>351</v>
      </c>
      <c r="L763" t="s">
        <v>28</v>
      </c>
      <c r="M763" t="s">
        <v>48</v>
      </c>
      <c r="N763" t="s">
        <v>1841</v>
      </c>
      <c r="O763" t="s">
        <v>31</v>
      </c>
      <c r="P763">
        <v>4</v>
      </c>
      <c r="Q763">
        <v>4080.95</v>
      </c>
      <c r="R763">
        <v>0</v>
      </c>
      <c r="S763">
        <f>IF(ISNUMBER(SEARCH("%",R763)), VALUE(SUBSTITUTE(R763,"%",""))/100,IF(ISNUMBER(R763), R763, 0))</f>
        <v>0</v>
      </c>
      <c r="T763" t="str">
        <f>IF(S763&lt;0,"Negative discount (invalid)",IF(S763&gt;0.5,"Discount above allowed range (invalid)",IF(AND(R763="",S763=0),"Missing discount set to 0","OK")))</f>
        <v>OK</v>
      </c>
      <c r="U763">
        <v>16323.8</v>
      </c>
      <c r="V763">
        <v>9965.7900000000009</v>
      </c>
      <c r="W763">
        <v>6358.01</v>
      </c>
      <c r="X763" t="s">
        <v>102</v>
      </c>
      <c r="Y763" t="s">
        <v>103</v>
      </c>
      <c r="Z763">
        <f>IF(T763="OK",P763*Q763*(1-S763),"invalid")</f>
        <v>16323.8</v>
      </c>
      <c r="AA763">
        <f>IF(Z763="N/A","N/A",Z763-V763)</f>
        <v>6358.0099999999984</v>
      </c>
      <c r="AB763" s="8">
        <f>IF(Z763&lt;&gt;"N/A", AA763/Z763, "N/A")</f>
        <v>0.38949325524693995</v>
      </c>
      <c r="AC763">
        <f>MONTH(B763)</f>
        <v>8</v>
      </c>
      <c r="AD763">
        <f>YEAR(B763)</f>
        <v>2025</v>
      </c>
      <c r="AE763" s="10">
        <f t="shared" si="11"/>
        <v>0</v>
      </c>
      <c r="AF763" t="s">
        <v>2804</v>
      </c>
      <c r="AG763" t="s">
        <v>2811</v>
      </c>
    </row>
    <row r="764" spans="1:33">
      <c r="A764" t="s">
        <v>1851</v>
      </c>
      <c r="B764" s="4">
        <v>45830</v>
      </c>
      <c r="C764" s="4">
        <v>45833</v>
      </c>
      <c r="D764">
        <f>_xlfn.DAYS(C764,B764)</f>
        <v>3</v>
      </c>
      <c r="E764" t="s">
        <v>2804</v>
      </c>
      <c r="F764" t="s">
        <v>1852</v>
      </c>
      <c r="G764" t="s">
        <v>162</v>
      </c>
      <c r="H764" t="s">
        <v>37</v>
      </c>
      <c r="I764" t="s">
        <v>63</v>
      </c>
      <c r="J764" t="s">
        <v>64</v>
      </c>
      <c r="K764" t="s">
        <v>65</v>
      </c>
      <c r="L764" t="s">
        <v>74</v>
      </c>
      <c r="M764" t="s">
        <v>171</v>
      </c>
      <c r="N764" t="s">
        <v>1853</v>
      </c>
      <c r="O764" t="s">
        <v>50</v>
      </c>
      <c r="P764">
        <v>8</v>
      </c>
      <c r="Q764">
        <v>3453.66</v>
      </c>
      <c r="R764">
        <v>0</v>
      </c>
      <c r="S764">
        <f>IF(ISNUMBER(SEARCH("%",R764)), VALUE(SUBSTITUTE(R764,"%",""))/100,IF(ISNUMBER(R764), R764, 0))</f>
        <v>0</v>
      </c>
      <c r="T764" t="str">
        <f>IF(S764&lt;0,"Negative discount (invalid)",IF(S764&gt;0.5,"Discount above allowed range (invalid)",IF(AND(R764="",S764=0),"Missing discount set to 0","OK")))</f>
        <v>OK</v>
      </c>
      <c r="U764">
        <v>27629.279999999999</v>
      </c>
      <c r="V764">
        <v>22026.48</v>
      </c>
      <c r="W764">
        <v>5602.8</v>
      </c>
      <c r="X764" t="s">
        <v>32</v>
      </c>
      <c r="Y764" t="s">
        <v>33</v>
      </c>
      <c r="Z764">
        <f>IF(T764="OK",P764*Q764*(1-S764),"invalid")</f>
        <v>27629.279999999999</v>
      </c>
      <c r="AA764">
        <f>IF(Z764="N/A","N/A",Z764-V764)</f>
        <v>5602.7999999999993</v>
      </c>
      <c r="AB764" s="8">
        <f>IF(Z764&lt;&gt;"N/A", AA764/Z764, "N/A")</f>
        <v>0.20278487170132553</v>
      </c>
      <c r="AC764">
        <f>MONTH(B764)</f>
        <v>6</v>
      </c>
      <c r="AD764">
        <f>YEAR(B764)</f>
        <v>2025</v>
      </c>
      <c r="AE764" s="10">
        <f t="shared" si="11"/>
        <v>0</v>
      </c>
      <c r="AF764" t="s">
        <v>2804</v>
      </c>
      <c r="AG764" t="s">
        <v>2811</v>
      </c>
    </row>
    <row r="765" spans="1:33">
      <c r="A765" t="s">
        <v>1854</v>
      </c>
      <c r="B765" s="4">
        <v>45759</v>
      </c>
      <c r="C765" s="4">
        <v>45759</v>
      </c>
      <c r="D765">
        <f>_xlfn.DAYS(C765,B765)</f>
        <v>0</v>
      </c>
      <c r="E765" t="s">
        <v>2804</v>
      </c>
      <c r="F765" t="s">
        <v>1855</v>
      </c>
      <c r="G765" t="s">
        <v>36</v>
      </c>
      <c r="H765" t="s">
        <v>95</v>
      </c>
      <c r="I765" t="s">
        <v>25</v>
      </c>
      <c r="J765" t="s">
        <v>122</v>
      </c>
      <c r="K765" t="s">
        <v>123</v>
      </c>
      <c r="L765" t="s">
        <v>28</v>
      </c>
      <c r="M765" t="s">
        <v>153</v>
      </c>
      <c r="N765" t="s">
        <v>1856</v>
      </c>
      <c r="O765" t="s">
        <v>31</v>
      </c>
      <c r="P765">
        <v>7</v>
      </c>
      <c r="Q765">
        <v>1334.2</v>
      </c>
      <c r="R765">
        <v>0.2</v>
      </c>
      <c r="S765">
        <f>IF(ISNUMBER(SEARCH("%",R765)), VALUE(SUBSTITUTE(R765,"%",""))/100,IF(ISNUMBER(R765), R765, 0))</f>
        <v>0.2</v>
      </c>
      <c r="T765" t="str">
        <f>IF(S765&lt;0,"Negative discount (invalid)",IF(S765&gt;0.5,"Discount above allowed range (invalid)",IF(AND(R765="",S765=0),"Missing discount set to 0","OK")))</f>
        <v>OK</v>
      </c>
      <c r="U765">
        <v>7471.52</v>
      </c>
      <c r="V765">
        <v>6184.32</v>
      </c>
      <c r="W765">
        <v>1287.2</v>
      </c>
      <c r="X765" t="s">
        <v>32</v>
      </c>
      <c r="Y765" t="s">
        <v>33</v>
      </c>
      <c r="Z765">
        <f>IF(T765="OK",P765*Q765*(1-S765),"invalid")</f>
        <v>7471.52</v>
      </c>
      <c r="AA765">
        <f>IF(Z765="N/A","N/A",Z765-V765)</f>
        <v>1287.2000000000007</v>
      </c>
      <c r="AB765" s="8">
        <f>IF(Z765&lt;&gt;"N/A", AA765/Z765, "N/A")</f>
        <v>0.17228087457438387</v>
      </c>
      <c r="AC765">
        <f>MONTH(B765)</f>
        <v>4</v>
      </c>
      <c r="AD765">
        <f>YEAR(B765)</f>
        <v>2025</v>
      </c>
      <c r="AE765" s="10">
        <f t="shared" si="11"/>
        <v>0</v>
      </c>
      <c r="AF765" t="s">
        <v>2804</v>
      </c>
      <c r="AG765" t="s">
        <v>2811</v>
      </c>
    </row>
    <row r="766" spans="1:33">
      <c r="A766" t="s">
        <v>1857</v>
      </c>
      <c r="B766" s="4">
        <v>45861</v>
      </c>
      <c r="C766" s="4">
        <v>45869</v>
      </c>
      <c r="D766">
        <f>_xlfn.DAYS(C766,B766)</f>
        <v>8</v>
      </c>
      <c r="E766" t="s">
        <v>2804</v>
      </c>
      <c r="F766" t="s">
        <v>1858</v>
      </c>
      <c r="G766" t="s">
        <v>264</v>
      </c>
      <c r="H766" t="s">
        <v>95</v>
      </c>
      <c r="I766" t="s">
        <v>63</v>
      </c>
      <c r="J766" t="s">
        <v>72</v>
      </c>
      <c r="K766" t="s">
        <v>73</v>
      </c>
      <c r="L766" t="s">
        <v>74</v>
      </c>
      <c r="M766" t="s">
        <v>75</v>
      </c>
      <c r="N766" t="s">
        <v>1859</v>
      </c>
      <c r="O766" t="s">
        <v>50</v>
      </c>
      <c r="P766">
        <v>1</v>
      </c>
      <c r="Q766">
        <v>4253.84</v>
      </c>
      <c r="R766">
        <v>0.15</v>
      </c>
      <c r="S766">
        <f>IF(ISNUMBER(SEARCH("%",R766)), VALUE(SUBSTITUTE(R766,"%",""))/100,IF(ISNUMBER(R766), R766, 0))</f>
        <v>0.15</v>
      </c>
      <c r="T766" t="str">
        <f>IF(S766&lt;0,"Negative discount (invalid)",IF(S766&gt;0.5,"Discount above allowed range (invalid)",IF(AND(R766="",S766=0),"Missing discount set to 0","OK")))</f>
        <v>OK</v>
      </c>
      <c r="U766">
        <v>3615.76</v>
      </c>
      <c r="V766">
        <v>2951.52</v>
      </c>
      <c r="W766">
        <v>664.24</v>
      </c>
      <c r="X766" t="s">
        <v>102</v>
      </c>
      <c r="Y766" t="s">
        <v>68</v>
      </c>
      <c r="Z766">
        <f>IF(T766="OK",P766*Q766*(1-S766),"invalid")</f>
        <v>3615.7640000000001</v>
      </c>
      <c r="AA766">
        <f>IF(Z766="N/A","N/A",Z766-V766)</f>
        <v>664.24400000000014</v>
      </c>
      <c r="AB766" s="8">
        <f>IF(Z766&lt;&gt;"N/A", AA766/Z766, "N/A")</f>
        <v>0.18370778623826114</v>
      </c>
      <c r="AC766">
        <f>MONTH(B766)</f>
        <v>7</v>
      </c>
      <c r="AD766">
        <f>YEAR(B766)</f>
        <v>2025</v>
      </c>
      <c r="AE766" s="10">
        <f t="shared" si="11"/>
        <v>3.9999999999054126E-3</v>
      </c>
      <c r="AF766" t="s">
        <v>2804</v>
      </c>
      <c r="AG766" t="s">
        <v>2811</v>
      </c>
    </row>
    <row r="767" spans="1:33">
      <c r="A767" t="s">
        <v>1860</v>
      </c>
      <c r="B767" s="4">
        <v>45727</v>
      </c>
      <c r="C767" s="4">
        <v>45731</v>
      </c>
      <c r="D767">
        <f>_xlfn.DAYS(C767,B767)</f>
        <v>4</v>
      </c>
      <c r="E767" t="s">
        <v>2804</v>
      </c>
      <c r="F767" t="s">
        <v>1861</v>
      </c>
      <c r="G767" t="s">
        <v>128</v>
      </c>
      <c r="H767" t="s">
        <v>95</v>
      </c>
      <c r="I767" t="s">
        <v>54</v>
      </c>
      <c r="J767" t="s">
        <v>175</v>
      </c>
      <c r="K767" t="s">
        <v>176</v>
      </c>
      <c r="L767" t="s">
        <v>74</v>
      </c>
      <c r="M767" t="s">
        <v>75</v>
      </c>
      <c r="N767" t="s">
        <v>1862</v>
      </c>
      <c r="O767" t="s">
        <v>31</v>
      </c>
      <c r="P767">
        <v>8</v>
      </c>
      <c r="Q767">
        <v>4446.3599999999997</v>
      </c>
      <c r="R767">
        <v>0.1</v>
      </c>
      <c r="S767">
        <f>IF(ISNUMBER(SEARCH("%",R767)), VALUE(SUBSTITUTE(R767,"%",""))/100,IF(ISNUMBER(R767), R767, 0))</f>
        <v>0.1</v>
      </c>
      <c r="T767" t="str">
        <f>IF(S767&lt;0,"Negative discount (invalid)",IF(S767&gt;0.5,"Discount above allowed range (invalid)",IF(AND(R767="",S767=0),"Missing discount set to 0","OK")))</f>
        <v>OK</v>
      </c>
      <c r="U767">
        <v>32013.79</v>
      </c>
      <c r="V767">
        <v>20896.88</v>
      </c>
      <c r="W767">
        <v>11116.91</v>
      </c>
      <c r="X767" t="s">
        <v>102</v>
      </c>
      <c r="Y767" t="s">
        <v>68</v>
      </c>
      <c r="Z767">
        <f>IF(T767="OK",P767*Q767*(1-S767),"invalid")</f>
        <v>32013.791999999998</v>
      </c>
      <c r="AA767">
        <f>IF(Z767="N/A","N/A",Z767-V767)</f>
        <v>11116.911999999997</v>
      </c>
      <c r="AB767" s="8">
        <f>IF(Z767&lt;&gt;"N/A", AA767/Z767, "N/A")</f>
        <v>0.34725383359771933</v>
      </c>
      <c r="AC767">
        <f>MONTH(B767)</f>
        <v>3</v>
      </c>
      <c r="AD767">
        <f>YEAR(B767)</f>
        <v>2025</v>
      </c>
      <c r="AE767" s="10">
        <f t="shared" si="11"/>
        <v>1.9999999967694748E-3</v>
      </c>
      <c r="AF767" t="s">
        <v>2804</v>
      </c>
      <c r="AG767" t="s">
        <v>2811</v>
      </c>
    </row>
    <row r="768" spans="1:33">
      <c r="A768" t="s">
        <v>1875</v>
      </c>
      <c r="B768" s="4">
        <v>45927</v>
      </c>
      <c r="C768" s="4">
        <v>45929</v>
      </c>
      <c r="D768">
        <f>_xlfn.DAYS(C768,B768)</f>
        <v>2</v>
      </c>
      <c r="E768" t="s">
        <v>2804</v>
      </c>
      <c r="F768" t="s">
        <v>1667</v>
      </c>
      <c r="G768" t="s">
        <v>53</v>
      </c>
      <c r="H768" t="s">
        <v>95</v>
      </c>
      <c r="I768" t="s">
        <v>25</v>
      </c>
      <c r="J768" t="s">
        <v>136</v>
      </c>
      <c r="K768" t="s">
        <v>137</v>
      </c>
      <c r="L768" t="s">
        <v>41</v>
      </c>
      <c r="M768" t="s">
        <v>42</v>
      </c>
      <c r="N768" t="s">
        <v>1876</v>
      </c>
      <c r="O768" t="s">
        <v>31</v>
      </c>
      <c r="P768">
        <v>9</v>
      </c>
      <c r="Q768">
        <v>4100.1099999999997</v>
      </c>
      <c r="R768">
        <v>0.25</v>
      </c>
      <c r="S768">
        <f>IF(ISNUMBER(SEARCH("%",R768)), VALUE(SUBSTITUTE(R768,"%",""))/100,IF(ISNUMBER(R768), R768, 0))</f>
        <v>0.25</v>
      </c>
      <c r="T768" t="str">
        <f>IF(S768&lt;0,"Negative discount (invalid)",IF(S768&gt;0.5,"Discount above allowed range (invalid)",IF(AND(R768="",S768=0),"Missing discount set to 0","OK")))</f>
        <v>OK</v>
      </c>
      <c r="U768">
        <v>27675.74</v>
      </c>
      <c r="V768">
        <v>15571.08</v>
      </c>
      <c r="W768">
        <v>12104.66</v>
      </c>
      <c r="X768" t="s">
        <v>32</v>
      </c>
      <c r="Y768" t="s">
        <v>33</v>
      </c>
      <c r="Z768">
        <f>IF(T768="OK",P768*Q768*(1-S768),"invalid")</f>
        <v>27675.7425</v>
      </c>
      <c r="AA768">
        <f>IF(Z768="N/A","N/A",Z768-V768)</f>
        <v>12104.6625</v>
      </c>
      <c r="AB768" s="8">
        <f>IF(Z768&lt;&gt;"N/A", AA768/Z768, "N/A")</f>
        <v>0.4373744444254748</v>
      </c>
      <c r="AC768">
        <f>MONTH(B768)</f>
        <v>9</v>
      </c>
      <c r="AD768">
        <f>YEAR(B768)</f>
        <v>2025</v>
      </c>
      <c r="AE768" s="10">
        <f t="shared" si="11"/>
        <v>2.4999999986903276E-3</v>
      </c>
      <c r="AF768" t="s">
        <v>2804</v>
      </c>
      <c r="AG768" t="s">
        <v>2811</v>
      </c>
    </row>
    <row r="769" spans="1:33">
      <c r="A769" t="s">
        <v>1880</v>
      </c>
      <c r="B769" s="4">
        <v>45699</v>
      </c>
      <c r="C769" s="4">
        <v>45704</v>
      </c>
      <c r="D769">
        <f>_xlfn.DAYS(C769,B769)</f>
        <v>5</v>
      </c>
      <c r="E769" t="s">
        <v>2804</v>
      </c>
      <c r="F769" t="s">
        <v>1881</v>
      </c>
      <c r="G769" t="s">
        <v>36</v>
      </c>
      <c r="H769" t="s">
        <v>90</v>
      </c>
      <c r="I769" t="s">
        <v>25</v>
      </c>
      <c r="J769" t="s">
        <v>136</v>
      </c>
      <c r="K769" t="s">
        <v>137</v>
      </c>
      <c r="L769" t="s">
        <v>74</v>
      </c>
      <c r="M769" t="s">
        <v>171</v>
      </c>
      <c r="N769" t="s">
        <v>1882</v>
      </c>
      <c r="O769" t="s">
        <v>50</v>
      </c>
      <c r="P769">
        <v>8</v>
      </c>
      <c r="Q769">
        <v>1825.56</v>
      </c>
      <c r="R769">
        <v>0.1</v>
      </c>
      <c r="S769">
        <f>IF(ISNUMBER(SEARCH("%",R769)), VALUE(SUBSTITUTE(R769,"%",""))/100,IF(ISNUMBER(R769), R769, 0))</f>
        <v>0.1</v>
      </c>
      <c r="T769" t="str">
        <f>IF(S769&lt;0,"Negative discount (invalid)",IF(S769&gt;0.5,"Discount above allowed range (invalid)",IF(AND(R769="",S769=0),"Missing discount set to 0","OK")))</f>
        <v>OK</v>
      </c>
      <c r="U769">
        <v>13144.03</v>
      </c>
      <c r="V769">
        <v>9764</v>
      </c>
      <c r="W769">
        <v>3380.03</v>
      </c>
      <c r="X769" t="s">
        <v>32</v>
      </c>
      <c r="Y769" t="s">
        <v>33</v>
      </c>
      <c r="Z769">
        <f>IF(T769="OK",P769*Q769*(1-S769),"invalid")</f>
        <v>13144.031999999999</v>
      </c>
      <c r="AA769">
        <f>IF(Z769="N/A","N/A",Z769-V769)</f>
        <v>3380.0319999999992</v>
      </c>
      <c r="AB769" s="8">
        <f>IF(Z769&lt;&gt;"N/A", AA769/Z769, "N/A")</f>
        <v>0.25715336055176974</v>
      </c>
      <c r="AC769">
        <f>MONTH(B769)</f>
        <v>2</v>
      </c>
      <c r="AD769">
        <f>YEAR(B769)</f>
        <v>2025</v>
      </c>
      <c r="AE769" s="10">
        <f t="shared" si="11"/>
        <v>1.9999999985884642E-3</v>
      </c>
      <c r="AF769" t="s">
        <v>2804</v>
      </c>
      <c r="AG769" t="s">
        <v>2811</v>
      </c>
    </row>
    <row r="770" spans="1:33">
      <c r="A770" t="s">
        <v>1886</v>
      </c>
      <c r="B770" s="4">
        <v>45846</v>
      </c>
      <c r="C770" s="4">
        <v>45846</v>
      </c>
      <c r="D770">
        <f>_xlfn.DAYS(C770,B770)</f>
        <v>0</v>
      </c>
      <c r="E770" t="s">
        <v>2804</v>
      </c>
      <c r="F770" t="s">
        <v>1887</v>
      </c>
      <c r="G770" t="s">
        <v>89</v>
      </c>
      <c r="H770" t="s">
        <v>24</v>
      </c>
      <c r="I770" t="s">
        <v>54</v>
      </c>
      <c r="J770" t="s">
        <v>55</v>
      </c>
      <c r="K770" t="s">
        <v>56</v>
      </c>
      <c r="L770" t="s">
        <v>74</v>
      </c>
      <c r="M770" t="s">
        <v>80</v>
      </c>
      <c r="N770" t="s">
        <v>1888</v>
      </c>
      <c r="O770" t="s">
        <v>44</v>
      </c>
      <c r="P770">
        <v>9</v>
      </c>
      <c r="Q770">
        <v>274.88</v>
      </c>
      <c r="R770">
        <v>0.25</v>
      </c>
      <c r="S770">
        <f>IF(ISNUMBER(SEARCH("%",R770)), VALUE(SUBSTITUTE(R770,"%",""))/100,IF(ISNUMBER(R770), R770, 0))</f>
        <v>0.25</v>
      </c>
      <c r="T770" t="str">
        <f>IF(S770&lt;0,"Negative discount (invalid)",IF(S770&gt;0.5,"Discount above allowed range (invalid)",IF(AND(R770="",S770=0),"Missing discount set to 0","OK")))</f>
        <v>OK</v>
      </c>
      <c r="U770">
        <v>1855.44</v>
      </c>
      <c r="V770">
        <v>1262.74</v>
      </c>
      <c r="W770">
        <v>592.70000000000005</v>
      </c>
      <c r="X770" t="s">
        <v>32</v>
      </c>
      <c r="Y770" t="s">
        <v>33</v>
      </c>
      <c r="Z770">
        <f>IF(T770="OK",P770*Q770*(1-S770),"invalid")</f>
        <v>1855.44</v>
      </c>
      <c r="AA770">
        <f>IF(Z770="N/A","N/A",Z770-V770)</f>
        <v>592.70000000000005</v>
      </c>
      <c r="AB770" s="8">
        <f>IF(Z770&lt;&gt;"N/A", AA770/Z770, "N/A")</f>
        <v>0.3194390548872505</v>
      </c>
      <c r="AC770">
        <f>MONTH(B770)</f>
        <v>7</v>
      </c>
      <c r="AD770">
        <f>YEAR(B770)</f>
        <v>2025</v>
      </c>
      <c r="AE770" s="10">
        <f t="shared" si="11"/>
        <v>0</v>
      </c>
      <c r="AF770" t="s">
        <v>2804</v>
      </c>
      <c r="AG770" t="s">
        <v>2811</v>
      </c>
    </row>
    <row r="771" spans="1:33">
      <c r="A771" t="s">
        <v>1895</v>
      </c>
      <c r="B771" s="4">
        <v>45721</v>
      </c>
      <c r="C771" s="4">
        <v>45728</v>
      </c>
      <c r="D771">
        <f>_xlfn.DAYS(C771,B771)</f>
        <v>7</v>
      </c>
      <c r="E771" t="s">
        <v>2804</v>
      </c>
      <c r="F771" t="s">
        <v>1896</v>
      </c>
      <c r="G771" t="s">
        <v>62</v>
      </c>
      <c r="H771" t="s">
        <v>90</v>
      </c>
      <c r="I771" t="s">
        <v>63</v>
      </c>
      <c r="J771" t="s">
        <v>72</v>
      </c>
      <c r="K771" t="s">
        <v>73</v>
      </c>
      <c r="L771" t="s">
        <v>28</v>
      </c>
      <c r="M771" t="s">
        <v>124</v>
      </c>
      <c r="N771" t="s">
        <v>1897</v>
      </c>
      <c r="O771" t="s">
        <v>44</v>
      </c>
      <c r="P771">
        <v>3</v>
      </c>
      <c r="Q771">
        <v>3682.75</v>
      </c>
      <c r="R771">
        <v>0</v>
      </c>
      <c r="S771">
        <f>IF(ISNUMBER(SEARCH("%",R771)), VALUE(SUBSTITUTE(R771,"%",""))/100,IF(ISNUMBER(R771), R771, 0))</f>
        <v>0</v>
      </c>
      <c r="T771" t="str">
        <f>IF(S771&lt;0,"Negative discount (invalid)",IF(S771&gt;0.5,"Discount above allowed range (invalid)",IF(AND(R771="",S771=0),"Missing discount set to 0","OK")))</f>
        <v>OK</v>
      </c>
      <c r="U771">
        <v>11048.25</v>
      </c>
      <c r="V771">
        <v>9062.7199999999993</v>
      </c>
      <c r="W771">
        <v>1985.53</v>
      </c>
      <c r="X771" t="s">
        <v>32</v>
      </c>
      <c r="Y771" t="s">
        <v>33</v>
      </c>
      <c r="Z771">
        <f>IF(T771="OK",P771*Q771*(1-S771),"invalid")</f>
        <v>11048.25</v>
      </c>
      <c r="AA771">
        <f>IF(Z771="N/A","N/A",Z771-V771)</f>
        <v>1985.5300000000007</v>
      </c>
      <c r="AB771" s="8">
        <f>IF(Z771&lt;&gt;"N/A", AA771/Z771, "N/A")</f>
        <v>0.17971443441268986</v>
      </c>
      <c r="AC771">
        <f>MONTH(B771)</f>
        <v>3</v>
      </c>
      <c r="AD771">
        <f>YEAR(B771)</f>
        <v>2025</v>
      </c>
      <c r="AE771" s="10">
        <f t="shared" ref="AE771:AE834" si="12">IF(Z771&lt;&gt;"N/A",ABS(Z771-U771),"N/A")</f>
        <v>0</v>
      </c>
      <c r="AF771" t="s">
        <v>2804</v>
      </c>
      <c r="AG771" t="s">
        <v>2811</v>
      </c>
    </row>
    <row r="772" spans="1:33">
      <c r="A772" t="s">
        <v>1904</v>
      </c>
      <c r="B772" s="4">
        <v>45660</v>
      </c>
      <c r="C772" s="4">
        <v>45668</v>
      </c>
      <c r="D772">
        <f>_xlfn.DAYS(C772,B772)</f>
        <v>8</v>
      </c>
      <c r="E772" t="s">
        <v>2804</v>
      </c>
      <c r="F772" t="s">
        <v>334</v>
      </c>
      <c r="G772" t="s">
        <v>71</v>
      </c>
      <c r="H772" t="s">
        <v>90</v>
      </c>
      <c r="I772" t="s">
        <v>38</v>
      </c>
      <c r="J772" t="s">
        <v>145</v>
      </c>
      <c r="K772" t="s">
        <v>146</v>
      </c>
      <c r="L772" t="s">
        <v>74</v>
      </c>
      <c r="M772" t="s">
        <v>75</v>
      </c>
      <c r="N772" t="s">
        <v>1905</v>
      </c>
      <c r="O772" t="s">
        <v>50</v>
      </c>
      <c r="P772">
        <v>8</v>
      </c>
      <c r="Q772">
        <v>2574.29</v>
      </c>
      <c r="R772">
        <v>0.05</v>
      </c>
      <c r="S772">
        <f>IF(ISNUMBER(SEARCH("%",R772)), VALUE(SUBSTITUTE(R772,"%",""))/100,IF(ISNUMBER(R772), R772, 0))</f>
        <v>0.05</v>
      </c>
      <c r="T772" t="str">
        <f>IF(S772&lt;0,"Negative discount (invalid)",IF(S772&gt;0.5,"Discount above allowed range (invalid)",IF(AND(R772="",S772=0),"Missing discount set to 0","OK")))</f>
        <v>OK</v>
      </c>
      <c r="U772">
        <v>19564.599999999999</v>
      </c>
      <c r="V772">
        <v>11154.59</v>
      </c>
      <c r="W772">
        <v>8410.01</v>
      </c>
      <c r="X772" t="s">
        <v>111</v>
      </c>
      <c r="Y772" t="s">
        <v>68</v>
      </c>
      <c r="Z772">
        <f>IF(T772="OK",P772*Q772*(1-S772),"invalid")</f>
        <v>19564.603999999999</v>
      </c>
      <c r="AA772">
        <f>IF(Z772="N/A","N/A",Z772-V772)</f>
        <v>8410.0139999999992</v>
      </c>
      <c r="AB772" s="8">
        <f>IF(Z772&lt;&gt;"N/A", AA772/Z772, "N/A")</f>
        <v>0.42985863654587642</v>
      </c>
      <c r="AC772">
        <f>MONTH(B772)</f>
        <v>1</v>
      </c>
      <c r="AD772">
        <f>YEAR(B772)</f>
        <v>2025</v>
      </c>
      <c r="AE772" s="10">
        <f t="shared" si="12"/>
        <v>4.0000000008149073E-3</v>
      </c>
      <c r="AF772" t="s">
        <v>2804</v>
      </c>
      <c r="AG772" t="s">
        <v>2811</v>
      </c>
    </row>
    <row r="773" spans="1:33">
      <c r="A773" t="s">
        <v>1906</v>
      </c>
      <c r="B773" s="4">
        <v>45693</v>
      </c>
      <c r="C773" s="4">
        <v>45694</v>
      </c>
      <c r="D773">
        <f>_xlfn.DAYS(C773,B773)</f>
        <v>1</v>
      </c>
      <c r="E773" t="s">
        <v>2804</v>
      </c>
      <c r="F773" t="s">
        <v>1907</v>
      </c>
      <c r="G773" t="s">
        <v>62</v>
      </c>
      <c r="H773" t="s">
        <v>24</v>
      </c>
      <c r="I773" t="s">
        <v>63</v>
      </c>
      <c r="J773" t="s">
        <v>72</v>
      </c>
      <c r="K773" t="s">
        <v>73</v>
      </c>
      <c r="L773" t="s">
        <v>28</v>
      </c>
      <c r="M773" t="s">
        <v>153</v>
      </c>
      <c r="N773" t="s">
        <v>1908</v>
      </c>
      <c r="O773" t="s">
        <v>44</v>
      </c>
      <c r="P773">
        <v>3</v>
      </c>
      <c r="Q773">
        <v>1076.3</v>
      </c>
      <c r="R773">
        <v>0</v>
      </c>
      <c r="S773">
        <f>IF(ISNUMBER(SEARCH("%",R773)), VALUE(SUBSTITUTE(R773,"%",""))/100,IF(ISNUMBER(R773), R773, 0))</f>
        <v>0</v>
      </c>
      <c r="T773" t="str">
        <f>IF(S773&lt;0,"Negative discount (invalid)",IF(S773&gt;0.5,"Discount above allowed range (invalid)",IF(AND(R773="",S773=0),"Missing discount set to 0","OK")))</f>
        <v>OK</v>
      </c>
      <c r="U773">
        <v>3228.9</v>
      </c>
      <c r="V773">
        <v>1853.23</v>
      </c>
      <c r="W773">
        <v>1375.67</v>
      </c>
      <c r="X773" t="s">
        <v>32</v>
      </c>
      <c r="Y773" t="s">
        <v>33</v>
      </c>
      <c r="Z773">
        <f>IF(T773="OK",P773*Q773*(1-S773),"invalid")</f>
        <v>3228.8999999999996</v>
      </c>
      <c r="AA773">
        <f>IF(Z773="N/A","N/A",Z773-V773)</f>
        <v>1375.6699999999996</v>
      </c>
      <c r="AB773" s="8">
        <f>IF(Z773&lt;&gt;"N/A", AA773/Z773, "N/A")</f>
        <v>0.42604911889497965</v>
      </c>
      <c r="AC773">
        <f>MONTH(B773)</f>
        <v>2</v>
      </c>
      <c r="AD773">
        <f>YEAR(B773)</f>
        <v>2025</v>
      </c>
      <c r="AE773" s="10">
        <f t="shared" si="12"/>
        <v>4.5474735088646412E-13</v>
      </c>
      <c r="AF773" t="s">
        <v>2804</v>
      </c>
      <c r="AG773" t="s">
        <v>2811</v>
      </c>
    </row>
    <row r="774" spans="1:33">
      <c r="A774" t="s">
        <v>1909</v>
      </c>
      <c r="B774" s="4">
        <v>45847</v>
      </c>
      <c r="C774" s="4">
        <v>45851</v>
      </c>
      <c r="D774">
        <f>_xlfn.DAYS(C774,B774)</f>
        <v>4</v>
      </c>
      <c r="E774" t="s">
        <v>2804</v>
      </c>
      <c r="F774" t="s">
        <v>1910</v>
      </c>
      <c r="G774" t="s">
        <v>264</v>
      </c>
      <c r="H774" t="s">
        <v>90</v>
      </c>
      <c r="I774" t="s">
        <v>63</v>
      </c>
      <c r="J774" t="s">
        <v>190</v>
      </c>
      <c r="K774" t="s">
        <v>191</v>
      </c>
      <c r="L774" t="s">
        <v>41</v>
      </c>
      <c r="M774" t="s">
        <v>57</v>
      </c>
      <c r="N774" t="s">
        <v>1911</v>
      </c>
      <c r="O774" t="s">
        <v>31</v>
      </c>
      <c r="P774">
        <v>5</v>
      </c>
      <c r="Q774">
        <v>1680.01</v>
      </c>
      <c r="R774" t="s">
        <v>768</v>
      </c>
      <c r="S774">
        <f>IF(ISNUMBER(SEARCH("%",R774)), VALUE(SUBSTITUTE(R774,"%",""))/100,IF(ISNUMBER(R774), R774, 0))</f>
        <v>0.85</v>
      </c>
      <c r="T774" t="str">
        <f>IF(S774&lt;0,"Negative discount (invalid)",IF(S774&gt;0.5,"Discount above allowed range (invalid)",IF(AND(R774="",S774=0),"Missing discount set to 0","OK")))</f>
        <v>Discount above allowed range (invalid)</v>
      </c>
      <c r="U774">
        <v>7560.04</v>
      </c>
      <c r="V774">
        <v>6448.05</v>
      </c>
      <c r="W774">
        <v>1111.99</v>
      </c>
      <c r="X774" t="s">
        <v>32</v>
      </c>
      <c r="Y774" t="s">
        <v>68</v>
      </c>
      <c r="Z774" t="s">
        <v>2793</v>
      </c>
      <c r="AA774" t="str">
        <f>IF(Z774="N/A","N/A",Z774-V774)</f>
        <v>N/A</v>
      </c>
      <c r="AB774" s="8" t="str">
        <f>IF(Z774&lt;&gt;"N/A", AA774/Z774, "N/A")</f>
        <v>N/A</v>
      </c>
      <c r="AC774">
        <f>MONTH(B774)</f>
        <v>7</v>
      </c>
      <c r="AD774">
        <f>YEAR(B774)</f>
        <v>2025</v>
      </c>
      <c r="AE774" s="10" t="str">
        <f t="shared" si="12"/>
        <v>N/A</v>
      </c>
      <c r="AF774" t="s">
        <v>2802</v>
      </c>
      <c r="AG774" t="s">
        <v>2789</v>
      </c>
    </row>
    <row r="775" spans="1:33">
      <c r="A775" t="s">
        <v>1912</v>
      </c>
      <c r="B775" s="4">
        <v>45710</v>
      </c>
      <c r="C775" s="4">
        <v>45716</v>
      </c>
      <c r="D775">
        <f>_xlfn.DAYS(C775,B775)</f>
        <v>6</v>
      </c>
      <c r="E775" t="s">
        <v>2804</v>
      </c>
      <c r="F775" t="s">
        <v>1913</v>
      </c>
      <c r="G775" t="s">
        <v>118</v>
      </c>
      <c r="H775" t="s">
        <v>95</v>
      </c>
      <c r="I775" t="s">
        <v>63</v>
      </c>
      <c r="J775" t="s">
        <v>72</v>
      </c>
      <c r="K775" t="s">
        <v>73</v>
      </c>
      <c r="L775" t="s">
        <v>74</v>
      </c>
      <c r="M775" t="s">
        <v>80</v>
      </c>
      <c r="N775" t="s">
        <v>1914</v>
      </c>
      <c r="O775" t="s">
        <v>44</v>
      </c>
      <c r="P775">
        <v>3</v>
      </c>
      <c r="Q775">
        <v>3890.81</v>
      </c>
      <c r="R775">
        <v>0.25</v>
      </c>
      <c r="S775">
        <f>IF(ISNUMBER(SEARCH("%",R775)), VALUE(SUBSTITUTE(R775,"%",""))/100,IF(ISNUMBER(R775), R775, 0))</f>
        <v>0.25</v>
      </c>
      <c r="T775" t="str">
        <f>IF(S775&lt;0,"Negative discount (invalid)",IF(S775&gt;0.5,"Discount above allowed range (invalid)",IF(AND(R775="",S775=0),"Missing discount set to 0","OK")))</f>
        <v>OK</v>
      </c>
      <c r="U775">
        <v>8754.32</v>
      </c>
      <c r="V775">
        <v>6238.9</v>
      </c>
      <c r="W775">
        <v>2515.42</v>
      </c>
      <c r="X775" t="s">
        <v>32</v>
      </c>
      <c r="Y775" t="s">
        <v>33</v>
      </c>
      <c r="Z775">
        <f>IF(T775="OK",P775*Q775*(1-S775),"invalid")</f>
        <v>8754.3225000000002</v>
      </c>
      <c r="AA775">
        <f>IF(Z775="N/A","N/A",Z775-V775)</f>
        <v>2515.4225000000006</v>
      </c>
      <c r="AB775" s="8">
        <f>IF(Z775&lt;&gt;"N/A", AA775/Z775, "N/A")</f>
        <v>0.28733491369549163</v>
      </c>
      <c r="AC775">
        <f>MONTH(B775)</f>
        <v>2</v>
      </c>
      <c r="AD775">
        <f>YEAR(B775)</f>
        <v>2025</v>
      </c>
      <c r="AE775" s="10">
        <f t="shared" si="12"/>
        <v>2.500000000509317E-3</v>
      </c>
      <c r="AF775" t="s">
        <v>2804</v>
      </c>
      <c r="AG775" t="s">
        <v>2811</v>
      </c>
    </row>
    <row r="776" spans="1:33">
      <c r="A776" t="s">
        <v>1915</v>
      </c>
      <c r="B776" s="4">
        <v>45704</v>
      </c>
      <c r="C776" s="4">
        <v>45710</v>
      </c>
      <c r="D776">
        <f>_xlfn.DAYS(C776,B776)</f>
        <v>6</v>
      </c>
      <c r="E776" t="s">
        <v>2804</v>
      </c>
      <c r="F776" t="s">
        <v>1916</v>
      </c>
      <c r="G776" t="s">
        <v>132</v>
      </c>
      <c r="H776" t="s">
        <v>95</v>
      </c>
      <c r="I776" t="s">
        <v>38</v>
      </c>
      <c r="J776" t="s">
        <v>145</v>
      </c>
      <c r="K776" t="s">
        <v>146</v>
      </c>
      <c r="L776" t="s">
        <v>28</v>
      </c>
      <c r="M776" t="s">
        <v>124</v>
      </c>
      <c r="N776" t="s">
        <v>1917</v>
      </c>
      <c r="O776" t="s">
        <v>44</v>
      </c>
      <c r="P776">
        <v>5</v>
      </c>
      <c r="Q776">
        <v>954.67</v>
      </c>
      <c r="R776">
        <v>0.15</v>
      </c>
      <c r="S776">
        <f>IF(ISNUMBER(SEARCH("%",R776)), VALUE(SUBSTITUTE(R776,"%",""))/100,IF(ISNUMBER(R776), R776, 0))</f>
        <v>0.15</v>
      </c>
      <c r="T776" t="str">
        <f>IF(S776&lt;0,"Negative discount (invalid)",IF(S776&gt;0.5,"Discount above allowed range (invalid)",IF(AND(R776="",S776=0),"Missing discount set to 0","OK")))</f>
        <v>OK</v>
      </c>
      <c r="U776">
        <v>4057.35</v>
      </c>
      <c r="V776">
        <v>2862.03</v>
      </c>
      <c r="W776">
        <v>1195.32</v>
      </c>
      <c r="X776" t="s">
        <v>32</v>
      </c>
      <c r="Y776" t="s">
        <v>33</v>
      </c>
      <c r="Z776">
        <f>IF(T776="OK",P776*Q776*(1-S776),"invalid")</f>
        <v>4057.3474999999994</v>
      </c>
      <c r="AA776">
        <f>IF(Z776="N/A","N/A",Z776-V776)</f>
        <v>1195.3174999999992</v>
      </c>
      <c r="AB776" s="8">
        <f>IF(Z776&lt;&gt;"N/A", AA776/Z776, "N/A")</f>
        <v>0.29460565061286947</v>
      </c>
      <c r="AC776">
        <f>MONTH(B776)</f>
        <v>2</v>
      </c>
      <c r="AD776">
        <f>YEAR(B776)</f>
        <v>2025</v>
      </c>
      <c r="AE776" s="10">
        <f t="shared" si="12"/>
        <v>2.500000000509317E-3</v>
      </c>
      <c r="AF776" t="s">
        <v>2804</v>
      </c>
      <c r="AG776" t="s">
        <v>2811</v>
      </c>
    </row>
    <row r="777" spans="1:33">
      <c r="A777" t="s">
        <v>1920</v>
      </c>
      <c r="B777" s="4">
        <v>45665</v>
      </c>
      <c r="C777" s="4">
        <v>45669</v>
      </c>
      <c r="D777">
        <f>_xlfn.DAYS(C777,B777)</f>
        <v>4</v>
      </c>
      <c r="E777" t="s">
        <v>2804</v>
      </c>
      <c r="F777" t="s">
        <v>1921</v>
      </c>
      <c r="G777" t="s">
        <v>132</v>
      </c>
      <c r="H777" t="s">
        <v>95</v>
      </c>
      <c r="I777" t="s">
        <v>54</v>
      </c>
      <c r="J777" t="s">
        <v>175</v>
      </c>
      <c r="K777" t="s">
        <v>176</v>
      </c>
      <c r="L777" t="s">
        <v>41</v>
      </c>
      <c r="M777" t="s">
        <v>66</v>
      </c>
      <c r="N777" t="s">
        <v>1922</v>
      </c>
      <c r="O777" t="s">
        <v>59</v>
      </c>
      <c r="P777">
        <v>7</v>
      </c>
      <c r="Q777">
        <v>4337.4799999999996</v>
      </c>
      <c r="R777">
        <v>0</v>
      </c>
      <c r="S777">
        <f>IF(ISNUMBER(SEARCH("%",R777)), VALUE(SUBSTITUTE(R777,"%",""))/100,IF(ISNUMBER(R777), R777, 0))</f>
        <v>0</v>
      </c>
      <c r="T777" t="str">
        <f>IF(S777&lt;0,"Negative discount (invalid)",IF(S777&gt;0.5,"Discount above allowed range (invalid)",IF(AND(R777="",S777=0),"Missing discount set to 0","OK")))</f>
        <v>OK</v>
      </c>
      <c r="U777">
        <v>30362.36</v>
      </c>
      <c r="V777">
        <v>25065.4</v>
      </c>
      <c r="W777">
        <v>5296.96</v>
      </c>
      <c r="X777" t="s">
        <v>32</v>
      </c>
      <c r="Y777" t="s">
        <v>33</v>
      </c>
      <c r="Z777">
        <f>IF(T777="OK",P777*Q777*(1-S777),"invalid")</f>
        <v>30362.359999999997</v>
      </c>
      <c r="AA777">
        <f>IF(Z777="N/A","N/A",Z777-V777)</f>
        <v>5296.9599999999955</v>
      </c>
      <c r="AB777" s="8">
        <f>IF(Z777&lt;&gt;"N/A", AA777/Z777, "N/A")</f>
        <v>0.17445811195177174</v>
      </c>
      <c r="AC777">
        <f>MONTH(B777)</f>
        <v>1</v>
      </c>
      <c r="AD777">
        <f>YEAR(B777)</f>
        <v>2025</v>
      </c>
      <c r="AE777" s="10">
        <f t="shared" si="12"/>
        <v>3.637978807091713E-12</v>
      </c>
      <c r="AF777" t="s">
        <v>2804</v>
      </c>
      <c r="AG777" t="s">
        <v>2811</v>
      </c>
    </row>
    <row r="778" spans="1:33">
      <c r="A778" t="s">
        <v>1925</v>
      </c>
      <c r="B778" s="4">
        <v>45846</v>
      </c>
      <c r="C778" s="4">
        <v>45853</v>
      </c>
      <c r="D778">
        <f>_xlfn.DAYS(C778,B778)</f>
        <v>7</v>
      </c>
      <c r="E778" t="s">
        <v>2804</v>
      </c>
      <c r="F778" t="s">
        <v>1926</v>
      </c>
      <c r="G778" t="s">
        <v>62</v>
      </c>
      <c r="H778" t="s">
        <v>37</v>
      </c>
      <c r="I778" t="s">
        <v>25</v>
      </c>
      <c r="J778" t="s">
        <v>26</v>
      </c>
      <c r="K778" t="s">
        <v>27</v>
      </c>
      <c r="L778" t="s">
        <v>28</v>
      </c>
      <c r="M778" t="s">
        <v>153</v>
      </c>
      <c r="N778" t="s">
        <v>1927</v>
      </c>
      <c r="O778" t="s">
        <v>44</v>
      </c>
      <c r="P778">
        <v>8</v>
      </c>
      <c r="Q778">
        <v>655.28</v>
      </c>
      <c r="R778">
        <v>0.1</v>
      </c>
      <c r="S778">
        <f>IF(ISNUMBER(SEARCH("%",R778)), VALUE(SUBSTITUTE(R778,"%",""))/100,IF(ISNUMBER(R778), R778, 0))</f>
        <v>0.1</v>
      </c>
      <c r="T778" t="str">
        <f>IF(S778&lt;0,"Negative discount (invalid)",IF(S778&gt;0.5,"Discount above allowed range (invalid)",IF(AND(R778="",S778=0),"Missing discount set to 0","OK")))</f>
        <v>OK</v>
      </c>
      <c r="U778">
        <v>4718.0200000000004</v>
      </c>
      <c r="V778">
        <v>3908.23</v>
      </c>
      <c r="W778">
        <v>809.79</v>
      </c>
      <c r="X778" t="s">
        <v>32</v>
      </c>
      <c r="Y778" t="s">
        <v>33</v>
      </c>
      <c r="Z778">
        <f>IF(T778="OK",P778*Q778*(1-S778),"invalid")</f>
        <v>4718.0159999999996</v>
      </c>
      <c r="AA778">
        <f>IF(Z778="N/A","N/A",Z778-V778)</f>
        <v>809.7859999999996</v>
      </c>
      <c r="AB778" s="8">
        <f>IF(Z778&lt;&gt;"N/A", AA778/Z778, "N/A")</f>
        <v>0.17163697622051297</v>
      </c>
      <c r="AC778">
        <f>MONTH(B778)</f>
        <v>7</v>
      </c>
      <c r="AD778">
        <f>YEAR(B778)</f>
        <v>2025</v>
      </c>
      <c r="AE778" s="10">
        <f t="shared" si="12"/>
        <v>4.0000000008149073E-3</v>
      </c>
      <c r="AF778" t="s">
        <v>2804</v>
      </c>
      <c r="AG778" t="s">
        <v>2811</v>
      </c>
    </row>
    <row r="779" spans="1:33">
      <c r="A779" t="s">
        <v>1928</v>
      </c>
      <c r="B779" s="4">
        <v>45753</v>
      </c>
      <c r="C779" s="4">
        <v>45760</v>
      </c>
      <c r="D779">
        <f>_xlfn.DAYS(C779,B779)</f>
        <v>7</v>
      </c>
      <c r="E779" t="s">
        <v>2804</v>
      </c>
      <c r="F779" t="s">
        <v>1929</v>
      </c>
      <c r="G779" t="s">
        <v>89</v>
      </c>
      <c r="H779" t="s">
        <v>24</v>
      </c>
      <c r="I779" t="s">
        <v>2785</v>
      </c>
      <c r="J779" t="s">
        <v>39</v>
      </c>
      <c r="K779" t="s">
        <v>40</v>
      </c>
      <c r="L779" t="s">
        <v>74</v>
      </c>
      <c r="M779" t="s">
        <v>171</v>
      </c>
      <c r="N779" t="s">
        <v>1930</v>
      </c>
      <c r="O779" t="s">
        <v>59</v>
      </c>
      <c r="P779">
        <v>1</v>
      </c>
      <c r="Q779">
        <v>3844.01</v>
      </c>
      <c r="R779">
        <v>0</v>
      </c>
      <c r="S779">
        <f>IF(ISNUMBER(SEARCH("%",R779)), VALUE(SUBSTITUTE(R779,"%",""))/100,IF(ISNUMBER(R779), R779, 0))</f>
        <v>0</v>
      </c>
      <c r="T779" t="str">
        <f>IF(S779&lt;0,"Negative discount (invalid)",IF(S779&gt;0.5,"Discount above allowed range (invalid)",IF(AND(R779="",S779=0),"Missing discount set to 0","OK")))</f>
        <v>OK</v>
      </c>
      <c r="U779">
        <v>3844.01</v>
      </c>
      <c r="V779">
        <v>2195.79</v>
      </c>
      <c r="W779">
        <v>1648.22</v>
      </c>
      <c r="X779" t="s">
        <v>32</v>
      </c>
      <c r="Y779" t="s">
        <v>33</v>
      </c>
      <c r="Z779">
        <f>IF(T779="OK",P779*Q779*(1-S779),"invalid")</f>
        <v>3844.01</v>
      </c>
      <c r="AA779">
        <f>IF(Z779="N/A","N/A",Z779-V779)</f>
        <v>1648.2200000000003</v>
      </c>
      <c r="AB779" s="8">
        <f>IF(Z779&lt;&gt;"N/A", AA779/Z779, "N/A")</f>
        <v>0.42877619985379856</v>
      </c>
      <c r="AC779">
        <f>MONTH(B779)</f>
        <v>4</v>
      </c>
      <c r="AD779">
        <f>YEAR(B779)</f>
        <v>2025</v>
      </c>
      <c r="AE779" s="10">
        <f t="shared" si="12"/>
        <v>0</v>
      </c>
      <c r="AF779" t="s">
        <v>2799</v>
      </c>
      <c r="AG779" t="s">
        <v>2798</v>
      </c>
    </row>
    <row r="780" spans="1:33">
      <c r="A780" t="s">
        <v>1958</v>
      </c>
      <c r="B780" s="4">
        <v>45686</v>
      </c>
      <c r="C780" s="4">
        <v>45694</v>
      </c>
      <c r="D780">
        <f>_xlfn.DAYS(C780,B780)</f>
        <v>8</v>
      </c>
      <c r="E780" t="s">
        <v>2804</v>
      </c>
      <c r="F780" t="s">
        <v>1959</v>
      </c>
      <c r="G780" t="s">
        <v>71</v>
      </c>
      <c r="H780" t="s">
        <v>24</v>
      </c>
      <c r="I780" t="s">
        <v>38</v>
      </c>
      <c r="J780" t="s">
        <v>145</v>
      </c>
      <c r="K780" t="s">
        <v>146</v>
      </c>
      <c r="L780" t="s">
        <v>28</v>
      </c>
      <c r="M780" t="s">
        <v>124</v>
      </c>
      <c r="N780" t="s">
        <v>1960</v>
      </c>
      <c r="O780" t="s">
        <v>59</v>
      </c>
      <c r="P780">
        <v>4</v>
      </c>
      <c r="Q780">
        <v>2759.01</v>
      </c>
      <c r="R780">
        <v>0.05</v>
      </c>
      <c r="S780">
        <f>IF(ISNUMBER(SEARCH("%",R780)), VALUE(SUBSTITUTE(R780,"%",""))/100,IF(ISNUMBER(R780), R780, 0))</f>
        <v>0.05</v>
      </c>
      <c r="T780" t="str">
        <f>IF(S780&lt;0,"Negative discount (invalid)",IF(S780&gt;0.5,"Discount above allowed range (invalid)",IF(AND(R780="",S780=0),"Missing discount set to 0","OK")))</f>
        <v>OK</v>
      </c>
      <c r="U780">
        <v>10484.24</v>
      </c>
      <c r="V780">
        <v>6680.15</v>
      </c>
      <c r="W780">
        <v>3804.09</v>
      </c>
      <c r="X780" t="s">
        <v>32</v>
      </c>
      <c r="Y780" t="s">
        <v>33</v>
      </c>
      <c r="Z780">
        <f>IF(T780="OK",P780*Q780*(1-S780),"invalid")</f>
        <v>10484.238000000001</v>
      </c>
      <c r="AA780">
        <f>IF(Z780="N/A","N/A",Z780-V780)</f>
        <v>3804.0880000000016</v>
      </c>
      <c r="AB780" s="8">
        <f>IF(Z780&lt;&gt;"N/A", AA780/Z780, "N/A")</f>
        <v>0.36283876806306775</v>
      </c>
      <c r="AC780">
        <f>MONTH(B780)</f>
        <v>1</v>
      </c>
      <c r="AD780">
        <f>YEAR(B780)</f>
        <v>2025</v>
      </c>
      <c r="AE780" s="10">
        <f t="shared" si="12"/>
        <v>1.9999999985884642E-3</v>
      </c>
      <c r="AF780" t="s">
        <v>2804</v>
      </c>
      <c r="AG780" t="s">
        <v>2811</v>
      </c>
    </row>
    <row r="781" spans="1:33">
      <c r="A781" t="s">
        <v>1970</v>
      </c>
      <c r="B781" s="4">
        <v>45812</v>
      </c>
      <c r="C781" s="4">
        <v>45815</v>
      </c>
      <c r="D781">
        <f>_xlfn.DAYS(C781,B781)</f>
        <v>3</v>
      </c>
      <c r="E781" t="s">
        <v>2804</v>
      </c>
      <c r="F781" t="s">
        <v>1971</v>
      </c>
      <c r="G781" t="s">
        <v>132</v>
      </c>
      <c r="H781" t="s">
        <v>95</v>
      </c>
      <c r="I781" t="s">
        <v>38</v>
      </c>
      <c r="J781" t="s">
        <v>166</v>
      </c>
      <c r="K781" t="s">
        <v>167</v>
      </c>
      <c r="L781" t="s">
        <v>74</v>
      </c>
      <c r="M781" t="s">
        <v>274</v>
      </c>
      <c r="N781" t="s">
        <v>1972</v>
      </c>
      <c r="O781" t="s">
        <v>59</v>
      </c>
      <c r="P781">
        <v>8</v>
      </c>
      <c r="Q781">
        <v>1434.13</v>
      </c>
      <c r="R781">
        <v>0</v>
      </c>
      <c r="S781">
        <f>IF(ISNUMBER(SEARCH("%",R781)), VALUE(SUBSTITUTE(R781,"%",""))/100,IF(ISNUMBER(R781), R781, 0))</f>
        <v>0</v>
      </c>
      <c r="T781" t="str">
        <f>IF(S781&lt;0,"Negative discount (invalid)",IF(S781&gt;0.5,"Discount above allowed range (invalid)",IF(AND(R781="",S781=0),"Missing discount set to 0","OK")))</f>
        <v>OK</v>
      </c>
      <c r="U781">
        <v>11473.04</v>
      </c>
      <c r="V781">
        <v>8931.33</v>
      </c>
      <c r="W781">
        <v>2541.71</v>
      </c>
      <c r="X781" t="s">
        <v>111</v>
      </c>
      <c r="Y781" t="s">
        <v>103</v>
      </c>
      <c r="Z781">
        <f>IF(T781="OK",P781*Q781*(1-S781),"invalid")</f>
        <v>11473.04</v>
      </c>
      <c r="AA781">
        <f>IF(Z781="N/A","N/A",Z781-V781)</f>
        <v>2541.7100000000009</v>
      </c>
      <c r="AB781" s="8">
        <f>IF(Z781&lt;&gt;"N/A", AA781/Z781, "N/A")</f>
        <v>0.22153762211236086</v>
      </c>
      <c r="AC781">
        <f>MONTH(B781)</f>
        <v>6</v>
      </c>
      <c r="AD781">
        <f>YEAR(B781)</f>
        <v>2025</v>
      </c>
      <c r="AE781" s="10">
        <f t="shared" si="12"/>
        <v>0</v>
      </c>
      <c r="AF781" t="s">
        <v>2804</v>
      </c>
      <c r="AG781" t="s">
        <v>2811</v>
      </c>
    </row>
    <row r="782" spans="1:33">
      <c r="A782" t="s">
        <v>1973</v>
      </c>
      <c r="B782" s="4">
        <v>45701</v>
      </c>
      <c r="C782" s="4">
        <v>45709</v>
      </c>
      <c r="D782">
        <f>_xlfn.DAYS(C782,B782)</f>
        <v>8</v>
      </c>
      <c r="E782" t="s">
        <v>2804</v>
      </c>
      <c r="F782" t="s">
        <v>1974</v>
      </c>
      <c r="G782" t="s">
        <v>23</v>
      </c>
      <c r="H782" t="s">
        <v>37</v>
      </c>
      <c r="I782" t="s">
        <v>54</v>
      </c>
      <c r="J782" t="s">
        <v>185</v>
      </c>
      <c r="K782" t="s">
        <v>186</v>
      </c>
      <c r="L782" t="s">
        <v>74</v>
      </c>
      <c r="M782" t="s">
        <v>171</v>
      </c>
      <c r="N782" t="s">
        <v>1975</v>
      </c>
      <c r="O782" t="s">
        <v>31</v>
      </c>
      <c r="P782">
        <v>2</v>
      </c>
      <c r="Q782">
        <v>2360.02</v>
      </c>
      <c r="R782">
        <v>0.15</v>
      </c>
      <c r="S782">
        <f>IF(ISNUMBER(SEARCH("%",R782)), VALUE(SUBSTITUTE(R782,"%",""))/100,IF(ISNUMBER(R782), R782, 0))</f>
        <v>0.15</v>
      </c>
      <c r="T782" t="str">
        <f>IF(S782&lt;0,"Negative discount (invalid)",IF(S782&gt;0.5,"Discount above allowed range (invalid)",IF(AND(R782="",S782=0),"Missing discount set to 0","OK")))</f>
        <v>OK</v>
      </c>
      <c r="U782">
        <v>4012.03</v>
      </c>
      <c r="V782">
        <v>3142.92</v>
      </c>
      <c r="W782">
        <v>869.11</v>
      </c>
      <c r="X782" t="s">
        <v>111</v>
      </c>
      <c r="Y782" t="s">
        <v>68</v>
      </c>
      <c r="Z782">
        <f>IF(T782="OK",P782*Q782*(1-S782),"invalid")</f>
        <v>4012.0339999999997</v>
      </c>
      <c r="AA782">
        <f>IF(Z782="N/A","N/A",Z782-V782)</f>
        <v>869.11399999999958</v>
      </c>
      <c r="AB782" s="8">
        <f>IF(Z782&lt;&gt;"N/A", AA782/Z782, "N/A")</f>
        <v>0.21662677833737193</v>
      </c>
      <c r="AC782">
        <f>MONTH(B782)</f>
        <v>2</v>
      </c>
      <c r="AD782">
        <f>YEAR(B782)</f>
        <v>2025</v>
      </c>
      <c r="AE782" s="10">
        <f t="shared" si="12"/>
        <v>3.9999999994506652E-3</v>
      </c>
      <c r="AF782" t="s">
        <v>2804</v>
      </c>
      <c r="AG782" t="s">
        <v>2811</v>
      </c>
    </row>
    <row r="783" spans="1:33">
      <c r="A783" t="s">
        <v>1976</v>
      </c>
      <c r="B783" s="4">
        <v>45935</v>
      </c>
      <c r="C783" s="4">
        <v>45942</v>
      </c>
      <c r="D783">
        <f>_xlfn.DAYS(C783,B783)</f>
        <v>7</v>
      </c>
      <c r="E783" t="s">
        <v>2804</v>
      </c>
      <c r="F783" t="s">
        <v>1977</v>
      </c>
      <c r="G783" t="s">
        <v>62</v>
      </c>
      <c r="H783" t="s">
        <v>95</v>
      </c>
      <c r="I783" t="s">
        <v>38</v>
      </c>
      <c r="J783" t="s">
        <v>228</v>
      </c>
      <c r="K783" t="s">
        <v>229</v>
      </c>
      <c r="L783" t="s">
        <v>74</v>
      </c>
      <c r="M783" t="s">
        <v>75</v>
      </c>
      <c r="N783" t="s">
        <v>1978</v>
      </c>
      <c r="O783" t="s">
        <v>44</v>
      </c>
      <c r="P783">
        <v>7</v>
      </c>
      <c r="Q783">
        <v>806.67</v>
      </c>
      <c r="R783">
        <v>0.05</v>
      </c>
      <c r="S783">
        <f>IF(ISNUMBER(SEARCH("%",R783)), VALUE(SUBSTITUTE(R783,"%",""))/100,IF(ISNUMBER(R783), R783, 0))</f>
        <v>0.05</v>
      </c>
      <c r="T783" t="str">
        <f>IF(S783&lt;0,"Negative discount (invalid)",IF(S783&gt;0.5,"Discount above allowed range (invalid)",IF(AND(R783="",S783=0),"Missing discount set to 0","OK")))</f>
        <v>OK</v>
      </c>
      <c r="U783">
        <v>5364.36</v>
      </c>
      <c r="V783">
        <v>4391.29</v>
      </c>
      <c r="W783">
        <v>973.07</v>
      </c>
      <c r="X783" t="s">
        <v>32</v>
      </c>
      <c r="Y783" t="s">
        <v>33</v>
      </c>
      <c r="Z783">
        <f>IF(T783="OK",P783*Q783*(1-S783),"invalid")</f>
        <v>5364.3554999999997</v>
      </c>
      <c r="AA783">
        <f>IF(Z783="N/A","N/A",Z783-V783)</f>
        <v>973.0654999999997</v>
      </c>
      <c r="AB783" s="8">
        <f>IF(Z783&lt;&gt;"N/A", AA783/Z783, "N/A")</f>
        <v>0.18139467080434915</v>
      </c>
      <c r="AC783">
        <f>MONTH(B783)</f>
        <v>10</v>
      </c>
      <c r="AD783">
        <f>YEAR(B783)</f>
        <v>2025</v>
      </c>
      <c r="AE783" s="10">
        <f t="shared" si="12"/>
        <v>4.500000000007276E-3</v>
      </c>
      <c r="AF783" t="s">
        <v>2804</v>
      </c>
      <c r="AG783" t="s">
        <v>2811</v>
      </c>
    </row>
    <row r="784" spans="1:33">
      <c r="A784" t="s">
        <v>1979</v>
      </c>
      <c r="B784" s="4">
        <v>45910</v>
      </c>
      <c r="C784" s="4">
        <v>45914</v>
      </c>
      <c r="D784">
        <f>_xlfn.DAYS(C784,B784)</f>
        <v>4</v>
      </c>
      <c r="E784" t="s">
        <v>2804</v>
      </c>
      <c r="F784" t="s">
        <v>1980</v>
      </c>
      <c r="G784" t="s">
        <v>53</v>
      </c>
      <c r="H784" t="s">
        <v>95</v>
      </c>
      <c r="I784" t="s">
        <v>63</v>
      </c>
      <c r="J784" t="s">
        <v>180</v>
      </c>
      <c r="K784" t="s">
        <v>181</v>
      </c>
      <c r="L784" t="s">
        <v>41</v>
      </c>
      <c r="M784" t="s">
        <v>42</v>
      </c>
      <c r="N784" t="s">
        <v>1981</v>
      </c>
      <c r="O784" t="s">
        <v>44</v>
      </c>
      <c r="P784">
        <v>3</v>
      </c>
      <c r="Q784">
        <v>4198.46</v>
      </c>
      <c r="R784">
        <v>0.15</v>
      </c>
      <c r="S784">
        <f>IF(ISNUMBER(SEARCH("%",R784)), VALUE(SUBSTITUTE(R784,"%",""))/100,IF(ISNUMBER(R784), R784, 0))</f>
        <v>0.15</v>
      </c>
      <c r="T784" t="str">
        <f>IF(S784&lt;0,"Negative discount (invalid)",IF(S784&gt;0.5,"Discount above allowed range (invalid)",IF(AND(R784="",S784=0),"Missing discount set to 0","OK")))</f>
        <v>OK</v>
      </c>
      <c r="U784">
        <v>10706.07</v>
      </c>
      <c r="V784">
        <v>5927.1</v>
      </c>
      <c r="W784">
        <v>4778.97</v>
      </c>
      <c r="X784" t="s">
        <v>32</v>
      </c>
      <c r="Y784" t="s">
        <v>33</v>
      </c>
      <c r="Z784">
        <f>IF(T784="OK",P784*Q784*(1-S784),"invalid")</f>
        <v>10706.073</v>
      </c>
      <c r="AA784">
        <f>IF(Z784="N/A","N/A",Z784-V784)</f>
        <v>4778.973</v>
      </c>
      <c r="AB784" s="8">
        <f>IF(Z784&lt;&gt;"N/A", AA784/Z784, "N/A")</f>
        <v>0.44637963892082555</v>
      </c>
      <c r="AC784">
        <f>MONTH(B784)</f>
        <v>9</v>
      </c>
      <c r="AD784">
        <f>YEAR(B784)</f>
        <v>2025</v>
      </c>
      <c r="AE784" s="10">
        <f t="shared" si="12"/>
        <v>3.0000000006111804E-3</v>
      </c>
      <c r="AF784" t="s">
        <v>2804</v>
      </c>
      <c r="AG784" t="s">
        <v>2811</v>
      </c>
    </row>
    <row r="785" spans="1:33">
      <c r="A785" t="s">
        <v>1988</v>
      </c>
      <c r="B785" s="4">
        <v>45762</v>
      </c>
      <c r="C785" s="4">
        <v>45763</v>
      </c>
      <c r="D785">
        <f>_xlfn.DAYS(C785,B785)</f>
        <v>1</v>
      </c>
      <c r="E785" t="s">
        <v>2804</v>
      </c>
      <c r="F785" t="s">
        <v>1989</v>
      </c>
      <c r="G785" t="s">
        <v>132</v>
      </c>
      <c r="H785" t="s">
        <v>37</v>
      </c>
      <c r="I785" t="s">
        <v>54</v>
      </c>
      <c r="J785" t="s">
        <v>175</v>
      </c>
      <c r="K785" t="s">
        <v>176</v>
      </c>
      <c r="L785" t="s">
        <v>41</v>
      </c>
      <c r="M785" t="s">
        <v>57</v>
      </c>
      <c r="N785" t="s">
        <v>1990</v>
      </c>
      <c r="O785" t="s">
        <v>50</v>
      </c>
      <c r="P785">
        <v>5</v>
      </c>
      <c r="Q785">
        <v>2850.53</v>
      </c>
      <c r="R785">
        <v>0</v>
      </c>
      <c r="S785">
        <f>IF(ISNUMBER(SEARCH("%",R785)), VALUE(SUBSTITUTE(R785,"%",""))/100,IF(ISNUMBER(R785), R785, 0))</f>
        <v>0</v>
      </c>
      <c r="T785" t="str">
        <f>IF(S785&lt;0,"Negative discount (invalid)",IF(S785&gt;0.5,"Discount above allowed range (invalid)",IF(AND(R785="",S785=0),"Missing discount set to 0","OK")))</f>
        <v>OK</v>
      </c>
      <c r="U785">
        <v>14252.65</v>
      </c>
      <c r="V785">
        <v>11558.31</v>
      </c>
      <c r="W785">
        <v>2694.34</v>
      </c>
      <c r="X785" t="s">
        <v>32</v>
      </c>
      <c r="Y785" t="s">
        <v>33</v>
      </c>
      <c r="Z785">
        <f>IF(T785="OK",P785*Q785*(1-S785),"invalid")</f>
        <v>14252.650000000001</v>
      </c>
      <c r="AA785">
        <f>IF(Z785="N/A","N/A",Z785-V785)</f>
        <v>2694.340000000002</v>
      </c>
      <c r="AB785" s="8">
        <f>IF(Z785&lt;&gt;"N/A", AA785/Z785, "N/A")</f>
        <v>0.18904133617257154</v>
      </c>
      <c r="AC785">
        <f>MONTH(B785)</f>
        <v>4</v>
      </c>
      <c r="AD785">
        <f>YEAR(B785)</f>
        <v>2025</v>
      </c>
      <c r="AE785" s="10">
        <f t="shared" si="12"/>
        <v>1.8189894035458565E-12</v>
      </c>
      <c r="AF785" t="s">
        <v>2804</v>
      </c>
      <c r="AG785" t="s">
        <v>2811</v>
      </c>
    </row>
    <row r="786" spans="1:33">
      <c r="A786" t="s">
        <v>1991</v>
      </c>
      <c r="B786" s="4">
        <v>45765</v>
      </c>
      <c r="C786" s="4">
        <v>45767</v>
      </c>
      <c r="D786">
        <f>_xlfn.DAYS(C786,B786)</f>
        <v>2</v>
      </c>
      <c r="E786" t="s">
        <v>2804</v>
      </c>
      <c r="F786" t="s">
        <v>1992</v>
      </c>
      <c r="G786" t="s">
        <v>128</v>
      </c>
      <c r="H786" t="s">
        <v>37</v>
      </c>
      <c r="I786" t="s">
        <v>54</v>
      </c>
      <c r="J786" t="s">
        <v>247</v>
      </c>
      <c r="K786" t="s">
        <v>248</v>
      </c>
      <c r="L786" t="s">
        <v>74</v>
      </c>
      <c r="M786" t="s">
        <v>75</v>
      </c>
      <c r="N786" t="s">
        <v>1993</v>
      </c>
      <c r="O786" t="s">
        <v>31</v>
      </c>
      <c r="P786">
        <v>1</v>
      </c>
      <c r="Q786">
        <v>1626.08</v>
      </c>
      <c r="R786">
        <v>0.15</v>
      </c>
      <c r="S786">
        <f>IF(ISNUMBER(SEARCH("%",R786)), VALUE(SUBSTITUTE(R786,"%",""))/100,IF(ISNUMBER(R786), R786, 0))</f>
        <v>0.15</v>
      </c>
      <c r="T786" t="str">
        <f>IF(S786&lt;0,"Negative discount (invalid)",IF(S786&gt;0.5,"Discount above allowed range (invalid)",IF(AND(R786="",S786=0),"Missing discount set to 0","OK")))</f>
        <v>OK</v>
      </c>
      <c r="U786">
        <v>1382.17</v>
      </c>
      <c r="V786">
        <v>810.03</v>
      </c>
      <c r="W786">
        <v>572.14</v>
      </c>
      <c r="X786" t="s">
        <v>32</v>
      </c>
      <c r="Y786" t="s">
        <v>33</v>
      </c>
      <c r="Z786">
        <f>IF(T786="OK",P786*Q786*(1-S786),"invalid")</f>
        <v>1382.1679999999999</v>
      </c>
      <c r="AA786">
        <f>IF(Z786="N/A","N/A",Z786-V786)</f>
        <v>572.13799999999992</v>
      </c>
      <c r="AB786" s="8">
        <f>IF(Z786&lt;&gt;"N/A", AA786/Z786, "N/A")</f>
        <v>0.4139424440444287</v>
      </c>
      <c r="AC786">
        <f>MONTH(B786)</f>
        <v>4</v>
      </c>
      <c r="AD786">
        <f>YEAR(B786)</f>
        <v>2025</v>
      </c>
      <c r="AE786" s="10">
        <f t="shared" si="12"/>
        <v>2.00000000018008E-3</v>
      </c>
      <c r="AF786" t="s">
        <v>2804</v>
      </c>
      <c r="AG786" t="s">
        <v>2811</v>
      </c>
    </row>
    <row r="787" spans="1:33">
      <c r="A787" t="s">
        <v>1994</v>
      </c>
      <c r="B787" s="4">
        <v>45668</v>
      </c>
      <c r="C787" s="4">
        <v>45669</v>
      </c>
      <c r="D787">
        <f>_xlfn.DAYS(C787,B787)</f>
        <v>1</v>
      </c>
      <c r="E787" t="s">
        <v>2804</v>
      </c>
      <c r="F787" t="s">
        <v>1995</v>
      </c>
      <c r="G787" t="s">
        <v>89</v>
      </c>
      <c r="H787" t="s">
        <v>24</v>
      </c>
      <c r="I787" t="s">
        <v>54</v>
      </c>
      <c r="J787" t="s">
        <v>55</v>
      </c>
      <c r="K787" t="s">
        <v>56</v>
      </c>
      <c r="L787" t="s">
        <v>41</v>
      </c>
      <c r="M787" t="s">
        <v>66</v>
      </c>
      <c r="N787" t="s">
        <v>1996</v>
      </c>
      <c r="O787" t="s">
        <v>31</v>
      </c>
      <c r="P787">
        <v>4</v>
      </c>
      <c r="Q787">
        <v>2427.15</v>
      </c>
      <c r="R787">
        <v>0.05</v>
      </c>
      <c r="S787">
        <f>IF(ISNUMBER(SEARCH("%",R787)), VALUE(SUBSTITUTE(R787,"%",""))/100,IF(ISNUMBER(R787), R787, 0))</f>
        <v>0.05</v>
      </c>
      <c r="T787" t="str">
        <f>IF(S787&lt;0,"Negative discount (invalid)",IF(S787&gt;0.5,"Discount above allowed range (invalid)",IF(AND(R787="",S787=0),"Missing discount set to 0","OK")))</f>
        <v>OK</v>
      </c>
      <c r="U787">
        <v>9223.17</v>
      </c>
      <c r="V787">
        <v>5103.7</v>
      </c>
      <c r="W787">
        <v>4119.47</v>
      </c>
      <c r="X787" t="s">
        <v>32</v>
      </c>
      <c r="Y787" t="s">
        <v>33</v>
      </c>
      <c r="Z787">
        <f>IF(T787="OK",P787*Q787*(1-S787),"invalid")</f>
        <v>9223.17</v>
      </c>
      <c r="AA787">
        <f>IF(Z787="N/A","N/A",Z787-V787)</f>
        <v>4119.47</v>
      </c>
      <c r="AB787" s="8">
        <f>IF(Z787&lt;&gt;"N/A", AA787/Z787, "N/A")</f>
        <v>0.44664361602355807</v>
      </c>
      <c r="AC787">
        <f>MONTH(B787)</f>
        <v>1</v>
      </c>
      <c r="AD787">
        <f>YEAR(B787)</f>
        <v>2025</v>
      </c>
      <c r="AE787" s="10">
        <f t="shared" si="12"/>
        <v>0</v>
      </c>
      <c r="AF787" t="s">
        <v>2804</v>
      </c>
      <c r="AG787" t="s">
        <v>2811</v>
      </c>
    </row>
    <row r="788" spans="1:33">
      <c r="A788" t="s">
        <v>2012</v>
      </c>
      <c r="B788" s="4">
        <v>45671</v>
      </c>
      <c r="C788" s="4">
        <v>45674</v>
      </c>
      <c r="D788">
        <f>_xlfn.DAYS(C788,B788)</f>
        <v>3</v>
      </c>
      <c r="E788" t="s">
        <v>2804</v>
      </c>
      <c r="F788" t="s">
        <v>2013</v>
      </c>
      <c r="G788" t="s">
        <v>71</v>
      </c>
      <c r="H788" t="s">
        <v>24</v>
      </c>
      <c r="I788" t="s">
        <v>63</v>
      </c>
      <c r="J788" t="s">
        <v>190</v>
      </c>
      <c r="K788" t="s">
        <v>191</v>
      </c>
      <c r="L788" t="s">
        <v>28</v>
      </c>
      <c r="M788" t="s">
        <v>124</v>
      </c>
      <c r="N788" t="s">
        <v>2014</v>
      </c>
      <c r="O788" t="s">
        <v>50</v>
      </c>
      <c r="P788">
        <v>1</v>
      </c>
      <c r="Q788">
        <v>1584.12</v>
      </c>
      <c r="R788">
        <v>0.2</v>
      </c>
      <c r="S788">
        <f>IF(ISNUMBER(SEARCH("%",R788)), VALUE(SUBSTITUTE(R788,"%",""))/100,IF(ISNUMBER(R788), R788, 0))</f>
        <v>0.2</v>
      </c>
      <c r="T788" t="str">
        <f>IF(S788&lt;0,"Negative discount (invalid)",IF(S788&gt;0.5,"Discount above allowed range (invalid)",IF(AND(R788="",S788=0),"Missing discount set to 0","OK")))</f>
        <v>OK</v>
      </c>
      <c r="U788">
        <v>1267.3</v>
      </c>
      <c r="V788">
        <v>923.53</v>
      </c>
      <c r="W788">
        <v>343.77</v>
      </c>
      <c r="X788" t="s">
        <v>32</v>
      </c>
      <c r="Y788" t="s">
        <v>33</v>
      </c>
      <c r="Z788">
        <f>IF(T788="OK",P788*Q788*(1-S788),"invalid")</f>
        <v>1267.296</v>
      </c>
      <c r="AA788">
        <f>IF(Z788="N/A","N/A",Z788-V788)</f>
        <v>343.76600000000008</v>
      </c>
      <c r="AB788" s="8">
        <f>IF(Z788&lt;&gt;"N/A", AA788/Z788, "N/A")</f>
        <v>0.27125943741635739</v>
      </c>
      <c r="AC788">
        <f>MONTH(B788)</f>
        <v>1</v>
      </c>
      <c r="AD788">
        <f>YEAR(B788)</f>
        <v>2025</v>
      </c>
      <c r="AE788" s="10">
        <f t="shared" si="12"/>
        <v>3.9999999999054126E-3</v>
      </c>
      <c r="AF788" t="s">
        <v>2804</v>
      </c>
      <c r="AG788" t="s">
        <v>2811</v>
      </c>
    </row>
    <row r="789" spans="1:33">
      <c r="A789" t="s">
        <v>2015</v>
      </c>
      <c r="B789" s="4">
        <v>45756</v>
      </c>
      <c r="C789" s="4">
        <v>45761</v>
      </c>
      <c r="D789">
        <f>_xlfn.DAYS(C789,B789)</f>
        <v>5</v>
      </c>
      <c r="E789" t="s">
        <v>2804</v>
      </c>
      <c r="F789" t="s">
        <v>2016</v>
      </c>
      <c r="G789" t="s">
        <v>23</v>
      </c>
      <c r="H789" t="s">
        <v>24</v>
      </c>
      <c r="I789" t="s">
        <v>25</v>
      </c>
      <c r="J789" t="s">
        <v>350</v>
      </c>
      <c r="K789" t="s">
        <v>351</v>
      </c>
      <c r="L789" t="s">
        <v>41</v>
      </c>
      <c r="M789" t="s">
        <v>57</v>
      </c>
      <c r="N789" t="s">
        <v>2017</v>
      </c>
      <c r="O789" t="s">
        <v>44</v>
      </c>
      <c r="P789">
        <v>2</v>
      </c>
      <c r="Q789">
        <v>3202.87</v>
      </c>
      <c r="R789">
        <v>0</v>
      </c>
      <c r="S789">
        <f>IF(ISNUMBER(SEARCH("%",R789)), VALUE(SUBSTITUTE(R789,"%",""))/100,IF(ISNUMBER(R789), R789, 0))</f>
        <v>0</v>
      </c>
      <c r="T789" t="str">
        <f>IF(S789&lt;0,"Negative discount (invalid)",IF(S789&gt;0.5,"Discount above allowed range (invalid)",IF(AND(R789="",S789=0),"Missing discount set to 0","OK")))</f>
        <v>OK</v>
      </c>
      <c r="U789">
        <v>6405.74</v>
      </c>
      <c r="V789">
        <v>3561.87</v>
      </c>
      <c r="W789">
        <v>2843.87</v>
      </c>
      <c r="X789" t="s">
        <v>32</v>
      </c>
      <c r="Y789" t="s">
        <v>33</v>
      </c>
      <c r="Z789">
        <f>IF(T789="OK",P789*Q789*(1-S789),"invalid")</f>
        <v>6405.74</v>
      </c>
      <c r="AA789">
        <f>IF(Z789="N/A","N/A",Z789-V789)</f>
        <v>2843.87</v>
      </c>
      <c r="AB789" s="8">
        <f>IF(Z789&lt;&gt;"N/A", AA789/Z789, "N/A")</f>
        <v>0.44395651400150488</v>
      </c>
      <c r="AC789">
        <f>MONTH(B789)</f>
        <v>4</v>
      </c>
      <c r="AD789">
        <f>YEAR(B789)</f>
        <v>2025</v>
      </c>
      <c r="AE789" s="10">
        <f t="shared" si="12"/>
        <v>0</v>
      </c>
      <c r="AF789" t="s">
        <v>2804</v>
      </c>
      <c r="AG789" t="s">
        <v>2811</v>
      </c>
    </row>
    <row r="790" spans="1:33">
      <c r="A790" t="s">
        <v>2023</v>
      </c>
      <c r="B790" s="4">
        <v>45757</v>
      </c>
      <c r="C790" s="4">
        <v>45764</v>
      </c>
      <c r="D790">
        <f>_xlfn.DAYS(C790,B790)</f>
        <v>7</v>
      </c>
      <c r="E790" t="s">
        <v>2804</v>
      </c>
      <c r="F790" t="s">
        <v>2024</v>
      </c>
      <c r="G790" t="s">
        <v>71</v>
      </c>
      <c r="H790" t="s">
        <v>24</v>
      </c>
      <c r="I790" t="s">
        <v>38</v>
      </c>
      <c r="J790" t="s">
        <v>99</v>
      </c>
      <c r="K790" t="s">
        <v>100</v>
      </c>
      <c r="L790" t="s">
        <v>41</v>
      </c>
      <c r="M790" t="s">
        <v>66</v>
      </c>
      <c r="N790" t="s">
        <v>2025</v>
      </c>
      <c r="O790" t="s">
        <v>59</v>
      </c>
      <c r="P790">
        <v>4</v>
      </c>
      <c r="Q790">
        <v>3750.02</v>
      </c>
      <c r="R790">
        <v>0.05</v>
      </c>
      <c r="S790">
        <f>IF(ISNUMBER(SEARCH("%",R790)), VALUE(SUBSTITUTE(R790,"%",""))/100,IF(ISNUMBER(R790), R790, 0))</f>
        <v>0.05</v>
      </c>
      <c r="T790" t="str">
        <f>IF(S790&lt;0,"Negative discount (invalid)",IF(S790&gt;0.5,"Discount above allowed range (invalid)",IF(AND(R790="",S790=0),"Missing discount set to 0","OK")))</f>
        <v>OK</v>
      </c>
      <c r="U790">
        <v>14250.08</v>
      </c>
      <c r="V790">
        <v>10914.92</v>
      </c>
      <c r="W790">
        <v>3335.16</v>
      </c>
      <c r="X790" t="s">
        <v>32</v>
      </c>
      <c r="Y790" t="s">
        <v>33</v>
      </c>
      <c r="Z790">
        <f>IF(T790="OK",P790*Q790*(1-S790),"invalid")</f>
        <v>14250.075999999999</v>
      </c>
      <c r="AA790">
        <f>IF(Z790="N/A","N/A",Z790-V790)</f>
        <v>3335.155999999999</v>
      </c>
      <c r="AB790" s="8">
        <f>IF(Z790&lt;&gt;"N/A", AA790/Z790, "N/A")</f>
        <v>0.23404478684885605</v>
      </c>
      <c r="AC790">
        <f>MONTH(B790)</f>
        <v>4</v>
      </c>
      <c r="AD790">
        <f>YEAR(B790)</f>
        <v>2025</v>
      </c>
      <c r="AE790" s="10">
        <f t="shared" si="12"/>
        <v>4.0000000008149073E-3</v>
      </c>
      <c r="AF790" t="s">
        <v>2804</v>
      </c>
      <c r="AG790" t="s">
        <v>2811</v>
      </c>
    </row>
    <row r="791" spans="1:33">
      <c r="A791" t="s">
        <v>2032</v>
      </c>
      <c r="B791" s="4">
        <v>45658</v>
      </c>
      <c r="C791" s="4">
        <v>45666</v>
      </c>
      <c r="D791">
        <f>_xlfn.DAYS(C791,B791)</f>
        <v>8</v>
      </c>
      <c r="E791" t="s">
        <v>2804</v>
      </c>
      <c r="F791" t="s">
        <v>2033</v>
      </c>
      <c r="G791" t="s">
        <v>141</v>
      </c>
      <c r="H791" t="s">
        <v>37</v>
      </c>
      <c r="I791" t="s">
        <v>25</v>
      </c>
      <c r="J791" t="s">
        <v>122</v>
      </c>
      <c r="K791" t="s">
        <v>123</v>
      </c>
      <c r="L791" t="s">
        <v>28</v>
      </c>
      <c r="M791" t="s">
        <v>48</v>
      </c>
      <c r="N791" t="s">
        <v>2034</v>
      </c>
      <c r="O791" t="s">
        <v>50</v>
      </c>
      <c r="P791">
        <v>8</v>
      </c>
      <c r="Q791">
        <v>2123.81</v>
      </c>
      <c r="R791">
        <v>0.15</v>
      </c>
      <c r="S791">
        <f>IF(ISNUMBER(SEARCH("%",R791)), VALUE(SUBSTITUTE(R791,"%",""))/100,IF(ISNUMBER(R791), R791, 0))</f>
        <v>0.15</v>
      </c>
      <c r="T791" t="str">
        <f>IF(S791&lt;0,"Negative discount (invalid)",IF(S791&gt;0.5,"Discount above allowed range (invalid)",IF(AND(R791="",S791=0),"Missing discount set to 0","OK")))</f>
        <v>OK</v>
      </c>
      <c r="U791">
        <v>14441.91</v>
      </c>
      <c r="V791">
        <v>10872.89</v>
      </c>
      <c r="W791">
        <v>3569.02</v>
      </c>
      <c r="X791" t="s">
        <v>32</v>
      </c>
      <c r="Y791" t="s">
        <v>33</v>
      </c>
      <c r="Z791">
        <f>IF(T791="OK",P791*Q791*(1-S791),"invalid")</f>
        <v>14441.907999999999</v>
      </c>
      <c r="AA791">
        <f>IF(Z791="N/A","N/A",Z791-V791)</f>
        <v>3569.018</v>
      </c>
      <c r="AB791" s="8">
        <f>IF(Z791&lt;&gt;"N/A", AA791/Z791, "N/A")</f>
        <v>0.24712925743606731</v>
      </c>
      <c r="AC791">
        <f>MONTH(B791)</f>
        <v>1</v>
      </c>
      <c r="AD791">
        <f>YEAR(B791)</f>
        <v>2025</v>
      </c>
      <c r="AE791" s="10">
        <f t="shared" si="12"/>
        <v>2.0000000004074536E-3</v>
      </c>
      <c r="AF791" t="s">
        <v>2804</v>
      </c>
      <c r="AG791" t="s">
        <v>2811</v>
      </c>
    </row>
    <row r="792" spans="1:33">
      <c r="A792" t="s">
        <v>2038</v>
      </c>
      <c r="B792" s="4">
        <v>45880</v>
      </c>
      <c r="C792" s="4">
        <v>45888</v>
      </c>
      <c r="D792">
        <f>_xlfn.DAYS(C792,B792)</f>
        <v>8</v>
      </c>
      <c r="E792" t="s">
        <v>2804</v>
      </c>
      <c r="F792" t="s">
        <v>2039</v>
      </c>
      <c r="G792" t="s">
        <v>264</v>
      </c>
      <c r="H792" t="s">
        <v>37</v>
      </c>
      <c r="I792" t="s">
        <v>54</v>
      </c>
      <c r="J792" t="s">
        <v>185</v>
      </c>
      <c r="K792" t="s">
        <v>186</v>
      </c>
      <c r="L792" t="s">
        <v>74</v>
      </c>
      <c r="M792" t="s">
        <v>75</v>
      </c>
      <c r="N792" t="s">
        <v>2040</v>
      </c>
      <c r="O792" t="s">
        <v>59</v>
      </c>
      <c r="P792">
        <v>4</v>
      </c>
      <c r="Q792">
        <v>2258.96</v>
      </c>
      <c r="R792">
        <v>0.25</v>
      </c>
      <c r="S792">
        <f>IF(ISNUMBER(SEARCH("%",R792)), VALUE(SUBSTITUTE(R792,"%",""))/100,IF(ISNUMBER(R792), R792, 0))</f>
        <v>0.25</v>
      </c>
      <c r="T792" t="str">
        <f>IF(S792&lt;0,"Negative discount (invalid)",IF(S792&gt;0.5,"Discount above allowed range (invalid)",IF(AND(R792="",S792=0),"Missing discount set to 0","OK")))</f>
        <v>OK</v>
      </c>
      <c r="U792">
        <v>6776.88</v>
      </c>
      <c r="V792">
        <v>3836.24</v>
      </c>
      <c r="W792">
        <v>2940.64</v>
      </c>
      <c r="X792" t="s">
        <v>32</v>
      </c>
      <c r="Y792" t="s">
        <v>33</v>
      </c>
      <c r="Z792">
        <f>IF(T792="OK",P792*Q792*(1-S792),"invalid")</f>
        <v>6776.88</v>
      </c>
      <c r="AA792">
        <f>IF(Z792="N/A","N/A",Z792-V792)</f>
        <v>2940.6400000000003</v>
      </c>
      <c r="AB792" s="8">
        <f>IF(Z792&lt;&gt;"N/A", AA792/Z792, "N/A")</f>
        <v>0.43392239496641527</v>
      </c>
      <c r="AC792">
        <f>MONTH(B792)</f>
        <v>8</v>
      </c>
      <c r="AD792">
        <f>YEAR(B792)</f>
        <v>2025</v>
      </c>
      <c r="AE792" s="10">
        <f t="shared" si="12"/>
        <v>0</v>
      </c>
      <c r="AF792" t="s">
        <v>2804</v>
      </c>
      <c r="AG792" t="s">
        <v>2811</v>
      </c>
    </row>
    <row r="793" spans="1:33">
      <c r="A793" t="s">
        <v>2043</v>
      </c>
      <c r="B793" s="4">
        <v>45875</v>
      </c>
      <c r="C793" s="4">
        <v>45878</v>
      </c>
      <c r="D793">
        <f>_xlfn.DAYS(C793,B793)</f>
        <v>3</v>
      </c>
      <c r="E793" t="s">
        <v>2804</v>
      </c>
      <c r="F793" t="s">
        <v>2044</v>
      </c>
      <c r="G793" t="s">
        <v>36</v>
      </c>
      <c r="H793" t="s">
        <v>37</v>
      </c>
      <c r="I793" t="s">
        <v>54</v>
      </c>
      <c r="J793" t="s">
        <v>84</v>
      </c>
      <c r="K793" t="s">
        <v>85</v>
      </c>
      <c r="L793" t="s">
        <v>28</v>
      </c>
      <c r="M793" t="s">
        <v>29</v>
      </c>
      <c r="N793" t="s">
        <v>2045</v>
      </c>
      <c r="O793" t="s">
        <v>31</v>
      </c>
      <c r="P793">
        <v>3</v>
      </c>
      <c r="Q793">
        <v>598.54999999999995</v>
      </c>
      <c r="R793">
        <v>0</v>
      </c>
      <c r="S793">
        <f>IF(ISNUMBER(SEARCH("%",R793)), VALUE(SUBSTITUTE(R793,"%",""))/100,IF(ISNUMBER(R793), R793, 0))</f>
        <v>0</v>
      </c>
      <c r="T793" t="str">
        <f>IF(S793&lt;0,"Negative discount (invalid)",IF(S793&gt;0.5,"Discount above allowed range (invalid)",IF(AND(R793="",S793=0),"Missing discount set to 0","OK")))</f>
        <v>OK</v>
      </c>
      <c r="U793">
        <v>1795.65</v>
      </c>
      <c r="V793">
        <v>996.72</v>
      </c>
      <c r="W793">
        <v>798.93</v>
      </c>
      <c r="X793" t="s">
        <v>32</v>
      </c>
      <c r="Y793" t="s">
        <v>33</v>
      </c>
      <c r="Z793">
        <f>IF(T793="OK",P793*Q793*(1-S793),"invalid")</f>
        <v>1795.6499999999999</v>
      </c>
      <c r="AA793">
        <f>IF(Z793="N/A","N/A",Z793-V793)</f>
        <v>798.92999999999984</v>
      </c>
      <c r="AB793" s="8">
        <f>IF(Z793&lt;&gt;"N/A", AA793/Z793, "N/A")</f>
        <v>0.44492523598696843</v>
      </c>
      <c r="AC793">
        <f>MONTH(B793)</f>
        <v>8</v>
      </c>
      <c r="AD793">
        <f>YEAR(B793)</f>
        <v>2025</v>
      </c>
      <c r="AE793" s="10">
        <f t="shared" si="12"/>
        <v>2.2737367544323206E-13</v>
      </c>
      <c r="AF793" t="s">
        <v>2804</v>
      </c>
      <c r="AG793" t="s">
        <v>2811</v>
      </c>
    </row>
    <row r="794" spans="1:33">
      <c r="A794" t="s">
        <v>2046</v>
      </c>
      <c r="B794" s="4">
        <v>45733</v>
      </c>
      <c r="C794" s="4">
        <v>45737</v>
      </c>
      <c r="D794">
        <f>_xlfn.DAYS(C794,B794)</f>
        <v>4</v>
      </c>
      <c r="E794" t="s">
        <v>2804</v>
      </c>
      <c r="F794" t="s">
        <v>1690</v>
      </c>
      <c r="G794" t="s">
        <v>132</v>
      </c>
      <c r="H794" t="s">
        <v>24</v>
      </c>
      <c r="I794" t="s">
        <v>25</v>
      </c>
      <c r="J794" t="s">
        <v>136</v>
      </c>
      <c r="K794" t="s">
        <v>137</v>
      </c>
      <c r="L794" t="s">
        <v>28</v>
      </c>
      <c r="M794" t="s">
        <v>153</v>
      </c>
      <c r="N794" t="s">
        <v>2047</v>
      </c>
      <c r="O794" t="s">
        <v>59</v>
      </c>
      <c r="P794">
        <v>5</v>
      </c>
      <c r="Q794">
        <v>4320.59</v>
      </c>
      <c r="R794">
        <v>0.15</v>
      </c>
      <c r="S794">
        <f>IF(ISNUMBER(SEARCH("%",R794)), VALUE(SUBSTITUTE(R794,"%",""))/100,IF(ISNUMBER(R794), R794, 0))</f>
        <v>0.15</v>
      </c>
      <c r="T794" t="str">
        <f>IF(S794&lt;0,"Negative discount (invalid)",IF(S794&gt;0.5,"Discount above allowed range (invalid)",IF(AND(R794="",S794=0),"Missing discount set to 0","OK")))</f>
        <v>OK</v>
      </c>
      <c r="U794">
        <v>18362.509999999998</v>
      </c>
      <c r="V794">
        <v>11133.97</v>
      </c>
      <c r="W794">
        <v>7228.54</v>
      </c>
      <c r="X794" t="s">
        <v>32</v>
      </c>
      <c r="Y794" t="s">
        <v>33</v>
      </c>
      <c r="Z794">
        <f>IF(T794="OK",P794*Q794*(1-S794),"invalid")</f>
        <v>18362.5075</v>
      </c>
      <c r="AA794">
        <f>IF(Z794="N/A","N/A",Z794-V794)</f>
        <v>7228.5375000000004</v>
      </c>
      <c r="AB794" s="8">
        <f>IF(Z794&lt;&gt;"N/A", AA794/Z794, "N/A")</f>
        <v>0.39365742941153326</v>
      </c>
      <c r="AC794">
        <f>MONTH(B794)</f>
        <v>3</v>
      </c>
      <c r="AD794">
        <f>YEAR(B794)</f>
        <v>2025</v>
      </c>
      <c r="AE794" s="10">
        <f t="shared" si="12"/>
        <v>2.4999999986903276E-3</v>
      </c>
      <c r="AF794" t="s">
        <v>2804</v>
      </c>
      <c r="AG794" t="s">
        <v>2811</v>
      </c>
    </row>
    <row r="795" spans="1:33">
      <c r="A795" t="s">
        <v>2048</v>
      </c>
      <c r="B795" s="4">
        <v>45751</v>
      </c>
      <c r="C795" s="4">
        <v>45754</v>
      </c>
      <c r="D795">
        <f>_xlfn.DAYS(C795,B795)</f>
        <v>3</v>
      </c>
      <c r="E795" t="s">
        <v>2804</v>
      </c>
      <c r="F795" t="s">
        <v>2049</v>
      </c>
      <c r="G795" t="s">
        <v>114</v>
      </c>
      <c r="H795" t="s">
        <v>37</v>
      </c>
      <c r="I795" t="s">
        <v>54</v>
      </c>
      <c r="J795" t="s">
        <v>247</v>
      </c>
      <c r="K795" t="s">
        <v>248</v>
      </c>
      <c r="L795" t="s">
        <v>74</v>
      </c>
      <c r="M795" t="s">
        <v>80</v>
      </c>
      <c r="N795" t="s">
        <v>2050</v>
      </c>
      <c r="O795" t="s">
        <v>31</v>
      </c>
      <c r="P795">
        <v>7</v>
      </c>
      <c r="Q795">
        <v>4457.93</v>
      </c>
      <c r="R795">
        <v>0.15</v>
      </c>
      <c r="S795">
        <f>IF(ISNUMBER(SEARCH("%",R795)), VALUE(SUBSTITUTE(R795,"%",""))/100,IF(ISNUMBER(R795), R795, 0))</f>
        <v>0.15</v>
      </c>
      <c r="T795" t="str">
        <f>IF(S795&lt;0,"Negative discount (invalid)",IF(S795&gt;0.5,"Discount above allowed range (invalid)",IF(AND(R795="",S795=0),"Missing discount set to 0","OK")))</f>
        <v>OK</v>
      </c>
      <c r="U795">
        <v>26524.68</v>
      </c>
      <c r="V795">
        <v>20574.3</v>
      </c>
      <c r="W795">
        <v>5950.38</v>
      </c>
      <c r="X795" t="s">
        <v>32</v>
      </c>
      <c r="Y795" t="s">
        <v>33</v>
      </c>
      <c r="Z795">
        <f>IF(T795="OK",P795*Q795*(1-S795),"invalid")</f>
        <v>26524.683500000003</v>
      </c>
      <c r="AA795">
        <f>IF(Z795="N/A","N/A",Z795-V795)</f>
        <v>5950.3835000000036</v>
      </c>
      <c r="AB795" s="8">
        <f>IF(Z795&lt;&gt;"N/A", AA795/Z795, "N/A")</f>
        <v>0.22433381721595294</v>
      </c>
      <c r="AC795">
        <f>MONTH(B795)</f>
        <v>4</v>
      </c>
      <c r="AD795">
        <f>YEAR(B795)</f>
        <v>2025</v>
      </c>
      <c r="AE795" s="10">
        <f t="shared" si="12"/>
        <v>3.5000000025320332E-3</v>
      </c>
      <c r="AF795" t="s">
        <v>2804</v>
      </c>
      <c r="AG795" t="s">
        <v>2811</v>
      </c>
    </row>
    <row r="796" spans="1:33">
      <c r="A796" t="s">
        <v>2051</v>
      </c>
      <c r="B796" s="4">
        <v>45942</v>
      </c>
      <c r="C796" s="4">
        <v>45946</v>
      </c>
      <c r="D796">
        <f>_xlfn.DAYS(C796,B796)</f>
        <v>4</v>
      </c>
      <c r="E796" t="s">
        <v>2804</v>
      </c>
      <c r="F796" t="s">
        <v>928</v>
      </c>
      <c r="G796" t="s">
        <v>162</v>
      </c>
      <c r="H796" t="s">
        <v>90</v>
      </c>
      <c r="I796" t="s">
        <v>38</v>
      </c>
      <c r="J796" t="s">
        <v>145</v>
      </c>
      <c r="K796" t="s">
        <v>146</v>
      </c>
      <c r="L796" t="s">
        <v>74</v>
      </c>
      <c r="M796" t="s">
        <v>274</v>
      </c>
      <c r="N796" t="s">
        <v>2052</v>
      </c>
      <c r="O796" t="s">
        <v>44</v>
      </c>
      <c r="P796">
        <v>1</v>
      </c>
      <c r="Q796">
        <v>2570.06</v>
      </c>
      <c r="R796">
        <v>0.2</v>
      </c>
      <c r="S796">
        <f>IF(ISNUMBER(SEARCH("%",R796)), VALUE(SUBSTITUTE(R796,"%",""))/100,IF(ISNUMBER(R796), R796, 0))</f>
        <v>0.2</v>
      </c>
      <c r="T796" t="str">
        <f>IF(S796&lt;0,"Negative discount (invalid)",IF(S796&gt;0.5,"Discount above allowed range (invalid)",IF(AND(R796="",S796=0),"Missing discount set to 0","OK")))</f>
        <v>OK</v>
      </c>
      <c r="U796">
        <v>2056.0500000000002</v>
      </c>
      <c r="V796">
        <v>1662.39</v>
      </c>
      <c r="W796">
        <v>393.66</v>
      </c>
      <c r="X796" t="s">
        <v>32</v>
      </c>
      <c r="Y796" t="s">
        <v>33</v>
      </c>
      <c r="Z796">
        <f>IF(T796="OK",P796*Q796*(1-S796),"invalid")</f>
        <v>2056.0480000000002</v>
      </c>
      <c r="AA796">
        <f>IF(Z796="N/A","N/A",Z796-V796)</f>
        <v>393.65800000000013</v>
      </c>
      <c r="AB796" s="8">
        <f>IF(Z796&lt;&gt;"N/A", AA796/Z796, "N/A")</f>
        <v>0.19146342886936496</v>
      </c>
      <c r="AC796">
        <f>MONTH(B796)</f>
        <v>10</v>
      </c>
      <c r="AD796">
        <f>YEAR(B796)</f>
        <v>2025</v>
      </c>
      <c r="AE796" s="10">
        <f t="shared" si="12"/>
        <v>1.9999999999527063E-3</v>
      </c>
      <c r="AF796" t="s">
        <v>2804</v>
      </c>
      <c r="AG796" t="s">
        <v>2811</v>
      </c>
    </row>
    <row r="797" spans="1:33">
      <c r="A797" t="s">
        <v>2053</v>
      </c>
      <c r="B797" s="4">
        <v>45895</v>
      </c>
      <c r="C797" s="4">
        <v>45895</v>
      </c>
      <c r="D797">
        <f>_xlfn.DAYS(C797,B797)</f>
        <v>0</v>
      </c>
      <c r="E797" t="s">
        <v>2804</v>
      </c>
      <c r="F797" t="s">
        <v>2054</v>
      </c>
      <c r="G797" t="s">
        <v>79</v>
      </c>
      <c r="H797" t="s">
        <v>95</v>
      </c>
      <c r="I797" t="s">
        <v>38</v>
      </c>
      <c r="J797" t="s">
        <v>99</v>
      </c>
      <c r="K797" t="s">
        <v>100</v>
      </c>
      <c r="L797" t="s">
        <v>41</v>
      </c>
      <c r="M797" t="s">
        <v>57</v>
      </c>
      <c r="N797" t="s">
        <v>2055</v>
      </c>
      <c r="O797" t="s">
        <v>59</v>
      </c>
      <c r="P797">
        <v>4</v>
      </c>
      <c r="Q797">
        <v>2151.8200000000002</v>
      </c>
      <c r="R797">
        <v>0</v>
      </c>
      <c r="S797">
        <f>IF(ISNUMBER(SEARCH("%",R797)), VALUE(SUBSTITUTE(R797,"%",""))/100,IF(ISNUMBER(R797), R797, 0))</f>
        <v>0</v>
      </c>
      <c r="T797" t="str">
        <f>IF(S797&lt;0,"Negative discount (invalid)",IF(S797&gt;0.5,"Discount above allowed range (invalid)",IF(AND(R797="",S797=0),"Missing discount set to 0","OK")))</f>
        <v>OK</v>
      </c>
      <c r="U797">
        <v>8607.2800000000007</v>
      </c>
      <c r="V797">
        <v>5124.01</v>
      </c>
      <c r="W797">
        <v>3483.27</v>
      </c>
      <c r="X797" t="s">
        <v>32</v>
      </c>
      <c r="Y797" t="s">
        <v>33</v>
      </c>
      <c r="Z797">
        <f>IF(T797="OK",P797*Q797*(1-S797),"invalid")</f>
        <v>8607.2800000000007</v>
      </c>
      <c r="AA797">
        <f>IF(Z797="N/A","N/A",Z797-V797)</f>
        <v>3483.2700000000004</v>
      </c>
      <c r="AB797" s="8">
        <f>IF(Z797&lt;&gt;"N/A", AA797/Z797, "N/A")</f>
        <v>0.40468882155570635</v>
      </c>
      <c r="AC797">
        <f>MONTH(B797)</f>
        <v>8</v>
      </c>
      <c r="AD797">
        <f>YEAR(B797)</f>
        <v>2025</v>
      </c>
      <c r="AE797" s="10">
        <f t="shared" si="12"/>
        <v>0</v>
      </c>
      <c r="AF797" t="s">
        <v>2804</v>
      </c>
      <c r="AG797" t="s">
        <v>2811</v>
      </c>
    </row>
    <row r="798" spans="1:33">
      <c r="A798" t="s">
        <v>2059</v>
      </c>
      <c r="B798" s="4">
        <v>45876</v>
      </c>
      <c r="C798" s="4">
        <v>45879</v>
      </c>
      <c r="D798">
        <f>_xlfn.DAYS(C798,B798)</f>
        <v>3</v>
      </c>
      <c r="E798" t="s">
        <v>2804</v>
      </c>
      <c r="F798" t="s">
        <v>2060</v>
      </c>
      <c r="G798" t="s">
        <v>89</v>
      </c>
      <c r="H798" t="s">
        <v>95</v>
      </c>
      <c r="I798" t="s">
        <v>38</v>
      </c>
      <c r="J798" t="s">
        <v>145</v>
      </c>
      <c r="K798" t="s">
        <v>146</v>
      </c>
      <c r="L798" t="s">
        <v>28</v>
      </c>
      <c r="M798" t="s">
        <v>124</v>
      </c>
      <c r="N798" t="s">
        <v>2061</v>
      </c>
      <c r="O798" t="s">
        <v>31</v>
      </c>
      <c r="P798">
        <v>1</v>
      </c>
      <c r="Q798">
        <v>2541.25</v>
      </c>
      <c r="R798">
        <v>0.2</v>
      </c>
      <c r="S798">
        <f>IF(ISNUMBER(SEARCH("%",R798)), VALUE(SUBSTITUTE(R798,"%",""))/100,IF(ISNUMBER(R798), R798, 0))</f>
        <v>0.2</v>
      </c>
      <c r="T798" t="str">
        <f>IF(S798&lt;0,"Negative discount (invalid)",IF(S798&gt;0.5,"Discount above allowed range (invalid)",IF(AND(R798="",S798=0),"Missing discount set to 0","OK")))</f>
        <v>OK</v>
      </c>
      <c r="U798">
        <v>2033</v>
      </c>
      <c r="V798">
        <v>1291.4100000000001</v>
      </c>
      <c r="W798">
        <v>741.59</v>
      </c>
      <c r="X798" t="s">
        <v>32</v>
      </c>
      <c r="Y798" t="s">
        <v>33</v>
      </c>
      <c r="Z798">
        <f>IF(T798="OK",P798*Q798*(1-S798),"invalid")</f>
        <v>2033</v>
      </c>
      <c r="AA798">
        <f>IF(Z798="N/A","N/A",Z798-V798)</f>
        <v>741.58999999999992</v>
      </c>
      <c r="AB798" s="8">
        <f>IF(Z798&lt;&gt;"N/A", AA798/Z798, "N/A")</f>
        <v>0.36477619281849477</v>
      </c>
      <c r="AC798">
        <f>MONTH(B798)</f>
        <v>8</v>
      </c>
      <c r="AD798">
        <f>YEAR(B798)</f>
        <v>2025</v>
      </c>
      <c r="AE798" s="10">
        <f t="shared" si="12"/>
        <v>0</v>
      </c>
      <c r="AF798" t="s">
        <v>2804</v>
      </c>
      <c r="AG798" t="s">
        <v>2811</v>
      </c>
    </row>
    <row r="799" spans="1:33">
      <c r="A799" t="s">
        <v>2062</v>
      </c>
      <c r="B799" s="4">
        <v>45817</v>
      </c>
      <c r="C799" s="4">
        <v>45820</v>
      </c>
      <c r="D799">
        <f>_xlfn.DAYS(C799,B799)</f>
        <v>3</v>
      </c>
      <c r="E799" t="s">
        <v>2804</v>
      </c>
      <c r="F799" t="s">
        <v>2063</v>
      </c>
      <c r="G799" t="s">
        <v>132</v>
      </c>
      <c r="H799" t="s">
        <v>24</v>
      </c>
      <c r="I799" t="s">
        <v>2785</v>
      </c>
      <c r="J799" t="s">
        <v>145</v>
      </c>
      <c r="K799" t="s">
        <v>146</v>
      </c>
      <c r="L799" t="s">
        <v>28</v>
      </c>
      <c r="M799" t="s">
        <v>48</v>
      </c>
      <c r="N799" t="s">
        <v>2064</v>
      </c>
      <c r="O799" t="s">
        <v>50</v>
      </c>
      <c r="P799">
        <v>7</v>
      </c>
      <c r="Q799">
        <v>2852.42</v>
      </c>
      <c r="R799">
        <v>0</v>
      </c>
      <c r="S799">
        <f>IF(ISNUMBER(SEARCH("%",R799)), VALUE(SUBSTITUTE(R799,"%",""))/100,IF(ISNUMBER(R799), R799, 0))</f>
        <v>0</v>
      </c>
      <c r="T799" t="str">
        <f>IF(S799&lt;0,"Negative discount (invalid)",IF(S799&gt;0.5,"Discount above allowed range (invalid)",IF(AND(R799="",S799=0),"Missing discount set to 0","OK")))</f>
        <v>OK</v>
      </c>
      <c r="U799">
        <v>19966.939999999999</v>
      </c>
      <c r="V799">
        <v>12690.83</v>
      </c>
      <c r="W799">
        <v>7276.11</v>
      </c>
      <c r="X799" t="s">
        <v>102</v>
      </c>
      <c r="Y799" t="s">
        <v>68</v>
      </c>
      <c r="Z799">
        <f>IF(T799="OK",P799*Q799*(1-S799),"invalid")</f>
        <v>19966.940000000002</v>
      </c>
      <c r="AA799">
        <f>IF(Z799="N/A","N/A",Z799-V799)</f>
        <v>7276.1100000000024</v>
      </c>
      <c r="AB799" s="8">
        <f>IF(Z799&lt;&gt;"N/A", AA799/Z799, "N/A")</f>
        <v>0.36440786620283339</v>
      </c>
      <c r="AC799">
        <f>MONTH(B799)</f>
        <v>6</v>
      </c>
      <c r="AD799">
        <f>YEAR(B799)</f>
        <v>2025</v>
      </c>
      <c r="AE799" s="10">
        <f t="shared" si="12"/>
        <v>3.637978807091713E-12</v>
      </c>
      <c r="AF799" t="s">
        <v>2799</v>
      </c>
      <c r="AG799" t="s">
        <v>2798</v>
      </c>
    </row>
    <row r="800" spans="1:33">
      <c r="A800" t="s">
        <v>2065</v>
      </c>
      <c r="B800" s="4">
        <v>45678</v>
      </c>
      <c r="C800" s="4">
        <v>45679</v>
      </c>
      <c r="D800">
        <f>_xlfn.DAYS(C800,B800)</f>
        <v>1</v>
      </c>
      <c r="E800" t="s">
        <v>2804</v>
      </c>
      <c r="F800" t="s">
        <v>2066</v>
      </c>
      <c r="G800" t="s">
        <v>162</v>
      </c>
      <c r="H800" t="s">
        <v>90</v>
      </c>
      <c r="I800" t="s">
        <v>54</v>
      </c>
      <c r="J800" t="s">
        <v>175</v>
      </c>
      <c r="K800" t="s">
        <v>176</v>
      </c>
      <c r="L800" t="s">
        <v>74</v>
      </c>
      <c r="M800" t="s">
        <v>171</v>
      </c>
      <c r="N800" t="s">
        <v>2067</v>
      </c>
      <c r="O800" t="s">
        <v>31</v>
      </c>
      <c r="P800">
        <v>2</v>
      </c>
      <c r="Q800">
        <v>444.31</v>
      </c>
      <c r="R800">
        <v>0.2</v>
      </c>
      <c r="S800">
        <f>IF(ISNUMBER(SEARCH("%",R800)), VALUE(SUBSTITUTE(R800,"%",""))/100,IF(ISNUMBER(R800), R800, 0))</f>
        <v>0.2</v>
      </c>
      <c r="T800" t="str">
        <f>IF(S800&lt;0,"Negative discount (invalid)",IF(S800&gt;0.5,"Discount above allowed range (invalid)",IF(AND(R800="",S800=0),"Missing discount set to 0","OK")))</f>
        <v>OK</v>
      </c>
      <c r="U800">
        <v>710.9</v>
      </c>
      <c r="V800">
        <v>513.88</v>
      </c>
      <c r="W800">
        <v>197.02</v>
      </c>
      <c r="X800" t="s">
        <v>102</v>
      </c>
      <c r="Y800" t="s">
        <v>68</v>
      </c>
      <c r="Z800">
        <f>IF(T800="OK",P800*Q800*(1-S800),"invalid")</f>
        <v>710.89600000000007</v>
      </c>
      <c r="AA800">
        <f>IF(Z800="N/A","N/A",Z800-V800)</f>
        <v>197.01600000000008</v>
      </c>
      <c r="AB800" s="8">
        <f>IF(Z800&lt;&gt;"N/A", AA800/Z800, "N/A")</f>
        <v>0.27713758411919615</v>
      </c>
      <c r="AC800">
        <f>MONTH(B800)</f>
        <v>1</v>
      </c>
      <c r="AD800">
        <f>YEAR(B800)</f>
        <v>2025</v>
      </c>
      <c r="AE800" s="10">
        <f t="shared" si="12"/>
        <v>3.9999999999054126E-3</v>
      </c>
      <c r="AF800" t="s">
        <v>2804</v>
      </c>
      <c r="AG800" t="s">
        <v>2811</v>
      </c>
    </row>
    <row r="801" spans="1:33">
      <c r="A801" t="s">
        <v>2068</v>
      </c>
      <c r="B801" s="4">
        <v>45853</v>
      </c>
      <c r="C801" s="4">
        <v>45853</v>
      </c>
      <c r="D801">
        <f>_xlfn.DAYS(C801,B801)</f>
        <v>0</v>
      </c>
      <c r="E801" t="s">
        <v>2804</v>
      </c>
      <c r="F801" t="s">
        <v>2069</v>
      </c>
      <c r="G801" t="s">
        <v>53</v>
      </c>
      <c r="H801" t="s">
        <v>37</v>
      </c>
      <c r="I801" t="s">
        <v>38</v>
      </c>
      <c r="J801" t="s">
        <v>228</v>
      </c>
      <c r="K801" t="s">
        <v>229</v>
      </c>
      <c r="L801" t="s">
        <v>74</v>
      </c>
      <c r="M801" t="s">
        <v>171</v>
      </c>
      <c r="N801" t="s">
        <v>2070</v>
      </c>
      <c r="O801" t="s">
        <v>44</v>
      </c>
      <c r="P801">
        <v>4</v>
      </c>
      <c r="Q801">
        <v>4442.91</v>
      </c>
      <c r="R801">
        <v>0.1</v>
      </c>
      <c r="S801">
        <f>IF(ISNUMBER(SEARCH("%",R801)), VALUE(SUBSTITUTE(R801,"%",""))/100,IF(ISNUMBER(R801), R801, 0))</f>
        <v>0.1</v>
      </c>
      <c r="T801" t="str">
        <f>IF(S801&lt;0,"Negative discount (invalid)",IF(S801&gt;0.5,"Discount above allowed range (invalid)",IF(AND(R801="",S801=0),"Missing discount set to 0","OK")))</f>
        <v>OK</v>
      </c>
      <c r="U801">
        <v>15994.48</v>
      </c>
      <c r="V801">
        <v>9224.2800000000007</v>
      </c>
      <c r="W801">
        <v>6770.2</v>
      </c>
      <c r="X801" t="s">
        <v>32</v>
      </c>
      <c r="Y801" t="s">
        <v>33</v>
      </c>
      <c r="Z801">
        <f>IF(T801="OK",P801*Q801*(1-S801),"invalid")</f>
        <v>15994.476000000001</v>
      </c>
      <c r="AA801">
        <f>IF(Z801="N/A","N/A",Z801-V801)</f>
        <v>6770.1959999999999</v>
      </c>
      <c r="AB801" s="8">
        <f>IF(Z801&lt;&gt;"N/A", AA801/Z801, "N/A")</f>
        <v>0.42328338858991066</v>
      </c>
      <c r="AC801">
        <f>MONTH(B801)</f>
        <v>7</v>
      </c>
      <c r="AD801">
        <f>YEAR(B801)</f>
        <v>2025</v>
      </c>
      <c r="AE801" s="10">
        <f t="shared" si="12"/>
        <v>3.9999999989959178E-3</v>
      </c>
      <c r="AF801" t="s">
        <v>2804</v>
      </c>
      <c r="AG801" t="s">
        <v>2811</v>
      </c>
    </row>
    <row r="802" spans="1:33">
      <c r="A802" t="s">
        <v>2083</v>
      </c>
      <c r="B802" s="4">
        <v>45670</v>
      </c>
      <c r="C802" s="4">
        <v>45670</v>
      </c>
      <c r="D802">
        <f>_xlfn.DAYS(C802,B802)</f>
        <v>0</v>
      </c>
      <c r="E802" t="s">
        <v>2804</v>
      </c>
      <c r="F802" t="s">
        <v>2084</v>
      </c>
      <c r="G802" t="s">
        <v>118</v>
      </c>
      <c r="H802" t="s">
        <v>95</v>
      </c>
      <c r="I802" t="s">
        <v>63</v>
      </c>
      <c r="J802" t="s">
        <v>180</v>
      </c>
      <c r="K802" t="s">
        <v>181</v>
      </c>
      <c r="L802" t="s">
        <v>28</v>
      </c>
      <c r="M802" t="s">
        <v>48</v>
      </c>
      <c r="N802" t="s">
        <v>2085</v>
      </c>
      <c r="O802" t="s">
        <v>59</v>
      </c>
      <c r="P802">
        <v>3</v>
      </c>
      <c r="Q802">
        <v>2110.52</v>
      </c>
      <c r="R802">
        <v>0.1</v>
      </c>
      <c r="S802">
        <f>IF(ISNUMBER(SEARCH("%",R802)), VALUE(SUBSTITUTE(R802,"%",""))/100,IF(ISNUMBER(R802), R802, 0))</f>
        <v>0.1</v>
      </c>
      <c r="T802" t="str">
        <f>IF(S802&lt;0,"Negative discount (invalid)",IF(S802&gt;0.5,"Discount above allowed range (invalid)",IF(AND(R802="",S802=0),"Missing discount set to 0","OK")))</f>
        <v>OK</v>
      </c>
      <c r="U802">
        <v>5698.4</v>
      </c>
      <c r="V802">
        <v>3640.89</v>
      </c>
      <c r="W802">
        <v>2057.5100000000002</v>
      </c>
      <c r="X802" t="s">
        <v>155</v>
      </c>
      <c r="Y802" t="s">
        <v>68</v>
      </c>
      <c r="Z802">
        <f>IF(T802="OK",P802*Q802*(1-S802),"invalid")</f>
        <v>5698.4039999999995</v>
      </c>
      <c r="AA802">
        <f>IF(Z802="N/A","N/A",Z802-V802)</f>
        <v>2057.5139999999997</v>
      </c>
      <c r="AB802" s="8">
        <f>IF(Z802&lt;&gt;"N/A", AA802/Z802, "N/A")</f>
        <v>0.36106846759197836</v>
      </c>
      <c r="AC802">
        <f>MONTH(B802)</f>
        <v>1</v>
      </c>
      <c r="AD802">
        <f>YEAR(B802)</f>
        <v>2025</v>
      </c>
      <c r="AE802" s="10">
        <f t="shared" si="12"/>
        <v>3.9999999999054126E-3</v>
      </c>
      <c r="AF802" t="s">
        <v>2804</v>
      </c>
      <c r="AG802" t="s">
        <v>2811</v>
      </c>
    </row>
    <row r="803" spans="1:33">
      <c r="A803" t="s">
        <v>2089</v>
      </c>
      <c r="B803" s="4">
        <v>45797</v>
      </c>
      <c r="C803" s="4">
        <v>45804</v>
      </c>
      <c r="D803">
        <f>_xlfn.DAYS(C803,B803)</f>
        <v>7</v>
      </c>
      <c r="E803" t="s">
        <v>2804</v>
      </c>
      <c r="F803" t="s">
        <v>2090</v>
      </c>
      <c r="G803" t="s">
        <v>162</v>
      </c>
      <c r="H803" t="s">
        <v>37</v>
      </c>
      <c r="I803" t="s">
        <v>38</v>
      </c>
      <c r="J803" t="s">
        <v>145</v>
      </c>
      <c r="K803" t="s">
        <v>146</v>
      </c>
      <c r="L803" t="s">
        <v>74</v>
      </c>
      <c r="M803" t="s">
        <v>274</v>
      </c>
      <c r="N803" t="s">
        <v>2091</v>
      </c>
      <c r="O803" t="s">
        <v>59</v>
      </c>
      <c r="P803">
        <v>1</v>
      </c>
      <c r="Q803">
        <v>3959.14</v>
      </c>
      <c r="R803">
        <v>0</v>
      </c>
      <c r="S803">
        <f>IF(ISNUMBER(SEARCH("%",R803)), VALUE(SUBSTITUTE(R803,"%",""))/100,IF(ISNUMBER(R803), R803, 0))</f>
        <v>0</v>
      </c>
      <c r="T803" t="str">
        <f>IF(S803&lt;0,"Negative discount (invalid)",IF(S803&gt;0.5,"Discount above allowed range (invalid)",IF(AND(R803="",S803=0),"Missing discount set to 0","OK")))</f>
        <v>OK</v>
      </c>
      <c r="U803">
        <v>3959.14</v>
      </c>
      <c r="V803">
        <v>3239.53</v>
      </c>
      <c r="W803">
        <v>719.61</v>
      </c>
      <c r="X803" t="s">
        <v>111</v>
      </c>
      <c r="Y803" t="s">
        <v>103</v>
      </c>
      <c r="Z803">
        <f>IF(T803="OK",P803*Q803*(1-S803),"invalid")</f>
        <v>3959.14</v>
      </c>
      <c r="AA803">
        <f>IF(Z803="N/A","N/A",Z803-V803)</f>
        <v>719.60999999999967</v>
      </c>
      <c r="AB803" s="8">
        <f>IF(Z803&lt;&gt;"N/A", AA803/Z803, "N/A")</f>
        <v>0.18175916992074029</v>
      </c>
      <c r="AC803">
        <f>MONTH(B803)</f>
        <v>5</v>
      </c>
      <c r="AD803">
        <f>YEAR(B803)</f>
        <v>2025</v>
      </c>
      <c r="AE803" s="10">
        <f t="shared" si="12"/>
        <v>0</v>
      </c>
      <c r="AF803" t="s">
        <v>2804</v>
      </c>
      <c r="AG803" t="s">
        <v>2811</v>
      </c>
    </row>
    <row r="804" spans="1:33">
      <c r="A804" t="s">
        <v>2098</v>
      </c>
      <c r="B804" s="4">
        <v>45690</v>
      </c>
      <c r="C804" s="4">
        <v>45694</v>
      </c>
      <c r="D804">
        <f>_xlfn.DAYS(C804,B804)</f>
        <v>4</v>
      </c>
      <c r="E804" t="s">
        <v>2804</v>
      </c>
      <c r="F804" t="s">
        <v>1600</v>
      </c>
      <c r="G804" t="s">
        <v>132</v>
      </c>
      <c r="H804" t="s">
        <v>90</v>
      </c>
      <c r="I804" t="s">
        <v>25</v>
      </c>
      <c r="J804" t="s">
        <v>136</v>
      </c>
      <c r="K804" t="s">
        <v>137</v>
      </c>
      <c r="L804" t="s">
        <v>41</v>
      </c>
      <c r="M804" t="s">
        <v>42</v>
      </c>
      <c r="N804" t="s">
        <v>2099</v>
      </c>
      <c r="O804" t="s">
        <v>59</v>
      </c>
      <c r="P804">
        <v>8</v>
      </c>
      <c r="Q804">
        <v>857.86</v>
      </c>
      <c r="R804">
        <v>0.1</v>
      </c>
      <c r="S804">
        <f>IF(ISNUMBER(SEARCH("%",R804)), VALUE(SUBSTITUTE(R804,"%",""))/100,IF(ISNUMBER(R804), R804, 0))</f>
        <v>0.1</v>
      </c>
      <c r="T804" t="str">
        <f>IF(S804&lt;0,"Negative discount (invalid)",IF(S804&gt;0.5,"Discount above allowed range (invalid)",IF(AND(R804="",S804=0),"Missing discount set to 0","OK")))</f>
        <v>OK</v>
      </c>
      <c r="U804">
        <v>6176.59</v>
      </c>
      <c r="V804">
        <v>3560.96</v>
      </c>
      <c r="W804">
        <v>2615.63</v>
      </c>
      <c r="X804" t="s">
        <v>32</v>
      </c>
      <c r="Y804" t="s">
        <v>33</v>
      </c>
      <c r="Z804">
        <f>IF(T804="OK",P804*Q804*(1-S804),"invalid")</f>
        <v>6176.5920000000006</v>
      </c>
      <c r="AA804">
        <f>IF(Z804="N/A","N/A",Z804-V804)</f>
        <v>2615.6320000000005</v>
      </c>
      <c r="AB804" s="8">
        <f>IF(Z804&lt;&gt;"N/A", AA804/Z804, "N/A")</f>
        <v>0.42347495188285067</v>
      </c>
      <c r="AC804">
        <f>MONTH(B804)</f>
        <v>2</v>
      </c>
      <c r="AD804">
        <f>YEAR(B804)</f>
        <v>2025</v>
      </c>
      <c r="AE804" s="10">
        <f t="shared" si="12"/>
        <v>2.0000000004074536E-3</v>
      </c>
      <c r="AF804" t="s">
        <v>2804</v>
      </c>
      <c r="AG804" t="s">
        <v>2811</v>
      </c>
    </row>
    <row r="805" spans="1:33">
      <c r="A805" t="s">
        <v>2106</v>
      </c>
      <c r="B805" s="4">
        <v>45701</v>
      </c>
      <c r="C805" s="4">
        <v>45704</v>
      </c>
      <c r="D805">
        <f>_xlfn.DAYS(C805,B805)</f>
        <v>3</v>
      </c>
      <c r="E805" t="s">
        <v>2804</v>
      </c>
      <c r="F805" t="s">
        <v>2107</v>
      </c>
      <c r="G805" t="s">
        <v>53</v>
      </c>
      <c r="H805" t="s">
        <v>37</v>
      </c>
      <c r="I805" t="s">
        <v>63</v>
      </c>
      <c r="J805" t="s">
        <v>26</v>
      </c>
      <c r="K805" t="s">
        <v>109</v>
      </c>
      <c r="L805" t="s">
        <v>41</v>
      </c>
      <c r="M805" t="s">
        <v>158</v>
      </c>
      <c r="N805" t="s">
        <v>2108</v>
      </c>
      <c r="O805" t="s">
        <v>31</v>
      </c>
      <c r="P805">
        <v>4</v>
      </c>
      <c r="Q805">
        <v>4072.9</v>
      </c>
      <c r="R805">
        <v>0.15</v>
      </c>
      <c r="S805">
        <f>IF(ISNUMBER(SEARCH("%",R805)), VALUE(SUBSTITUTE(R805,"%",""))/100,IF(ISNUMBER(R805), R805, 0))</f>
        <v>0.15</v>
      </c>
      <c r="T805" t="str">
        <f>IF(S805&lt;0,"Negative discount (invalid)",IF(S805&gt;0.5,"Discount above allowed range (invalid)",IF(AND(R805="",S805=0),"Missing discount set to 0","OK")))</f>
        <v>OK</v>
      </c>
      <c r="U805">
        <v>13847.86</v>
      </c>
      <c r="V805">
        <v>8471.7800000000007</v>
      </c>
      <c r="W805">
        <v>5376.08</v>
      </c>
      <c r="X805" t="s">
        <v>32</v>
      </c>
      <c r="Y805" t="s">
        <v>33</v>
      </c>
      <c r="Z805">
        <f>IF(T805="OK",P805*Q805*(1-S805),"invalid")</f>
        <v>13847.86</v>
      </c>
      <c r="AA805">
        <f>IF(Z805="N/A","N/A",Z805-V805)</f>
        <v>5376.08</v>
      </c>
      <c r="AB805" s="8">
        <f>IF(Z805&lt;&gt;"N/A", AA805/Z805, "N/A")</f>
        <v>0.38822460654570451</v>
      </c>
      <c r="AC805">
        <f>MONTH(B805)</f>
        <v>2</v>
      </c>
      <c r="AD805">
        <f>YEAR(B805)</f>
        <v>2025</v>
      </c>
      <c r="AE805" s="10">
        <f t="shared" si="12"/>
        <v>0</v>
      </c>
      <c r="AF805" t="s">
        <v>2804</v>
      </c>
      <c r="AG805" t="s">
        <v>2811</v>
      </c>
    </row>
    <row r="806" spans="1:33">
      <c r="A806" t="s">
        <v>2112</v>
      </c>
      <c r="B806" s="4">
        <v>45815</v>
      </c>
      <c r="C806" s="4">
        <v>45818</v>
      </c>
      <c r="D806">
        <f>_xlfn.DAYS(C806,B806)</f>
        <v>3</v>
      </c>
      <c r="E806" t="s">
        <v>2804</v>
      </c>
      <c r="F806" t="s">
        <v>2013</v>
      </c>
      <c r="G806" t="s">
        <v>128</v>
      </c>
      <c r="H806" t="s">
        <v>24</v>
      </c>
      <c r="I806" t="s">
        <v>25</v>
      </c>
      <c r="J806" t="s">
        <v>26</v>
      </c>
      <c r="K806" t="s">
        <v>27</v>
      </c>
      <c r="L806" t="s">
        <v>41</v>
      </c>
      <c r="M806" t="s">
        <v>57</v>
      </c>
      <c r="N806" t="s">
        <v>2113</v>
      </c>
      <c r="O806" t="s">
        <v>44</v>
      </c>
      <c r="P806">
        <v>3</v>
      </c>
      <c r="Q806">
        <v>963.26</v>
      </c>
      <c r="R806">
        <v>0</v>
      </c>
      <c r="S806">
        <f>IF(ISNUMBER(SEARCH("%",R806)), VALUE(SUBSTITUTE(R806,"%",""))/100,IF(ISNUMBER(R806), R806, 0))</f>
        <v>0</v>
      </c>
      <c r="T806" t="str">
        <f>IF(S806&lt;0,"Negative discount (invalid)",IF(S806&gt;0.5,"Discount above allowed range (invalid)",IF(AND(R806="",S806=0),"Missing discount set to 0","OK")))</f>
        <v>OK</v>
      </c>
      <c r="U806">
        <v>2889.78</v>
      </c>
      <c r="V806">
        <v>1811.23</v>
      </c>
      <c r="W806">
        <v>1078.55</v>
      </c>
      <c r="X806" t="s">
        <v>32</v>
      </c>
      <c r="Y806" t="s">
        <v>33</v>
      </c>
      <c r="Z806">
        <f>IF(T806="OK",P806*Q806*(1-S806),"invalid")</f>
        <v>2889.7799999999997</v>
      </c>
      <c r="AA806">
        <f>IF(Z806="N/A","N/A",Z806-V806)</f>
        <v>1078.5499999999997</v>
      </c>
      <c r="AB806" s="8">
        <f>IF(Z806&lt;&gt;"N/A", AA806/Z806, "N/A")</f>
        <v>0.37322910394562903</v>
      </c>
      <c r="AC806">
        <f>MONTH(B806)</f>
        <v>6</v>
      </c>
      <c r="AD806">
        <f>YEAR(B806)</f>
        <v>2025</v>
      </c>
      <c r="AE806" s="10">
        <f t="shared" si="12"/>
        <v>4.5474735088646412E-13</v>
      </c>
      <c r="AF806" t="s">
        <v>2804</v>
      </c>
      <c r="AG806" t="s">
        <v>2811</v>
      </c>
    </row>
    <row r="807" spans="1:33">
      <c r="A807" t="s">
        <v>2114</v>
      </c>
      <c r="B807" s="4">
        <v>45911</v>
      </c>
      <c r="C807" s="4">
        <v>45918</v>
      </c>
      <c r="D807">
        <f>_xlfn.DAYS(C807,B807)</f>
        <v>7</v>
      </c>
      <c r="E807" t="s">
        <v>2804</v>
      </c>
      <c r="F807" t="s">
        <v>2115</v>
      </c>
      <c r="G807" t="s">
        <v>118</v>
      </c>
      <c r="H807" t="s">
        <v>37</v>
      </c>
      <c r="I807" t="s">
        <v>25</v>
      </c>
      <c r="J807" t="s">
        <v>350</v>
      </c>
      <c r="K807" t="s">
        <v>351</v>
      </c>
      <c r="L807" t="s">
        <v>74</v>
      </c>
      <c r="M807" t="s">
        <v>171</v>
      </c>
      <c r="N807" t="s">
        <v>2116</v>
      </c>
      <c r="O807" t="s">
        <v>44</v>
      </c>
      <c r="P807">
        <v>7</v>
      </c>
      <c r="Q807">
        <v>3411.21</v>
      </c>
      <c r="R807">
        <v>0.15</v>
      </c>
      <c r="S807">
        <f>IF(ISNUMBER(SEARCH("%",R807)), VALUE(SUBSTITUTE(R807,"%",""))/100,IF(ISNUMBER(R807), R807, 0))</f>
        <v>0.15</v>
      </c>
      <c r="T807" t="str">
        <f>IF(S807&lt;0,"Negative discount (invalid)",IF(S807&gt;0.5,"Discount above allowed range (invalid)",IF(AND(R807="",S807=0),"Missing discount set to 0","OK")))</f>
        <v>OK</v>
      </c>
      <c r="U807">
        <v>20296.7</v>
      </c>
      <c r="V807">
        <v>14920.87</v>
      </c>
      <c r="W807">
        <v>5375.83</v>
      </c>
      <c r="X807" t="s">
        <v>32</v>
      </c>
      <c r="Y807" t="s">
        <v>33</v>
      </c>
      <c r="Z807">
        <f>IF(T807="OK",P807*Q807*(1-S807),"invalid")</f>
        <v>20296.699499999999</v>
      </c>
      <c r="AA807">
        <f>IF(Z807="N/A","N/A",Z807-V807)</f>
        <v>5375.829499999998</v>
      </c>
      <c r="AB807" s="8">
        <f>IF(Z807&lt;&gt;"N/A", AA807/Z807, "N/A")</f>
        <v>0.26486225014071862</v>
      </c>
      <c r="AC807">
        <f>MONTH(B807)</f>
        <v>9</v>
      </c>
      <c r="AD807">
        <f>YEAR(B807)</f>
        <v>2025</v>
      </c>
      <c r="AE807" s="10">
        <f t="shared" si="12"/>
        <v>5.0000000192085281E-4</v>
      </c>
      <c r="AF807" t="s">
        <v>2804</v>
      </c>
      <c r="AG807" t="s">
        <v>2811</v>
      </c>
    </row>
    <row r="808" spans="1:33">
      <c r="A808" t="s">
        <v>2122</v>
      </c>
      <c r="B808" s="4">
        <v>45885</v>
      </c>
      <c r="C808" s="4">
        <v>45892</v>
      </c>
      <c r="D808">
        <f>_xlfn.DAYS(C808,B808)</f>
        <v>7</v>
      </c>
      <c r="E808" t="s">
        <v>2804</v>
      </c>
      <c r="F808" t="s">
        <v>2123</v>
      </c>
      <c r="G808" t="s">
        <v>141</v>
      </c>
      <c r="H808" t="s">
        <v>90</v>
      </c>
      <c r="I808" t="s">
        <v>25</v>
      </c>
      <c r="J808" t="s">
        <v>122</v>
      </c>
      <c r="K808" t="s">
        <v>123</v>
      </c>
      <c r="L808" t="s">
        <v>74</v>
      </c>
      <c r="M808" t="s">
        <v>80</v>
      </c>
      <c r="N808" t="s">
        <v>2124</v>
      </c>
      <c r="O808" t="s">
        <v>44</v>
      </c>
      <c r="P808">
        <v>4</v>
      </c>
      <c r="Q808">
        <v>1410.57</v>
      </c>
      <c r="R808" t="s">
        <v>463</v>
      </c>
      <c r="S808">
        <f>IF(ISNUMBER(SEARCH("%",R808)), VALUE(SUBSTITUTE(R808,"%",""))/100,IF(ISNUMBER(R808), R808, 0))</f>
        <v>0.7</v>
      </c>
      <c r="T808" t="str">
        <f>IF(S808&lt;0,"Negative discount (invalid)",IF(S808&gt;0.5,"Discount above allowed range (invalid)",IF(AND(R808="",S808=0),"Missing discount set to 0","OK")))</f>
        <v>Discount above allowed range (invalid)</v>
      </c>
      <c r="U808">
        <v>5360.17</v>
      </c>
      <c r="V808">
        <v>3881.51</v>
      </c>
      <c r="W808">
        <v>1478.66</v>
      </c>
      <c r="X808" t="s">
        <v>102</v>
      </c>
      <c r="Y808" t="s">
        <v>68</v>
      </c>
      <c r="Z808" t="s">
        <v>2793</v>
      </c>
      <c r="AA808" t="str">
        <f>IF(Z808="N/A","N/A",Z808-V808)</f>
        <v>N/A</v>
      </c>
      <c r="AB808" s="8" t="str">
        <f>IF(Z808&lt;&gt;"N/A", AA808/Z808, "N/A")</f>
        <v>N/A</v>
      </c>
      <c r="AC808">
        <f>MONTH(B808)</f>
        <v>8</v>
      </c>
      <c r="AD808">
        <f>YEAR(B808)</f>
        <v>2025</v>
      </c>
      <c r="AE808" s="10" t="str">
        <f t="shared" si="12"/>
        <v>N/A</v>
      </c>
      <c r="AF808" t="s">
        <v>2802</v>
      </c>
      <c r="AG808" t="s">
        <v>2789</v>
      </c>
    </row>
    <row r="809" spans="1:33">
      <c r="A809" t="s">
        <v>2131</v>
      </c>
      <c r="B809" s="4">
        <v>45693</v>
      </c>
      <c r="C809" s="4">
        <v>45693</v>
      </c>
      <c r="D809">
        <f>_xlfn.DAYS(C809,B809)</f>
        <v>0</v>
      </c>
      <c r="E809" t="s">
        <v>2804</v>
      </c>
      <c r="F809" t="s">
        <v>2132</v>
      </c>
      <c r="G809" t="s">
        <v>62</v>
      </c>
      <c r="H809" t="s">
        <v>90</v>
      </c>
      <c r="I809" t="s">
        <v>25</v>
      </c>
      <c r="J809" t="s">
        <v>236</v>
      </c>
      <c r="K809" t="s">
        <v>237</v>
      </c>
      <c r="L809" t="s">
        <v>28</v>
      </c>
      <c r="M809" t="s">
        <v>124</v>
      </c>
      <c r="N809" t="s">
        <v>2133</v>
      </c>
      <c r="O809" t="s">
        <v>44</v>
      </c>
      <c r="P809">
        <v>3</v>
      </c>
      <c r="Q809">
        <v>2590.7800000000002</v>
      </c>
      <c r="R809">
        <v>0</v>
      </c>
      <c r="S809">
        <f>IF(ISNUMBER(SEARCH("%",R809)), VALUE(SUBSTITUTE(R809,"%",""))/100,IF(ISNUMBER(R809), R809, 0))</f>
        <v>0</v>
      </c>
      <c r="T809" t="str">
        <f>IF(S809&lt;0,"Negative discount (invalid)",IF(S809&gt;0.5,"Discount above allowed range (invalid)",IF(AND(R809="",S809=0),"Missing discount set to 0","OK")))</f>
        <v>OK</v>
      </c>
      <c r="U809">
        <v>7383.72</v>
      </c>
      <c r="V809">
        <v>4113.66</v>
      </c>
      <c r="W809">
        <v>3270.06</v>
      </c>
      <c r="X809" t="s">
        <v>32</v>
      </c>
      <c r="Y809" t="s">
        <v>33</v>
      </c>
      <c r="Z809">
        <f>IF(T809="OK",P809*Q809*(1-S809),"invalid")</f>
        <v>7772.34</v>
      </c>
      <c r="AA809">
        <f>IF(Z809="N/A","N/A",Z809-V809)</f>
        <v>3658.6800000000003</v>
      </c>
      <c r="AB809" s="8">
        <f>IF(Z809&lt;&gt;"N/A", AA809/Z809, "N/A")</f>
        <v>0.47073082237781677</v>
      </c>
      <c r="AC809">
        <f>MONTH(B809)</f>
        <v>2</v>
      </c>
      <c r="AD809">
        <f>YEAR(B809)</f>
        <v>2025</v>
      </c>
      <c r="AE809" s="10">
        <f t="shared" si="12"/>
        <v>388.61999999999989</v>
      </c>
      <c r="AF809" t="s">
        <v>2807</v>
      </c>
      <c r="AG809" t="s">
        <v>2789</v>
      </c>
    </row>
    <row r="810" spans="1:33">
      <c r="A810" t="s">
        <v>2134</v>
      </c>
      <c r="B810" s="4">
        <v>45858</v>
      </c>
      <c r="C810" s="4">
        <v>45862</v>
      </c>
      <c r="D810">
        <f>_xlfn.DAYS(C810,B810)</f>
        <v>4</v>
      </c>
      <c r="E810" t="s">
        <v>2804</v>
      </c>
      <c r="F810" t="s">
        <v>2135</v>
      </c>
      <c r="G810" t="s">
        <v>53</v>
      </c>
      <c r="H810" t="s">
        <v>37</v>
      </c>
      <c r="I810" t="s">
        <v>54</v>
      </c>
      <c r="J810" t="s">
        <v>55</v>
      </c>
      <c r="K810" t="s">
        <v>56</v>
      </c>
      <c r="L810" t="s">
        <v>41</v>
      </c>
      <c r="M810" t="s">
        <v>57</v>
      </c>
      <c r="N810" t="s">
        <v>2136</v>
      </c>
      <c r="O810" t="s">
        <v>31</v>
      </c>
      <c r="P810">
        <v>6</v>
      </c>
      <c r="Q810">
        <v>1646.45</v>
      </c>
      <c r="R810">
        <v>0.2</v>
      </c>
      <c r="S810">
        <f>IF(ISNUMBER(SEARCH("%",R810)), VALUE(SUBSTITUTE(R810,"%",""))/100,IF(ISNUMBER(R810), R810, 0))</f>
        <v>0.2</v>
      </c>
      <c r="T810" t="str">
        <f>IF(S810&lt;0,"Negative discount (invalid)",IF(S810&gt;0.5,"Discount above allowed range (invalid)",IF(AND(R810="",S810=0),"Missing discount set to 0","OK")))</f>
        <v>OK</v>
      </c>
      <c r="U810">
        <v>7902.96</v>
      </c>
      <c r="V810">
        <v>5512.03</v>
      </c>
      <c r="W810">
        <v>2390.9299999999998</v>
      </c>
      <c r="X810" t="s">
        <v>102</v>
      </c>
      <c r="Y810" t="s">
        <v>68</v>
      </c>
      <c r="Z810">
        <f>IF(T810="OK",P810*Q810*(1-S810),"invalid")</f>
        <v>7902.9600000000009</v>
      </c>
      <c r="AA810">
        <f>IF(Z810="N/A","N/A",Z810-V810)</f>
        <v>2390.9300000000012</v>
      </c>
      <c r="AB810" s="8">
        <f>IF(Z810&lt;&gt;"N/A", AA810/Z810, "N/A")</f>
        <v>0.30253601182341816</v>
      </c>
      <c r="AC810">
        <f>MONTH(B810)</f>
        <v>7</v>
      </c>
      <c r="AD810">
        <f>YEAR(B810)</f>
        <v>2025</v>
      </c>
      <c r="AE810" s="10">
        <f t="shared" si="12"/>
        <v>9.0949470177292824E-13</v>
      </c>
      <c r="AF810" t="s">
        <v>2804</v>
      </c>
      <c r="AG810" t="s">
        <v>2811</v>
      </c>
    </row>
    <row r="811" spans="1:33">
      <c r="A811" t="s">
        <v>2137</v>
      </c>
      <c r="B811" s="4">
        <v>45859</v>
      </c>
      <c r="C811" s="4">
        <v>45859</v>
      </c>
      <c r="D811">
        <f>_xlfn.DAYS(C811,B811)</f>
        <v>0</v>
      </c>
      <c r="E811" t="s">
        <v>2804</v>
      </c>
      <c r="F811" t="s">
        <v>2138</v>
      </c>
      <c r="G811" t="s">
        <v>47</v>
      </c>
      <c r="H811" t="s">
        <v>95</v>
      </c>
      <c r="I811" t="s">
        <v>54</v>
      </c>
      <c r="J811" t="s">
        <v>247</v>
      </c>
      <c r="K811" t="s">
        <v>248</v>
      </c>
      <c r="L811" t="s">
        <v>41</v>
      </c>
      <c r="M811" t="s">
        <v>158</v>
      </c>
      <c r="N811" t="s">
        <v>2139</v>
      </c>
      <c r="O811" t="s">
        <v>50</v>
      </c>
      <c r="P811">
        <v>7</v>
      </c>
      <c r="Q811">
        <v>4396.6499999999996</v>
      </c>
      <c r="R811">
        <v>0.2</v>
      </c>
      <c r="S811">
        <f>IF(ISNUMBER(SEARCH("%",R811)), VALUE(SUBSTITUTE(R811,"%",""))/100,IF(ISNUMBER(R811), R811, 0))</f>
        <v>0.2</v>
      </c>
      <c r="T811" t="str">
        <f>IF(S811&lt;0,"Negative discount (invalid)",IF(S811&gt;0.5,"Discount above allowed range (invalid)",IF(AND(R811="",S811=0),"Missing discount set to 0","OK")))</f>
        <v>OK</v>
      </c>
      <c r="U811">
        <v>24621.24</v>
      </c>
      <c r="V811">
        <v>17155.48</v>
      </c>
      <c r="W811">
        <v>7465.76</v>
      </c>
      <c r="X811" t="s">
        <v>102</v>
      </c>
      <c r="Y811" t="s">
        <v>68</v>
      </c>
      <c r="Z811">
        <f>IF(T811="OK",P811*Q811*(1-S811),"invalid")</f>
        <v>24621.239999999998</v>
      </c>
      <c r="AA811">
        <f>IF(Z811="N/A","N/A",Z811-V811)</f>
        <v>7465.7599999999984</v>
      </c>
      <c r="AB811" s="8">
        <f>IF(Z811&lt;&gt;"N/A", AA811/Z811, "N/A")</f>
        <v>0.3032243705028666</v>
      </c>
      <c r="AC811">
        <f>MONTH(B811)</f>
        <v>7</v>
      </c>
      <c r="AD811">
        <f>YEAR(B811)</f>
        <v>2025</v>
      </c>
      <c r="AE811" s="10">
        <f t="shared" si="12"/>
        <v>3.637978807091713E-12</v>
      </c>
      <c r="AF811" t="s">
        <v>2804</v>
      </c>
      <c r="AG811" t="s">
        <v>2811</v>
      </c>
    </row>
    <row r="812" spans="1:33">
      <c r="A812" t="s">
        <v>2140</v>
      </c>
      <c r="B812" s="4">
        <v>45931</v>
      </c>
      <c r="C812" s="4">
        <v>45933</v>
      </c>
      <c r="D812">
        <f>_xlfn.DAYS(C812,B812)</f>
        <v>2</v>
      </c>
      <c r="E812" t="s">
        <v>2804</v>
      </c>
      <c r="F812" t="s">
        <v>1806</v>
      </c>
      <c r="G812" t="s">
        <v>79</v>
      </c>
      <c r="H812" t="s">
        <v>90</v>
      </c>
      <c r="I812" t="s">
        <v>63</v>
      </c>
      <c r="J812" t="s">
        <v>190</v>
      </c>
      <c r="K812" t="s">
        <v>191</v>
      </c>
      <c r="L812" t="s">
        <v>28</v>
      </c>
      <c r="M812" t="s">
        <v>48</v>
      </c>
      <c r="N812" t="s">
        <v>2141</v>
      </c>
      <c r="O812" t="s">
        <v>59</v>
      </c>
      <c r="P812">
        <v>9</v>
      </c>
      <c r="Q812">
        <v>818.15</v>
      </c>
      <c r="R812">
        <v>0.55000000000000004</v>
      </c>
      <c r="S812">
        <f>IF(ISNUMBER(SEARCH("%",R812)), VALUE(SUBSTITUTE(R812,"%",""))/100,IF(ISNUMBER(R812), R812, 0))</f>
        <v>0.55000000000000004</v>
      </c>
      <c r="T812" t="str">
        <f>IF(S812&lt;0,"Negative discount (invalid)",IF(S812&gt;0.5,"Discount above allowed range (invalid)",IF(AND(R812="",S812=0),"Missing discount set to 0","OK")))</f>
        <v>Discount above allowed range (invalid)</v>
      </c>
      <c r="U812">
        <v>6627.01</v>
      </c>
      <c r="V812">
        <v>5606.79</v>
      </c>
      <c r="W812">
        <v>1020.22</v>
      </c>
      <c r="X812" t="s">
        <v>155</v>
      </c>
      <c r="Y812" t="s">
        <v>68</v>
      </c>
      <c r="Z812" t="s">
        <v>2793</v>
      </c>
      <c r="AA812" t="str">
        <f>IF(Z812="N/A","N/A",Z812-V812)</f>
        <v>N/A</v>
      </c>
      <c r="AB812" s="8" t="str">
        <f>IF(Z812&lt;&gt;"N/A", AA812/Z812, "N/A")</f>
        <v>N/A</v>
      </c>
      <c r="AC812">
        <f>MONTH(B812)</f>
        <v>10</v>
      </c>
      <c r="AD812">
        <f>YEAR(B812)</f>
        <v>2025</v>
      </c>
      <c r="AE812" s="10" t="str">
        <f t="shared" si="12"/>
        <v>N/A</v>
      </c>
      <c r="AF812" t="s">
        <v>2802</v>
      </c>
      <c r="AG812" t="s">
        <v>2789</v>
      </c>
    </row>
    <row r="813" spans="1:33">
      <c r="A813" t="s">
        <v>2145</v>
      </c>
      <c r="B813" s="4">
        <v>45938</v>
      </c>
      <c r="C813" s="4">
        <v>45943</v>
      </c>
      <c r="D813">
        <f>_xlfn.DAYS(C813,B813)</f>
        <v>5</v>
      </c>
      <c r="E813" t="s">
        <v>2804</v>
      </c>
      <c r="F813" t="s">
        <v>2146</v>
      </c>
      <c r="G813" t="s">
        <v>36</v>
      </c>
      <c r="H813" t="s">
        <v>95</v>
      </c>
      <c r="I813" t="s">
        <v>25</v>
      </c>
      <c r="J813" t="s">
        <v>122</v>
      </c>
      <c r="K813" t="s">
        <v>123</v>
      </c>
      <c r="L813" t="s">
        <v>41</v>
      </c>
      <c r="M813" t="s">
        <v>42</v>
      </c>
      <c r="N813" t="s">
        <v>2147</v>
      </c>
      <c r="O813" t="s">
        <v>50</v>
      </c>
      <c r="P813">
        <v>4</v>
      </c>
      <c r="Q813">
        <v>172.05</v>
      </c>
      <c r="R813">
        <v>0</v>
      </c>
      <c r="S813">
        <f>IF(ISNUMBER(SEARCH("%",R813)), VALUE(SUBSTITUTE(R813,"%",""))/100,IF(ISNUMBER(R813), R813, 0))</f>
        <v>0</v>
      </c>
      <c r="T813" t="str">
        <f>IF(S813&lt;0,"Negative discount (invalid)",IF(S813&gt;0.5,"Discount above allowed range (invalid)",IF(AND(R813="",S813=0),"Missing discount set to 0","OK")))</f>
        <v>OK</v>
      </c>
      <c r="U813">
        <v>688.2</v>
      </c>
      <c r="V813">
        <v>497.68</v>
      </c>
      <c r="W813">
        <v>190.52</v>
      </c>
      <c r="X813" t="s">
        <v>155</v>
      </c>
      <c r="Y813" t="s">
        <v>68</v>
      </c>
      <c r="Z813">
        <f>IF(T813="OK",P813*Q813*(1-S813),"invalid")</f>
        <v>688.2</v>
      </c>
      <c r="AA813">
        <f>IF(Z813="N/A","N/A",Z813-V813)</f>
        <v>190.52000000000004</v>
      </c>
      <c r="AB813" s="8">
        <f>IF(Z813&lt;&gt;"N/A", AA813/Z813, "N/A")</f>
        <v>0.27683812845103173</v>
      </c>
      <c r="AC813">
        <f>MONTH(B813)</f>
        <v>10</v>
      </c>
      <c r="AD813">
        <f>YEAR(B813)</f>
        <v>2025</v>
      </c>
      <c r="AE813" s="10">
        <f t="shared" si="12"/>
        <v>0</v>
      </c>
      <c r="AF813" t="s">
        <v>2804</v>
      </c>
      <c r="AG813" t="s">
        <v>2811</v>
      </c>
    </row>
    <row r="814" spans="1:33">
      <c r="A814" t="s">
        <v>2148</v>
      </c>
      <c r="B814" s="4">
        <v>45714</v>
      </c>
      <c r="C814" s="4">
        <v>45715</v>
      </c>
      <c r="D814">
        <f>_xlfn.DAYS(C814,B814)</f>
        <v>1</v>
      </c>
      <c r="E814" t="s">
        <v>2804</v>
      </c>
      <c r="F814" t="s">
        <v>2149</v>
      </c>
      <c r="G814" t="s">
        <v>79</v>
      </c>
      <c r="H814" t="s">
        <v>95</v>
      </c>
      <c r="I814" t="s">
        <v>25</v>
      </c>
      <c r="J814" t="s">
        <v>236</v>
      </c>
      <c r="K814" t="s">
        <v>237</v>
      </c>
      <c r="L814" t="s">
        <v>28</v>
      </c>
      <c r="M814" t="s">
        <v>48</v>
      </c>
      <c r="N814" t="s">
        <v>2150</v>
      </c>
      <c r="O814" t="s">
        <v>31</v>
      </c>
      <c r="P814">
        <v>6</v>
      </c>
      <c r="Q814">
        <v>3037.66</v>
      </c>
      <c r="R814">
        <v>0.15</v>
      </c>
      <c r="S814">
        <f>IF(ISNUMBER(SEARCH("%",R814)), VALUE(SUBSTITUTE(R814,"%",""))/100,IF(ISNUMBER(R814), R814, 0))</f>
        <v>0.15</v>
      </c>
      <c r="T814" t="str">
        <f>IF(S814&lt;0,"Negative discount (invalid)",IF(S814&gt;0.5,"Discount above allowed range (invalid)",IF(AND(R814="",S814=0),"Missing discount set to 0","OK")))</f>
        <v>OK</v>
      </c>
      <c r="U814">
        <v>15492.07</v>
      </c>
      <c r="V814">
        <v>12581.23</v>
      </c>
      <c r="W814">
        <v>2910.84</v>
      </c>
      <c r="X814" t="s">
        <v>32</v>
      </c>
      <c r="Y814" t="s">
        <v>33</v>
      </c>
      <c r="Z814">
        <f>IF(T814="OK",P814*Q814*(1-S814),"invalid")</f>
        <v>15492.065999999999</v>
      </c>
      <c r="AA814">
        <f>IF(Z814="N/A","N/A",Z814-V814)</f>
        <v>2910.8359999999993</v>
      </c>
      <c r="AB814" s="8">
        <f>IF(Z814&lt;&gt;"N/A", AA814/Z814, "N/A")</f>
        <v>0.18789204745190213</v>
      </c>
      <c r="AC814">
        <f>MONTH(B814)</f>
        <v>2</v>
      </c>
      <c r="AD814">
        <f>YEAR(B814)</f>
        <v>2025</v>
      </c>
      <c r="AE814" s="10">
        <f t="shared" si="12"/>
        <v>4.0000000008149073E-3</v>
      </c>
      <c r="AF814" t="s">
        <v>2804</v>
      </c>
      <c r="AG814" t="s">
        <v>2811</v>
      </c>
    </row>
    <row r="815" spans="1:33">
      <c r="A815" t="s">
        <v>2160</v>
      </c>
      <c r="B815" s="4">
        <v>45935</v>
      </c>
      <c r="C815" s="4">
        <v>45940</v>
      </c>
      <c r="D815">
        <f>_xlfn.DAYS(C815,B815)</f>
        <v>5</v>
      </c>
      <c r="E815" t="s">
        <v>2804</v>
      </c>
      <c r="F815" t="s">
        <v>2161</v>
      </c>
      <c r="G815" t="s">
        <v>47</v>
      </c>
      <c r="H815" t="s">
        <v>90</v>
      </c>
      <c r="I815" t="s">
        <v>54</v>
      </c>
      <c r="J815" t="s">
        <v>175</v>
      </c>
      <c r="K815" t="s">
        <v>176</v>
      </c>
      <c r="L815" t="s">
        <v>41</v>
      </c>
      <c r="M815" t="s">
        <v>57</v>
      </c>
      <c r="N815" t="s">
        <v>2162</v>
      </c>
      <c r="O815" t="s">
        <v>31</v>
      </c>
      <c r="P815">
        <v>4</v>
      </c>
      <c r="Q815">
        <v>2365.6799999999998</v>
      </c>
      <c r="R815">
        <v>0.1</v>
      </c>
      <c r="S815">
        <f>IF(ISNUMBER(SEARCH("%",R815)), VALUE(SUBSTITUTE(R815,"%",""))/100,IF(ISNUMBER(R815), R815, 0))</f>
        <v>0.1</v>
      </c>
      <c r="T815" t="str">
        <f>IF(S815&lt;0,"Negative discount (invalid)",IF(S815&gt;0.5,"Discount above allowed range (invalid)",IF(AND(R815="",S815=0),"Missing discount set to 0","OK")))</f>
        <v>OK</v>
      </c>
      <c r="U815">
        <v>8516.4500000000007</v>
      </c>
      <c r="V815">
        <v>5903.81</v>
      </c>
      <c r="W815">
        <v>2612.64</v>
      </c>
      <c r="X815" t="s">
        <v>32</v>
      </c>
      <c r="Y815" t="s">
        <v>33</v>
      </c>
      <c r="Z815">
        <f>IF(T815="OK",P815*Q815*(1-S815),"invalid")</f>
        <v>8516.4480000000003</v>
      </c>
      <c r="AA815">
        <f>IF(Z815="N/A","N/A",Z815-V815)</f>
        <v>2612.6379999999999</v>
      </c>
      <c r="AB815" s="8">
        <f>IF(Z815&lt;&gt;"N/A", AA815/Z815, "N/A")</f>
        <v>0.30677554774009069</v>
      </c>
      <c r="AC815">
        <f>MONTH(B815)</f>
        <v>10</v>
      </c>
      <c r="AD815">
        <f>YEAR(B815)</f>
        <v>2025</v>
      </c>
      <c r="AE815" s="10">
        <f t="shared" si="12"/>
        <v>2.0000000004074536E-3</v>
      </c>
      <c r="AF815" t="s">
        <v>2804</v>
      </c>
      <c r="AG815" t="s">
        <v>2811</v>
      </c>
    </row>
    <row r="816" spans="1:33">
      <c r="A816" t="s">
        <v>2163</v>
      </c>
      <c r="B816" s="4">
        <v>45750</v>
      </c>
      <c r="C816" s="4">
        <v>45758</v>
      </c>
      <c r="D816">
        <f>_xlfn.DAYS(C816,B816)</f>
        <v>8</v>
      </c>
      <c r="E816" t="s">
        <v>2804</v>
      </c>
      <c r="F816" t="s">
        <v>2164</v>
      </c>
      <c r="G816" t="s">
        <v>53</v>
      </c>
      <c r="H816" t="s">
        <v>24</v>
      </c>
      <c r="I816" t="s">
        <v>54</v>
      </c>
      <c r="J816" t="s">
        <v>247</v>
      </c>
      <c r="K816" t="s">
        <v>248</v>
      </c>
      <c r="L816" t="s">
        <v>41</v>
      </c>
      <c r="M816" t="s">
        <v>158</v>
      </c>
      <c r="N816" t="s">
        <v>2165</v>
      </c>
      <c r="O816" t="s">
        <v>31</v>
      </c>
      <c r="P816">
        <v>3</v>
      </c>
      <c r="Q816">
        <v>4149.7700000000004</v>
      </c>
      <c r="R816">
        <v>0.05</v>
      </c>
      <c r="S816">
        <f>IF(ISNUMBER(SEARCH("%",R816)), VALUE(SUBSTITUTE(R816,"%",""))/100,IF(ISNUMBER(R816), R816, 0))</f>
        <v>0.05</v>
      </c>
      <c r="T816" t="str">
        <f>IF(S816&lt;0,"Negative discount (invalid)",IF(S816&gt;0.5,"Discount above allowed range (invalid)",IF(AND(R816="",S816=0),"Missing discount set to 0","OK")))</f>
        <v>OK</v>
      </c>
      <c r="U816">
        <v>11826.84</v>
      </c>
      <c r="V816">
        <v>8035.96</v>
      </c>
      <c r="W816">
        <v>3790.88</v>
      </c>
      <c r="X816" t="s">
        <v>32</v>
      </c>
      <c r="Y816" t="s">
        <v>33</v>
      </c>
      <c r="Z816">
        <f>IF(T816="OK",P816*Q816*(1-S816),"invalid")</f>
        <v>11826.844500000001</v>
      </c>
      <c r="AA816">
        <f>IF(Z816="N/A","N/A",Z816-V816)</f>
        <v>3790.884500000001</v>
      </c>
      <c r="AB816" s="8">
        <f>IF(Z816&lt;&gt;"N/A", AA816/Z816, "N/A")</f>
        <v>0.32053220112938835</v>
      </c>
      <c r="AC816">
        <f>MONTH(B816)</f>
        <v>4</v>
      </c>
      <c r="AD816">
        <f>YEAR(B816)</f>
        <v>2025</v>
      </c>
      <c r="AE816" s="10">
        <f t="shared" si="12"/>
        <v>4.5000000009167707E-3</v>
      </c>
      <c r="AF816" t="s">
        <v>2804</v>
      </c>
      <c r="AG816" t="s">
        <v>2811</v>
      </c>
    </row>
    <row r="817" spans="1:33">
      <c r="A817" t="s">
        <v>2166</v>
      </c>
      <c r="B817" s="4">
        <v>45870</v>
      </c>
      <c r="C817" s="4">
        <v>45878</v>
      </c>
      <c r="D817">
        <f>_xlfn.DAYS(C817,B817)</f>
        <v>8</v>
      </c>
      <c r="E817" t="s">
        <v>2804</v>
      </c>
      <c r="F817" t="s">
        <v>1138</v>
      </c>
      <c r="G817" t="s">
        <v>47</v>
      </c>
      <c r="H817" t="s">
        <v>24</v>
      </c>
      <c r="I817" t="s">
        <v>54</v>
      </c>
      <c r="J817" t="s">
        <v>84</v>
      </c>
      <c r="K817" t="s">
        <v>85</v>
      </c>
      <c r="L817" t="s">
        <v>28</v>
      </c>
      <c r="M817" t="s">
        <v>124</v>
      </c>
      <c r="N817" t="s">
        <v>2167</v>
      </c>
      <c r="O817" t="s">
        <v>50</v>
      </c>
      <c r="P817">
        <v>5</v>
      </c>
      <c r="Q817">
        <v>2736.24</v>
      </c>
      <c r="R817">
        <v>0.15</v>
      </c>
      <c r="S817">
        <f>IF(ISNUMBER(SEARCH("%",R817)), VALUE(SUBSTITUTE(R817,"%",""))/100,IF(ISNUMBER(R817), R817, 0))</f>
        <v>0.15</v>
      </c>
      <c r="T817" t="str">
        <f>IF(S817&lt;0,"Negative discount (invalid)",IF(S817&gt;0.5,"Discount above allowed range (invalid)",IF(AND(R817="",S817=0),"Missing discount set to 0","OK")))</f>
        <v>OK</v>
      </c>
      <c r="U817">
        <v>11629.02</v>
      </c>
      <c r="V817">
        <v>9627.2099999999991</v>
      </c>
      <c r="W817">
        <v>2001.81</v>
      </c>
      <c r="X817" t="s">
        <v>32</v>
      </c>
      <c r="Y817" t="s">
        <v>33</v>
      </c>
      <c r="Z817">
        <f>IF(T817="OK",P817*Q817*(1-S817),"invalid")</f>
        <v>11629.019999999999</v>
      </c>
      <c r="AA817">
        <f>IF(Z817="N/A","N/A",Z817-V817)</f>
        <v>2001.8099999999995</v>
      </c>
      <c r="AB817" s="8">
        <f>IF(Z817&lt;&gt;"N/A", AA817/Z817, "N/A")</f>
        <v>0.17213918283741877</v>
      </c>
      <c r="AC817">
        <f>MONTH(B817)</f>
        <v>8</v>
      </c>
      <c r="AD817">
        <f>YEAR(B817)</f>
        <v>2025</v>
      </c>
      <c r="AE817" s="10">
        <f t="shared" si="12"/>
        <v>1.8189894035458565E-12</v>
      </c>
      <c r="AF817" t="s">
        <v>2804</v>
      </c>
      <c r="AG817" t="s">
        <v>2811</v>
      </c>
    </row>
    <row r="818" spans="1:33">
      <c r="A818" t="s">
        <v>2171</v>
      </c>
      <c r="B818" s="4">
        <v>45922</v>
      </c>
      <c r="C818" s="4">
        <v>45925</v>
      </c>
      <c r="D818">
        <f>_xlfn.DAYS(C818,B818)</f>
        <v>3</v>
      </c>
      <c r="E818" t="s">
        <v>2804</v>
      </c>
      <c r="F818" t="s">
        <v>2172</v>
      </c>
      <c r="G818" t="s">
        <v>47</v>
      </c>
      <c r="H818" t="s">
        <v>37</v>
      </c>
      <c r="I818" t="s">
        <v>54</v>
      </c>
      <c r="J818" t="s">
        <v>185</v>
      </c>
      <c r="K818" t="s">
        <v>186</v>
      </c>
      <c r="L818" t="s">
        <v>74</v>
      </c>
      <c r="M818" t="s">
        <v>171</v>
      </c>
      <c r="N818" t="s">
        <v>2173</v>
      </c>
      <c r="O818" t="s">
        <v>2785</v>
      </c>
      <c r="P818">
        <v>4</v>
      </c>
      <c r="Q818">
        <v>1178.8399999999999</v>
      </c>
      <c r="R818">
        <v>0.25</v>
      </c>
      <c r="S818">
        <f>IF(ISNUMBER(SEARCH("%",R818)), VALUE(SUBSTITUTE(R818,"%",""))/100,IF(ISNUMBER(R818), R818, 0))</f>
        <v>0.25</v>
      </c>
      <c r="T818" t="str">
        <f>IF(S818&lt;0,"Negative discount (invalid)",IF(S818&gt;0.5,"Discount above allowed range (invalid)",IF(AND(R818="",S818=0),"Missing discount set to 0","OK")))</f>
        <v>OK</v>
      </c>
      <c r="U818">
        <v>3536.52</v>
      </c>
      <c r="V818">
        <v>2102.41</v>
      </c>
      <c r="W818">
        <v>1363.28</v>
      </c>
      <c r="X818" t="s">
        <v>32</v>
      </c>
      <c r="Y818" t="s">
        <v>33</v>
      </c>
      <c r="Z818">
        <f>IF(T818="OK",P818*Q818*(1-S818),"invalid")</f>
        <v>3536.5199999999995</v>
      </c>
      <c r="AA818">
        <f>IF(Z818="N/A","N/A",Z818-V818)</f>
        <v>1434.1099999999997</v>
      </c>
      <c r="AB818" s="8">
        <f>IF(Z818&lt;&gt;"N/A", AA818/Z818, "N/A")</f>
        <v>0.40551446054313278</v>
      </c>
      <c r="AC818">
        <f>MONTH(B818)</f>
        <v>9</v>
      </c>
      <c r="AD818">
        <f>YEAR(B818)</f>
        <v>2025</v>
      </c>
      <c r="AE818" s="10">
        <f t="shared" si="12"/>
        <v>4.5474735088646412E-13</v>
      </c>
      <c r="AF818" t="s">
        <v>2800</v>
      </c>
      <c r="AG818" t="s">
        <v>2798</v>
      </c>
    </row>
    <row r="819" spans="1:33">
      <c r="A819" t="s">
        <v>2174</v>
      </c>
      <c r="B819" s="4">
        <v>45717</v>
      </c>
      <c r="C819" s="4">
        <v>45723</v>
      </c>
      <c r="D819">
        <f>_xlfn.DAYS(C819,B819)</f>
        <v>6</v>
      </c>
      <c r="E819" t="s">
        <v>2804</v>
      </c>
      <c r="F819" t="s">
        <v>2175</v>
      </c>
      <c r="G819" t="s">
        <v>53</v>
      </c>
      <c r="H819" t="s">
        <v>90</v>
      </c>
      <c r="I819" t="s">
        <v>54</v>
      </c>
      <c r="J819" t="s">
        <v>84</v>
      </c>
      <c r="K819" t="s">
        <v>85</v>
      </c>
      <c r="L819" t="s">
        <v>28</v>
      </c>
      <c r="M819" t="s">
        <v>91</v>
      </c>
      <c r="N819" t="s">
        <v>2176</v>
      </c>
      <c r="O819" t="s">
        <v>50</v>
      </c>
      <c r="P819">
        <v>7</v>
      </c>
      <c r="Q819">
        <v>567.15</v>
      </c>
      <c r="R819">
        <v>0</v>
      </c>
      <c r="S819">
        <f>IF(ISNUMBER(SEARCH("%",R819)), VALUE(SUBSTITUTE(R819,"%",""))/100,IF(ISNUMBER(R819), R819, 0))</f>
        <v>0</v>
      </c>
      <c r="T819" t="str">
        <f>IF(S819&lt;0,"Negative discount (invalid)",IF(S819&gt;0.5,"Discount above allowed range (invalid)",IF(AND(R819="",S819=0),"Missing discount set to 0","OK")))</f>
        <v>OK</v>
      </c>
      <c r="U819">
        <v>2977.54</v>
      </c>
      <c r="V819">
        <v>1849.3</v>
      </c>
      <c r="W819">
        <v>1128.24</v>
      </c>
      <c r="X819" t="s">
        <v>102</v>
      </c>
      <c r="Y819" t="s">
        <v>103</v>
      </c>
      <c r="Z819">
        <f>IF(T819="OK",P819*Q819*(1-S819),"invalid")</f>
        <v>3970.0499999999997</v>
      </c>
      <c r="AA819">
        <f>IF(Z819="N/A","N/A",Z819-V819)</f>
        <v>2120.75</v>
      </c>
      <c r="AB819" s="8">
        <f>IF(Z819&lt;&gt;"N/A", AA819/Z819, "N/A")</f>
        <v>0.53418722686112274</v>
      </c>
      <c r="AC819">
        <f>MONTH(B819)</f>
        <v>3</v>
      </c>
      <c r="AD819">
        <f>YEAR(B819)</f>
        <v>2025</v>
      </c>
      <c r="AE819" s="10">
        <f t="shared" si="12"/>
        <v>992.50999999999976</v>
      </c>
      <c r="AF819" t="s">
        <v>2807</v>
      </c>
      <c r="AG819" t="s">
        <v>2789</v>
      </c>
    </row>
    <row r="820" spans="1:33">
      <c r="A820" t="s">
        <v>2189</v>
      </c>
      <c r="B820" s="4">
        <v>45690</v>
      </c>
      <c r="C820" s="4">
        <v>45694</v>
      </c>
      <c r="D820">
        <f>_xlfn.DAYS(C820,B820)</f>
        <v>4</v>
      </c>
      <c r="E820" t="s">
        <v>2804</v>
      </c>
      <c r="F820" t="s">
        <v>2190</v>
      </c>
      <c r="G820" t="s">
        <v>23</v>
      </c>
      <c r="H820" t="s">
        <v>37</v>
      </c>
      <c r="I820" t="s">
        <v>63</v>
      </c>
      <c r="J820" t="s">
        <v>26</v>
      </c>
      <c r="K820" t="s">
        <v>109</v>
      </c>
      <c r="L820" t="s">
        <v>41</v>
      </c>
      <c r="M820" t="s">
        <v>42</v>
      </c>
      <c r="N820" t="s">
        <v>2191</v>
      </c>
      <c r="O820" t="s">
        <v>31</v>
      </c>
      <c r="P820">
        <v>3</v>
      </c>
      <c r="Q820">
        <v>997.34</v>
      </c>
      <c r="R820">
        <v>0.1</v>
      </c>
      <c r="S820">
        <f>IF(ISNUMBER(SEARCH("%",R820)), VALUE(SUBSTITUTE(R820,"%",""))/100,IF(ISNUMBER(R820), R820, 0))</f>
        <v>0.1</v>
      </c>
      <c r="T820" t="str">
        <f>IF(S820&lt;0,"Negative discount (invalid)",IF(S820&gt;0.5,"Discount above allowed range (invalid)",IF(AND(R820="",S820=0),"Missing discount set to 0","OK")))</f>
        <v>OK</v>
      </c>
      <c r="U820">
        <v>2692.82</v>
      </c>
      <c r="V820">
        <v>1820.08</v>
      </c>
      <c r="W820">
        <v>872.74</v>
      </c>
      <c r="X820" t="s">
        <v>32</v>
      </c>
      <c r="Y820" t="s">
        <v>33</v>
      </c>
      <c r="Z820">
        <f>IF(T820="OK",P820*Q820*(1-S820),"invalid")</f>
        <v>2692.8180000000002</v>
      </c>
      <c r="AA820">
        <f>IF(Z820="N/A","N/A",Z820-V820)</f>
        <v>872.73800000000028</v>
      </c>
      <c r="AB820" s="8">
        <f>IF(Z820&lt;&gt;"N/A", AA820/Z820, "N/A")</f>
        <v>0.32409839803506968</v>
      </c>
      <c r="AC820">
        <f>MONTH(B820)</f>
        <v>2</v>
      </c>
      <c r="AD820">
        <f>YEAR(B820)</f>
        <v>2025</v>
      </c>
      <c r="AE820" s="10">
        <f t="shared" si="12"/>
        <v>1.9999999999527063E-3</v>
      </c>
      <c r="AF820" t="s">
        <v>2804</v>
      </c>
      <c r="AG820" t="s">
        <v>2811</v>
      </c>
    </row>
    <row r="821" spans="1:33">
      <c r="A821" t="s">
        <v>2204</v>
      </c>
      <c r="B821" s="4">
        <v>45832</v>
      </c>
      <c r="C821" s="4">
        <v>45834</v>
      </c>
      <c r="D821">
        <f>_xlfn.DAYS(C821,B821)</f>
        <v>2</v>
      </c>
      <c r="E821" t="s">
        <v>2804</v>
      </c>
      <c r="F821" t="s">
        <v>2205</v>
      </c>
      <c r="G821" t="s">
        <v>71</v>
      </c>
      <c r="H821" t="s">
        <v>24</v>
      </c>
      <c r="I821" t="s">
        <v>25</v>
      </c>
      <c r="J821" t="s">
        <v>26</v>
      </c>
      <c r="K821" t="s">
        <v>27</v>
      </c>
      <c r="L821" t="s">
        <v>74</v>
      </c>
      <c r="M821" t="s">
        <v>75</v>
      </c>
      <c r="N821" t="s">
        <v>2206</v>
      </c>
      <c r="O821" t="s">
        <v>44</v>
      </c>
      <c r="P821">
        <v>5</v>
      </c>
      <c r="Q821">
        <v>3722.66</v>
      </c>
      <c r="R821">
        <v>0.55000000000000004</v>
      </c>
      <c r="S821">
        <f>IF(ISNUMBER(SEARCH("%",R821)), VALUE(SUBSTITUTE(R821,"%",""))/100,IF(ISNUMBER(R821), R821, 0))</f>
        <v>0.55000000000000004</v>
      </c>
      <c r="T821" t="str">
        <f>IF(S821&lt;0,"Negative discount (invalid)",IF(S821&gt;0.5,"Discount above allowed range (invalid)",IF(AND(R821="",S821=0),"Missing discount set to 0","OK")))</f>
        <v>Discount above allowed range (invalid)</v>
      </c>
      <c r="U821">
        <v>16751.97</v>
      </c>
      <c r="V821">
        <v>11678.32</v>
      </c>
      <c r="W821">
        <v>5073.6499999999996</v>
      </c>
      <c r="X821" t="s">
        <v>32</v>
      </c>
      <c r="Y821" t="s">
        <v>33</v>
      </c>
      <c r="Z821" t="s">
        <v>2793</v>
      </c>
      <c r="AA821" t="str">
        <f>IF(Z821="N/A","N/A",Z821-V821)</f>
        <v>N/A</v>
      </c>
      <c r="AB821" s="8" t="str">
        <f>IF(Z821&lt;&gt;"N/A", AA821/Z821, "N/A")</f>
        <v>N/A</v>
      </c>
      <c r="AC821">
        <f>MONTH(B821)</f>
        <v>6</v>
      </c>
      <c r="AD821">
        <f>YEAR(B821)</f>
        <v>2025</v>
      </c>
      <c r="AE821" s="10" t="str">
        <f t="shared" si="12"/>
        <v>N/A</v>
      </c>
      <c r="AF821" t="s">
        <v>2802</v>
      </c>
      <c r="AG821" t="s">
        <v>2789</v>
      </c>
    </row>
    <row r="822" spans="1:33">
      <c r="A822" t="s">
        <v>2207</v>
      </c>
      <c r="B822" s="4">
        <v>45736</v>
      </c>
      <c r="C822" s="4">
        <v>45742</v>
      </c>
      <c r="D822">
        <f>_xlfn.DAYS(C822,B822)</f>
        <v>6</v>
      </c>
      <c r="E822" t="s">
        <v>2804</v>
      </c>
      <c r="F822" t="s">
        <v>2208</v>
      </c>
      <c r="G822" t="s">
        <v>132</v>
      </c>
      <c r="H822" t="s">
        <v>24</v>
      </c>
      <c r="I822" t="s">
        <v>38</v>
      </c>
      <c r="J822" t="s">
        <v>166</v>
      </c>
      <c r="K822" t="s">
        <v>167</v>
      </c>
      <c r="L822" t="s">
        <v>41</v>
      </c>
      <c r="M822" t="s">
        <v>158</v>
      </c>
      <c r="N822" t="s">
        <v>2209</v>
      </c>
      <c r="O822" t="s">
        <v>50</v>
      </c>
      <c r="P822">
        <v>4</v>
      </c>
      <c r="Q822">
        <v>4357.66</v>
      </c>
      <c r="R822">
        <v>0.05</v>
      </c>
      <c r="S822">
        <f>IF(ISNUMBER(SEARCH("%",R822)), VALUE(SUBSTITUTE(R822,"%",""))/100,IF(ISNUMBER(R822), R822, 0))</f>
        <v>0.05</v>
      </c>
      <c r="T822" t="str">
        <f>IF(S822&lt;0,"Negative discount (invalid)",IF(S822&gt;0.5,"Discount above allowed range (invalid)",IF(AND(R822="",S822=0),"Missing discount set to 0","OK")))</f>
        <v>OK</v>
      </c>
      <c r="U822">
        <v>16559.11</v>
      </c>
      <c r="V822">
        <v>13233.79</v>
      </c>
      <c r="W822">
        <v>3325.32</v>
      </c>
      <c r="X822" t="s">
        <v>32</v>
      </c>
      <c r="Y822" t="s">
        <v>33</v>
      </c>
      <c r="Z822">
        <f>IF(T822="OK",P822*Q822*(1-S822),"invalid")</f>
        <v>16559.108</v>
      </c>
      <c r="AA822">
        <f>IF(Z822="N/A","N/A",Z822-V822)</f>
        <v>3325.3179999999993</v>
      </c>
      <c r="AB822" s="8">
        <f>IF(Z822&lt;&gt;"N/A", AA822/Z822, "N/A")</f>
        <v>0.20081504390212318</v>
      </c>
      <c r="AC822">
        <f>MONTH(B822)</f>
        <v>3</v>
      </c>
      <c r="AD822">
        <f>YEAR(B822)</f>
        <v>2025</v>
      </c>
      <c r="AE822" s="10">
        <f t="shared" si="12"/>
        <v>2.0000000004074536E-3</v>
      </c>
      <c r="AF822" t="s">
        <v>2804</v>
      </c>
      <c r="AG822" t="s">
        <v>2811</v>
      </c>
    </row>
    <row r="823" spans="1:33">
      <c r="A823" t="s">
        <v>2210</v>
      </c>
      <c r="B823" s="4">
        <v>45676</v>
      </c>
      <c r="C823" s="4">
        <v>45680</v>
      </c>
      <c r="D823">
        <f>_xlfn.DAYS(C823,B823)</f>
        <v>4</v>
      </c>
      <c r="E823" t="s">
        <v>2804</v>
      </c>
      <c r="F823" t="s">
        <v>2211</v>
      </c>
      <c r="G823" t="s">
        <v>264</v>
      </c>
      <c r="H823" t="s">
        <v>95</v>
      </c>
      <c r="I823" t="s">
        <v>25</v>
      </c>
      <c r="J823" t="s">
        <v>122</v>
      </c>
      <c r="K823" t="s">
        <v>123</v>
      </c>
      <c r="L823" t="s">
        <v>74</v>
      </c>
      <c r="M823" t="s">
        <v>171</v>
      </c>
      <c r="N823" t="s">
        <v>2212</v>
      </c>
      <c r="O823" t="s">
        <v>44</v>
      </c>
      <c r="P823">
        <v>7</v>
      </c>
      <c r="Q823">
        <v>1363.04</v>
      </c>
      <c r="R823">
        <v>0.15</v>
      </c>
      <c r="S823">
        <f>IF(ISNUMBER(SEARCH("%",R823)), VALUE(SUBSTITUTE(R823,"%",""))/100,IF(ISNUMBER(R823), R823, 0))</f>
        <v>0.15</v>
      </c>
      <c r="T823" t="str">
        <f>IF(S823&lt;0,"Negative discount (invalid)",IF(S823&gt;0.5,"Discount above allowed range (invalid)",IF(AND(R823="",S823=0),"Missing discount set to 0","OK")))</f>
        <v>OK</v>
      </c>
      <c r="U823">
        <v>8110.09</v>
      </c>
      <c r="V823">
        <v>6417.32</v>
      </c>
      <c r="W823">
        <v>1692.77</v>
      </c>
      <c r="X823" t="s">
        <v>32</v>
      </c>
      <c r="Y823" t="s">
        <v>68</v>
      </c>
      <c r="Z823">
        <f>IF(T823="OK",P823*Q823*(1-S823),"invalid")</f>
        <v>8110.0879999999988</v>
      </c>
      <c r="AA823">
        <f>IF(Z823="N/A","N/A",Z823-V823)</f>
        <v>1692.7679999999991</v>
      </c>
      <c r="AB823" s="8">
        <f>IF(Z823&lt;&gt;"N/A", AA823/Z823, "N/A")</f>
        <v>0.2087237524426368</v>
      </c>
      <c r="AC823">
        <f>MONTH(B823)</f>
        <v>1</v>
      </c>
      <c r="AD823">
        <f>YEAR(B823)</f>
        <v>2025</v>
      </c>
      <c r="AE823" s="10">
        <f t="shared" si="12"/>
        <v>2.0000000013169483E-3</v>
      </c>
      <c r="AF823" t="s">
        <v>2804</v>
      </c>
      <c r="AG823" t="s">
        <v>2811</v>
      </c>
    </row>
    <row r="824" spans="1:33">
      <c r="A824" t="s">
        <v>2216</v>
      </c>
      <c r="B824" s="4">
        <v>45690</v>
      </c>
      <c r="C824" s="4">
        <v>45690</v>
      </c>
      <c r="D824">
        <f>_xlfn.DAYS(C824,B824)</f>
        <v>0</v>
      </c>
      <c r="E824" t="s">
        <v>2804</v>
      </c>
      <c r="F824" t="s">
        <v>2217</v>
      </c>
      <c r="G824" t="s">
        <v>264</v>
      </c>
      <c r="H824" t="s">
        <v>90</v>
      </c>
      <c r="I824" t="s">
        <v>38</v>
      </c>
      <c r="J824" t="s">
        <v>99</v>
      </c>
      <c r="K824" t="s">
        <v>100</v>
      </c>
      <c r="L824" t="s">
        <v>74</v>
      </c>
      <c r="M824" t="s">
        <v>274</v>
      </c>
      <c r="N824" t="s">
        <v>2218</v>
      </c>
      <c r="O824" t="s">
        <v>50</v>
      </c>
      <c r="P824">
        <v>1</v>
      </c>
      <c r="Q824">
        <v>4326.75</v>
      </c>
      <c r="R824">
        <v>0.05</v>
      </c>
      <c r="S824">
        <f>IF(ISNUMBER(SEARCH("%",R824)), VALUE(SUBSTITUTE(R824,"%",""))/100,IF(ISNUMBER(R824), R824, 0))</f>
        <v>0.05</v>
      </c>
      <c r="T824" t="str">
        <f>IF(S824&lt;0,"Negative discount (invalid)",IF(S824&gt;0.5,"Discount above allowed range (invalid)",IF(AND(R824="",S824=0),"Missing discount set to 0","OK")))</f>
        <v>OK</v>
      </c>
      <c r="U824">
        <v>4110.41</v>
      </c>
      <c r="V824">
        <v>2394.14</v>
      </c>
      <c r="W824">
        <v>1716.27</v>
      </c>
      <c r="X824" t="s">
        <v>111</v>
      </c>
      <c r="Y824" t="s">
        <v>103</v>
      </c>
      <c r="Z824">
        <f>IF(T824="OK",P824*Q824*(1-S824),"invalid")</f>
        <v>4110.4124999999995</v>
      </c>
      <c r="AA824">
        <f>IF(Z824="N/A","N/A",Z824-V824)</f>
        <v>1716.2724999999996</v>
      </c>
      <c r="AB824" s="8">
        <f>IF(Z824&lt;&gt;"N/A", AA824/Z824, "N/A")</f>
        <v>0.41754264322619683</v>
      </c>
      <c r="AC824">
        <f>MONTH(B824)</f>
        <v>2</v>
      </c>
      <c r="AD824">
        <f>YEAR(B824)</f>
        <v>2025</v>
      </c>
      <c r="AE824" s="10">
        <f t="shared" si="12"/>
        <v>2.4999999995998223E-3</v>
      </c>
      <c r="AF824" t="s">
        <v>2804</v>
      </c>
      <c r="AG824" t="s">
        <v>2811</v>
      </c>
    </row>
    <row r="825" spans="1:33">
      <c r="A825" t="s">
        <v>2222</v>
      </c>
      <c r="B825" s="4">
        <v>45814</v>
      </c>
      <c r="C825" s="4">
        <v>45818</v>
      </c>
      <c r="D825">
        <f>_xlfn.DAYS(C825,B825)</f>
        <v>4</v>
      </c>
      <c r="E825" t="s">
        <v>2804</v>
      </c>
      <c r="F825" t="s">
        <v>600</v>
      </c>
      <c r="G825" t="s">
        <v>36</v>
      </c>
      <c r="H825" t="s">
        <v>24</v>
      </c>
      <c r="I825" t="s">
        <v>63</v>
      </c>
      <c r="J825" t="s">
        <v>26</v>
      </c>
      <c r="K825" t="s">
        <v>109</v>
      </c>
      <c r="L825" t="s">
        <v>74</v>
      </c>
      <c r="M825" t="s">
        <v>274</v>
      </c>
      <c r="N825" t="s">
        <v>2223</v>
      </c>
      <c r="O825" t="s">
        <v>31</v>
      </c>
      <c r="P825">
        <v>1</v>
      </c>
      <c r="Q825">
        <v>289.97000000000003</v>
      </c>
      <c r="R825">
        <v>0.25</v>
      </c>
      <c r="S825">
        <f>IF(ISNUMBER(SEARCH("%",R825)), VALUE(SUBSTITUTE(R825,"%",""))/100,IF(ISNUMBER(R825), R825, 0))</f>
        <v>0.25</v>
      </c>
      <c r="T825" t="str">
        <f>IF(S825&lt;0,"Negative discount (invalid)",IF(S825&gt;0.5,"Discount above allowed range (invalid)",IF(AND(R825="",S825=0),"Missing discount set to 0","OK")))</f>
        <v>OK</v>
      </c>
      <c r="U825">
        <v>217.48</v>
      </c>
      <c r="V825">
        <v>132.13</v>
      </c>
      <c r="W825">
        <v>85.35</v>
      </c>
      <c r="X825" t="s">
        <v>32</v>
      </c>
      <c r="Y825" t="s">
        <v>33</v>
      </c>
      <c r="Z825">
        <f>IF(T825="OK",P825*Q825*(1-S825),"invalid")</f>
        <v>217.47750000000002</v>
      </c>
      <c r="AA825">
        <f>IF(Z825="N/A","N/A",Z825-V825)</f>
        <v>85.347500000000025</v>
      </c>
      <c r="AB825" s="8">
        <f>IF(Z825&lt;&gt;"N/A", AA825/Z825, "N/A")</f>
        <v>0.39244289639158081</v>
      </c>
      <c r="AC825">
        <f>MONTH(B825)</f>
        <v>6</v>
      </c>
      <c r="AD825">
        <f>YEAR(B825)</f>
        <v>2025</v>
      </c>
      <c r="AE825" s="10">
        <f t="shared" si="12"/>
        <v>2.4999999999693046E-3</v>
      </c>
      <c r="AF825" t="s">
        <v>2804</v>
      </c>
      <c r="AG825" t="s">
        <v>2811</v>
      </c>
    </row>
    <row r="826" spans="1:33">
      <c r="A826" t="s">
        <v>2224</v>
      </c>
      <c r="B826" s="4">
        <v>45738</v>
      </c>
      <c r="C826" s="4">
        <v>45739</v>
      </c>
      <c r="D826">
        <f>_xlfn.DAYS(C826,B826)</f>
        <v>1</v>
      </c>
      <c r="E826" t="s">
        <v>2804</v>
      </c>
      <c r="F826" t="s">
        <v>2225</v>
      </c>
      <c r="G826" t="s">
        <v>23</v>
      </c>
      <c r="H826" t="s">
        <v>95</v>
      </c>
      <c r="I826" t="s">
        <v>25</v>
      </c>
      <c r="J826" t="s">
        <v>350</v>
      </c>
      <c r="K826" t="s">
        <v>351</v>
      </c>
      <c r="L826" t="s">
        <v>74</v>
      </c>
      <c r="M826" t="s">
        <v>80</v>
      </c>
      <c r="N826" t="s">
        <v>2226</v>
      </c>
      <c r="O826" t="s">
        <v>59</v>
      </c>
      <c r="P826">
        <v>9</v>
      </c>
      <c r="Q826">
        <v>2075.02</v>
      </c>
      <c r="R826">
        <v>0</v>
      </c>
      <c r="S826">
        <f>IF(ISNUMBER(SEARCH("%",R826)), VALUE(SUBSTITUTE(R826,"%",""))/100,IF(ISNUMBER(R826), R826, 0))</f>
        <v>0</v>
      </c>
      <c r="T826" t="str">
        <f>IF(S826&lt;0,"Negative discount (invalid)",IF(S826&gt;0.5,"Discount above allowed range (invalid)",IF(AND(R826="",S826=0),"Missing discount set to 0","OK")))</f>
        <v>OK</v>
      </c>
      <c r="U826">
        <v>18675.18</v>
      </c>
      <c r="V826">
        <v>13974.7</v>
      </c>
      <c r="W826">
        <v>4700.4799999999996</v>
      </c>
      <c r="X826" t="s">
        <v>32</v>
      </c>
      <c r="Y826" t="s">
        <v>33</v>
      </c>
      <c r="Z826">
        <f>IF(T826="OK",P826*Q826*(1-S826),"invalid")</f>
        <v>18675.18</v>
      </c>
      <c r="AA826">
        <f>IF(Z826="N/A","N/A",Z826-V826)</f>
        <v>4700.4799999999996</v>
      </c>
      <c r="AB826" s="8">
        <f>IF(Z826&lt;&gt;"N/A", AA826/Z826, "N/A")</f>
        <v>0.25169663692665878</v>
      </c>
      <c r="AC826">
        <f>MONTH(B826)</f>
        <v>3</v>
      </c>
      <c r="AD826">
        <f>YEAR(B826)</f>
        <v>2025</v>
      </c>
      <c r="AE826" s="10">
        <f t="shared" si="12"/>
        <v>0</v>
      </c>
      <c r="AF826" t="s">
        <v>2804</v>
      </c>
      <c r="AG826" t="s">
        <v>2811</v>
      </c>
    </row>
    <row r="827" spans="1:33">
      <c r="A827" t="s">
        <v>2227</v>
      </c>
      <c r="B827" s="4">
        <v>45891</v>
      </c>
      <c r="C827" s="4">
        <v>45896</v>
      </c>
      <c r="D827">
        <f>_xlfn.DAYS(C827,B827)</f>
        <v>5</v>
      </c>
      <c r="E827" t="s">
        <v>2804</v>
      </c>
      <c r="F827" t="s">
        <v>2228</v>
      </c>
      <c r="G827" t="s">
        <v>114</v>
      </c>
      <c r="H827" t="s">
        <v>24</v>
      </c>
      <c r="I827" t="s">
        <v>25</v>
      </c>
      <c r="J827" t="s">
        <v>236</v>
      </c>
      <c r="K827" t="s">
        <v>237</v>
      </c>
      <c r="L827" t="s">
        <v>41</v>
      </c>
      <c r="M827" t="s">
        <v>66</v>
      </c>
      <c r="N827" t="s">
        <v>2229</v>
      </c>
      <c r="O827" t="s">
        <v>31</v>
      </c>
      <c r="P827">
        <v>7</v>
      </c>
      <c r="Q827">
        <v>2843.09</v>
      </c>
      <c r="R827">
        <v>0</v>
      </c>
      <c r="S827">
        <f>IF(ISNUMBER(SEARCH("%",R827)), VALUE(SUBSTITUTE(R827,"%",""))/100,IF(ISNUMBER(R827), R827, 0))</f>
        <v>0</v>
      </c>
      <c r="T827" t="str">
        <f>IF(S827&lt;0,"Negative discount (invalid)",IF(S827&gt;0.5,"Discount above allowed range (invalid)",IF(AND(R827="",S827=0),"Missing discount set to 0","OK")))</f>
        <v>OK</v>
      </c>
      <c r="U827">
        <v>19901.63</v>
      </c>
      <c r="V827">
        <v>15492.03</v>
      </c>
      <c r="W827">
        <v>4409.6000000000004</v>
      </c>
      <c r="X827" t="s">
        <v>102</v>
      </c>
      <c r="Y827" t="s">
        <v>68</v>
      </c>
      <c r="Z827">
        <f>IF(T827="OK",P827*Q827*(1-S827),"invalid")</f>
        <v>19901.63</v>
      </c>
      <c r="AA827">
        <f>IF(Z827="N/A","N/A",Z827-V827)</f>
        <v>4409.6000000000004</v>
      </c>
      <c r="AB827" s="8">
        <f>IF(Z827&lt;&gt;"N/A", AA827/Z827, "N/A")</f>
        <v>0.22156979101711771</v>
      </c>
      <c r="AC827">
        <f>MONTH(B827)</f>
        <v>8</v>
      </c>
      <c r="AD827">
        <f>YEAR(B827)</f>
        <v>2025</v>
      </c>
      <c r="AE827" s="10">
        <f t="shared" si="12"/>
        <v>0</v>
      </c>
      <c r="AF827" t="s">
        <v>2804</v>
      </c>
      <c r="AG827" t="s">
        <v>2811</v>
      </c>
    </row>
    <row r="828" spans="1:33">
      <c r="A828" t="s">
        <v>2230</v>
      </c>
      <c r="B828" s="4">
        <v>45895</v>
      </c>
      <c r="C828" s="4">
        <v>45900</v>
      </c>
      <c r="D828">
        <f>_xlfn.DAYS(C828,B828)</f>
        <v>5</v>
      </c>
      <c r="E828" t="s">
        <v>2804</v>
      </c>
      <c r="F828" t="s">
        <v>2231</v>
      </c>
      <c r="G828" t="s">
        <v>162</v>
      </c>
      <c r="H828" t="s">
        <v>37</v>
      </c>
      <c r="I828" t="s">
        <v>25</v>
      </c>
      <c r="J828" t="s">
        <v>236</v>
      </c>
      <c r="K828" t="s">
        <v>237</v>
      </c>
      <c r="L828" t="s">
        <v>74</v>
      </c>
      <c r="M828" t="s">
        <v>171</v>
      </c>
      <c r="N828" t="s">
        <v>2232</v>
      </c>
      <c r="O828" t="s">
        <v>50</v>
      </c>
      <c r="P828">
        <v>1</v>
      </c>
      <c r="Q828">
        <v>3388.02</v>
      </c>
      <c r="R828">
        <v>0.15</v>
      </c>
      <c r="S828">
        <f>IF(ISNUMBER(SEARCH("%",R828)), VALUE(SUBSTITUTE(R828,"%",""))/100,IF(ISNUMBER(R828), R828, 0))</f>
        <v>0.15</v>
      </c>
      <c r="T828" t="str">
        <f>IF(S828&lt;0,"Negative discount (invalid)",IF(S828&gt;0.5,"Discount above allowed range (invalid)",IF(AND(R828="",S828=0),"Missing discount set to 0","OK")))</f>
        <v>OK</v>
      </c>
      <c r="U828">
        <v>2879.82</v>
      </c>
      <c r="V828">
        <v>1824.88</v>
      </c>
      <c r="W828">
        <v>1054.94</v>
      </c>
      <c r="X828" t="s">
        <v>32</v>
      </c>
      <c r="Y828" t="s">
        <v>33</v>
      </c>
      <c r="Z828">
        <f>IF(T828="OK",P828*Q828*(1-S828),"invalid")</f>
        <v>2879.817</v>
      </c>
      <c r="AA828">
        <f>IF(Z828="N/A","N/A",Z828-V828)</f>
        <v>1054.9369999999999</v>
      </c>
      <c r="AB828" s="8">
        <f>IF(Z828&lt;&gt;"N/A", AA828/Z828, "N/A")</f>
        <v>0.3663208460815392</v>
      </c>
      <c r="AC828">
        <f>MONTH(B828)</f>
        <v>8</v>
      </c>
      <c r="AD828">
        <f>YEAR(B828)</f>
        <v>2025</v>
      </c>
      <c r="AE828" s="10">
        <f t="shared" si="12"/>
        <v>3.0000000001564331E-3</v>
      </c>
      <c r="AF828" t="s">
        <v>2804</v>
      </c>
      <c r="AG828" t="s">
        <v>2811</v>
      </c>
    </row>
    <row r="829" spans="1:33">
      <c r="A829" t="s">
        <v>2233</v>
      </c>
      <c r="B829" s="4">
        <v>45942</v>
      </c>
      <c r="C829" s="4">
        <v>45945</v>
      </c>
      <c r="D829">
        <f>_xlfn.DAYS(C829,B829)</f>
        <v>3</v>
      </c>
      <c r="E829" t="s">
        <v>2804</v>
      </c>
      <c r="F829" t="s">
        <v>2234</v>
      </c>
      <c r="G829" t="s">
        <v>264</v>
      </c>
      <c r="H829" t="s">
        <v>37</v>
      </c>
      <c r="I829" t="s">
        <v>25</v>
      </c>
      <c r="J829" t="s">
        <v>236</v>
      </c>
      <c r="K829" t="s">
        <v>237</v>
      </c>
      <c r="L829" t="s">
        <v>74</v>
      </c>
      <c r="M829" t="s">
        <v>274</v>
      </c>
      <c r="N829" t="s">
        <v>2235</v>
      </c>
      <c r="O829" t="s">
        <v>59</v>
      </c>
      <c r="P829">
        <v>9</v>
      </c>
      <c r="Q829">
        <v>2598.92</v>
      </c>
      <c r="R829">
        <v>0.2</v>
      </c>
      <c r="S829">
        <f>IF(ISNUMBER(SEARCH("%",R829)), VALUE(SUBSTITUTE(R829,"%",""))/100,IF(ISNUMBER(R829), R829, 0))</f>
        <v>0.2</v>
      </c>
      <c r="T829" t="str">
        <f>IF(S829&lt;0,"Negative discount (invalid)",IF(S829&gt;0.5,"Discount above allowed range (invalid)",IF(AND(R829="",S829=0),"Missing discount set to 0","OK")))</f>
        <v>OK</v>
      </c>
      <c r="U829">
        <v>18712.22</v>
      </c>
      <c r="V829">
        <v>11852.22</v>
      </c>
      <c r="W829">
        <v>6860</v>
      </c>
      <c r="X829" t="s">
        <v>111</v>
      </c>
      <c r="Y829" t="s">
        <v>68</v>
      </c>
      <c r="Z829">
        <f>IF(T829="OK",P829*Q829*(1-S829),"invalid")</f>
        <v>18712.223999999998</v>
      </c>
      <c r="AA829">
        <f>IF(Z829="N/A","N/A",Z829-V829)</f>
        <v>6860.003999999999</v>
      </c>
      <c r="AB829" s="8">
        <f>IF(Z829&lt;&gt;"N/A", AA829/Z829, "N/A")</f>
        <v>0.3666054874075898</v>
      </c>
      <c r="AC829">
        <f>MONTH(B829)</f>
        <v>10</v>
      </c>
      <c r="AD829">
        <f>YEAR(B829)</f>
        <v>2025</v>
      </c>
      <c r="AE829" s="10">
        <f t="shared" si="12"/>
        <v>3.9999999971769284E-3</v>
      </c>
      <c r="AF829" t="s">
        <v>2804</v>
      </c>
      <c r="AG829" t="s">
        <v>2811</v>
      </c>
    </row>
    <row r="830" spans="1:33">
      <c r="A830" t="s">
        <v>2239</v>
      </c>
      <c r="B830" s="4">
        <v>45908</v>
      </c>
      <c r="C830" s="4">
        <v>45909</v>
      </c>
      <c r="D830">
        <f>_xlfn.DAYS(C830,B830)</f>
        <v>1</v>
      </c>
      <c r="E830" t="s">
        <v>2804</v>
      </c>
      <c r="F830" t="s">
        <v>144</v>
      </c>
      <c r="G830" t="s">
        <v>264</v>
      </c>
      <c r="H830" t="s">
        <v>90</v>
      </c>
      <c r="I830" t="s">
        <v>63</v>
      </c>
      <c r="J830" t="s">
        <v>180</v>
      </c>
      <c r="K830" t="s">
        <v>181</v>
      </c>
      <c r="L830" t="s">
        <v>28</v>
      </c>
      <c r="M830" t="s">
        <v>48</v>
      </c>
      <c r="N830" t="s">
        <v>2240</v>
      </c>
      <c r="O830" t="s">
        <v>44</v>
      </c>
      <c r="P830">
        <v>2</v>
      </c>
      <c r="Q830">
        <v>2372.41</v>
      </c>
      <c r="R830">
        <v>0.2</v>
      </c>
      <c r="S830">
        <f>IF(ISNUMBER(SEARCH("%",R830)), VALUE(SUBSTITUTE(R830,"%",""))/100,IF(ISNUMBER(R830), R830, 0))</f>
        <v>0.2</v>
      </c>
      <c r="T830" t="str">
        <f>IF(S830&lt;0,"Negative discount (invalid)",IF(S830&gt;0.5,"Discount above allowed range (invalid)",IF(AND(R830="",S830=0),"Missing discount set to 0","OK")))</f>
        <v>OK</v>
      </c>
      <c r="U830">
        <v>3795.86</v>
      </c>
      <c r="V830">
        <v>2264.92</v>
      </c>
      <c r="W830">
        <v>1530.94</v>
      </c>
      <c r="X830" t="s">
        <v>32</v>
      </c>
      <c r="Y830" t="s">
        <v>33</v>
      </c>
      <c r="Z830">
        <f>IF(T830="OK",P830*Q830*(1-S830),"invalid")</f>
        <v>3795.8559999999998</v>
      </c>
      <c r="AA830">
        <f>IF(Z830="N/A","N/A",Z830-V830)</f>
        <v>1530.9359999999997</v>
      </c>
      <c r="AB830" s="8">
        <f>IF(Z830&lt;&gt;"N/A", AA830/Z830, "N/A")</f>
        <v>0.40331772332775528</v>
      </c>
      <c r="AC830">
        <f>MONTH(B830)</f>
        <v>9</v>
      </c>
      <c r="AD830">
        <f>YEAR(B830)</f>
        <v>2025</v>
      </c>
      <c r="AE830" s="10">
        <f t="shared" si="12"/>
        <v>4.0000000003601599E-3</v>
      </c>
      <c r="AF830" t="s">
        <v>2804</v>
      </c>
      <c r="AG830" t="s">
        <v>2811</v>
      </c>
    </row>
    <row r="831" spans="1:33">
      <c r="A831" t="s">
        <v>2244</v>
      </c>
      <c r="B831" s="4">
        <v>45827</v>
      </c>
      <c r="C831" s="4">
        <v>45831</v>
      </c>
      <c r="D831">
        <f>_xlfn.DAYS(C831,B831)</f>
        <v>4</v>
      </c>
      <c r="E831" t="s">
        <v>2804</v>
      </c>
      <c r="F831" t="s">
        <v>2245</v>
      </c>
      <c r="G831" t="s">
        <v>132</v>
      </c>
      <c r="H831" t="s">
        <v>24</v>
      </c>
      <c r="I831" t="s">
        <v>54</v>
      </c>
      <c r="J831" t="s">
        <v>175</v>
      </c>
      <c r="K831" t="s">
        <v>176</v>
      </c>
      <c r="L831" t="s">
        <v>74</v>
      </c>
      <c r="M831" t="s">
        <v>80</v>
      </c>
      <c r="N831" t="s">
        <v>2246</v>
      </c>
      <c r="O831" t="s">
        <v>50</v>
      </c>
      <c r="P831">
        <v>5</v>
      </c>
      <c r="Q831">
        <v>2729.95</v>
      </c>
      <c r="R831">
        <v>0</v>
      </c>
      <c r="S831">
        <f>IF(ISNUMBER(SEARCH("%",R831)), VALUE(SUBSTITUTE(R831,"%",""))/100,IF(ISNUMBER(R831), R831, 0))</f>
        <v>0</v>
      </c>
      <c r="T831" t="str">
        <f>IF(S831&lt;0,"Negative discount (invalid)",IF(S831&gt;0.5,"Discount above allowed range (invalid)",IF(AND(R831="",S831=0),"Missing discount set to 0","OK")))</f>
        <v>OK</v>
      </c>
      <c r="U831">
        <v>13649.75</v>
      </c>
      <c r="V831">
        <v>10288.030000000001</v>
      </c>
      <c r="W831">
        <v>3361.72</v>
      </c>
      <c r="X831" t="s">
        <v>32</v>
      </c>
      <c r="Y831" t="s">
        <v>33</v>
      </c>
      <c r="Z831">
        <f>IF(T831="OK",P831*Q831*(1-S831),"invalid")</f>
        <v>13649.75</v>
      </c>
      <c r="AA831">
        <f>IF(Z831="N/A","N/A",Z831-V831)</f>
        <v>3361.7199999999993</v>
      </c>
      <c r="AB831" s="8">
        <f>IF(Z831&lt;&gt;"N/A", AA831/Z831, "N/A")</f>
        <v>0.24628436418249414</v>
      </c>
      <c r="AC831">
        <f>MONTH(B831)</f>
        <v>6</v>
      </c>
      <c r="AD831">
        <f>YEAR(B831)</f>
        <v>2025</v>
      </c>
      <c r="AE831" s="10">
        <f t="shared" si="12"/>
        <v>0</v>
      </c>
      <c r="AF831" t="s">
        <v>2804</v>
      </c>
      <c r="AG831" t="s">
        <v>2811</v>
      </c>
    </row>
    <row r="832" spans="1:33">
      <c r="A832" t="s">
        <v>2250</v>
      </c>
      <c r="B832" s="4">
        <v>45936</v>
      </c>
      <c r="C832" s="4">
        <v>45943</v>
      </c>
      <c r="D832">
        <f>_xlfn.DAYS(C832,B832)</f>
        <v>7</v>
      </c>
      <c r="E832" t="s">
        <v>2804</v>
      </c>
      <c r="F832" t="s">
        <v>2251</v>
      </c>
      <c r="G832" t="s">
        <v>264</v>
      </c>
      <c r="H832" t="s">
        <v>95</v>
      </c>
      <c r="I832" t="s">
        <v>38</v>
      </c>
      <c r="J832" t="s">
        <v>228</v>
      </c>
      <c r="K832" t="s">
        <v>229</v>
      </c>
      <c r="L832" t="s">
        <v>74</v>
      </c>
      <c r="M832" t="s">
        <v>75</v>
      </c>
      <c r="N832" t="s">
        <v>2252</v>
      </c>
      <c r="O832" t="s">
        <v>59</v>
      </c>
      <c r="P832">
        <v>6</v>
      </c>
      <c r="Q832">
        <v>2391.9299999999998</v>
      </c>
      <c r="R832">
        <v>0.05</v>
      </c>
      <c r="S832">
        <f>IF(ISNUMBER(SEARCH("%",R832)), VALUE(SUBSTITUTE(R832,"%",""))/100,IF(ISNUMBER(R832), R832, 0))</f>
        <v>0.05</v>
      </c>
      <c r="T832" t="str">
        <f>IF(S832&lt;0,"Negative discount (invalid)",IF(S832&gt;0.5,"Discount above allowed range (invalid)",IF(AND(R832="",S832=0),"Missing discount set to 0","OK")))</f>
        <v>OK</v>
      </c>
      <c r="U832">
        <v>13634</v>
      </c>
      <c r="V832">
        <v>9589.81</v>
      </c>
      <c r="W832">
        <v>4044.19</v>
      </c>
      <c r="X832" t="s">
        <v>155</v>
      </c>
      <c r="Y832" t="s">
        <v>103</v>
      </c>
      <c r="Z832">
        <f>IF(T832="OK",P832*Q832*(1-S832),"invalid")</f>
        <v>13634.000999999998</v>
      </c>
      <c r="AA832">
        <f>IF(Z832="N/A","N/A",Z832-V832)</f>
        <v>4044.1909999999989</v>
      </c>
      <c r="AB832" s="8">
        <f>IF(Z832&lt;&gt;"N/A", AA832/Z832, "N/A")</f>
        <v>0.29662539998346776</v>
      </c>
      <c r="AC832">
        <f>MONTH(B832)</f>
        <v>10</v>
      </c>
      <c r="AD832">
        <f>YEAR(B832)</f>
        <v>2025</v>
      </c>
      <c r="AE832" s="10">
        <f t="shared" si="12"/>
        <v>9.9999999838473741E-4</v>
      </c>
      <c r="AF832" t="s">
        <v>2804</v>
      </c>
      <c r="AG832" t="s">
        <v>2811</v>
      </c>
    </row>
    <row r="833" spans="1:33">
      <c r="A833" t="s">
        <v>2256</v>
      </c>
      <c r="B833" s="4">
        <v>45935</v>
      </c>
      <c r="C833" s="4">
        <v>45942</v>
      </c>
      <c r="D833">
        <f>_xlfn.DAYS(C833,B833)</f>
        <v>7</v>
      </c>
      <c r="E833" t="s">
        <v>2804</v>
      </c>
      <c r="F833" t="s">
        <v>2257</v>
      </c>
      <c r="G833" t="s">
        <v>114</v>
      </c>
      <c r="H833" t="s">
        <v>90</v>
      </c>
      <c r="I833" t="s">
        <v>54</v>
      </c>
      <c r="J833" t="s">
        <v>175</v>
      </c>
      <c r="K833" t="s">
        <v>176</v>
      </c>
      <c r="L833" t="s">
        <v>41</v>
      </c>
      <c r="M833" t="s">
        <v>42</v>
      </c>
      <c r="N833" t="s">
        <v>2258</v>
      </c>
      <c r="O833" t="s">
        <v>31</v>
      </c>
      <c r="P833">
        <v>7</v>
      </c>
      <c r="Q833">
        <v>2134.73</v>
      </c>
      <c r="R833">
        <v>0</v>
      </c>
      <c r="S833">
        <f>IF(ISNUMBER(SEARCH("%",R833)), VALUE(SUBSTITUTE(R833,"%",""))/100,IF(ISNUMBER(R833), R833, 0))</f>
        <v>0</v>
      </c>
      <c r="T833" t="str">
        <f>IF(S833&lt;0,"Negative discount (invalid)",IF(S833&gt;0.5,"Discount above allowed range (invalid)",IF(AND(R833="",S833=0),"Missing discount set to 0","OK")))</f>
        <v>OK</v>
      </c>
      <c r="U833">
        <v>14943.11</v>
      </c>
      <c r="V833">
        <v>8521.5</v>
      </c>
      <c r="W833">
        <v>6421.61</v>
      </c>
      <c r="X833" t="s">
        <v>32</v>
      </c>
      <c r="Y833" t="s">
        <v>33</v>
      </c>
      <c r="Z833">
        <f>IF(T833="OK",P833*Q833*(1-S833),"invalid")</f>
        <v>14943.11</v>
      </c>
      <c r="AA833">
        <f>IF(Z833="N/A","N/A",Z833-V833)</f>
        <v>6421.6100000000006</v>
      </c>
      <c r="AB833" s="8">
        <f>IF(Z833&lt;&gt;"N/A", AA833/Z833, "N/A")</f>
        <v>0.42973718322357263</v>
      </c>
      <c r="AC833">
        <f>MONTH(B833)</f>
        <v>10</v>
      </c>
      <c r="AD833">
        <f>YEAR(B833)</f>
        <v>2025</v>
      </c>
      <c r="AE833" s="10">
        <f t="shared" si="12"/>
        <v>0</v>
      </c>
      <c r="AF833" t="s">
        <v>2804</v>
      </c>
      <c r="AG833" t="s">
        <v>2811</v>
      </c>
    </row>
    <row r="834" spans="1:33">
      <c r="A834" t="s">
        <v>2268</v>
      </c>
      <c r="B834" s="4">
        <v>45794</v>
      </c>
      <c r="C834" s="4">
        <v>45802</v>
      </c>
      <c r="D834">
        <f>_xlfn.DAYS(C834,B834)</f>
        <v>8</v>
      </c>
      <c r="E834" t="s">
        <v>2804</v>
      </c>
      <c r="F834" t="s">
        <v>2269</v>
      </c>
      <c r="G834" t="s">
        <v>62</v>
      </c>
      <c r="H834" t="s">
        <v>90</v>
      </c>
      <c r="I834" t="s">
        <v>54</v>
      </c>
      <c r="J834" t="s">
        <v>247</v>
      </c>
      <c r="K834" t="s">
        <v>248</v>
      </c>
      <c r="L834" t="s">
        <v>74</v>
      </c>
      <c r="M834" t="s">
        <v>274</v>
      </c>
      <c r="N834" t="s">
        <v>2270</v>
      </c>
      <c r="O834" t="s">
        <v>44</v>
      </c>
      <c r="P834">
        <v>6</v>
      </c>
      <c r="Q834">
        <v>1810.63</v>
      </c>
      <c r="R834">
        <v>0.15</v>
      </c>
      <c r="S834">
        <f>IF(ISNUMBER(SEARCH("%",R834)), VALUE(SUBSTITUTE(R834,"%",""))/100,IF(ISNUMBER(R834), R834, 0))</f>
        <v>0.15</v>
      </c>
      <c r="T834" t="str">
        <f>IF(S834&lt;0,"Negative discount (invalid)",IF(S834&gt;0.5,"Discount above allowed range (invalid)",IF(AND(R834="",S834=0),"Missing discount set to 0","OK")))</f>
        <v>OK</v>
      </c>
      <c r="U834">
        <v>9234.2099999999991</v>
      </c>
      <c r="V834">
        <v>5516.52</v>
      </c>
      <c r="W834">
        <v>3717.69</v>
      </c>
      <c r="X834" t="s">
        <v>32</v>
      </c>
      <c r="Y834" t="s">
        <v>33</v>
      </c>
      <c r="Z834">
        <f>IF(T834="OK",P834*Q834*(1-S834),"invalid")</f>
        <v>9234.2129999999997</v>
      </c>
      <c r="AA834">
        <f>IF(Z834="N/A","N/A",Z834-V834)</f>
        <v>3717.6929999999993</v>
      </c>
      <c r="AB834" s="8">
        <f>IF(Z834&lt;&gt;"N/A", AA834/Z834, "N/A")</f>
        <v>0.40259987505161504</v>
      </c>
      <c r="AC834">
        <f>MONTH(B834)</f>
        <v>5</v>
      </c>
      <c r="AD834">
        <f>YEAR(B834)</f>
        <v>2025</v>
      </c>
      <c r="AE834" s="10">
        <f t="shared" si="12"/>
        <v>3.0000000006111804E-3</v>
      </c>
      <c r="AF834" t="s">
        <v>2804</v>
      </c>
      <c r="AG834" t="s">
        <v>2811</v>
      </c>
    </row>
    <row r="835" spans="1:33">
      <c r="A835" t="s">
        <v>2271</v>
      </c>
      <c r="B835" s="4">
        <v>45827</v>
      </c>
      <c r="C835" s="4">
        <v>45832</v>
      </c>
      <c r="D835">
        <f>_xlfn.DAYS(C835,B835)</f>
        <v>5</v>
      </c>
      <c r="E835" t="s">
        <v>2804</v>
      </c>
      <c r="F835" t="s">
        <v>2272</v>
      </c>
      <c r="G835" t="s">
        <v>53</v>
      </c>
      <c r="H835" t="s">
        <v>24</v>
      </c>
      <c r="I835" t="s">
        <v>38</v>
      </c>
      <c r="J835" t="s">
        <v>99</v>
      </c>
      <c r="K835" t="s">
        <v>100</v>
      </c>
      <c r="L835" t="s">
        <v>28</v>
      </c>
      <c r="M835" t="s">
        <v>48</v>
      </c>
      <c r="N835" t="s">
        <v>2273</v>
      </c>
      <c r="O835" t="s">
        <v>31</v>
      </c>
      <c r="P835">
        <v>4</v>
      </c>
      <c r="Q835">
        <v>782.01</v>
      </c>
      <c r="R835">
        <v>0.15</v>
      </c>
      <c r="S835">
        <f>IF(ISNUMBER(SEARCH("%",R835)), VALUE(SUBSTITUTE(R835,"%",""))/100,IF(ISNUMBER(R835), R835, 0))</f>
        <v>0.15</v>
      </c>
      <c r="T835" t="str">
        <f>IF(S835&lt;0,"Negative discount (invalid)",IF(S835&gt;0.5,"Discount above allowed range (invalid)",IF(AND(R835="",S835=0),"Missing discount set to 0","OK")))</f>
        <v>OK</v>
      </c>
      <c r="U835">
        <v>2658.83</v>
      </c>
      <c r="V835">
        <v>2226.9699999999998</v>
      </c>
      <c r="W835">
        <v>431.86</v>
      </c>
      <c r="X835" t="s">
        <v>102</v>
      </c>
      <c r="Y835" t="s">
        <v>103</v>
      </c>
      <c r="Z835">
        <f>IF(T835="OK",P835*Q835*(1-S835),"invalid")</f>
        <v>2658.8339999999998</v>
      </c>
      <c r="AA835">
        <f>IF(Z835="N/A","N/A",Z835-V835)</f>
        <v>431.86400000000003</v>
      </c>
      <c r="AB835" s="8">
        <f>IF(Z835&lt;&gt;"N/A", AA835/Z835, "N/A")</f>
        <v>0.16242608602116568</v>
      </c>
      <c r="AC835">
        <f>MONTH(B835)</f>
        <v>6</v>
      </c>
      <c r="AD835">
        <f>YEAR(B835)</f>
        <v>2025</v>
      </c>
      <c r="AE835" s="10">
        <f t="shared" ref="AE835:AE898" si="13">IF(Z835&lt;&gt;"N/A",ABS(Z835-U835),"N/A")</f>
        <v>3.9999999999054126E-3</v>
      </c>
      <c r="AF835" t="s">
        <v>2804</v>
      </c>
      <c r="AG835" t="s">
        <v>2811</v>
      </c>
    </row>
    <row r="836" spans="1:33">
      <c r="A836" t="s">
        <v>2295</v>
      </c>
      <c r="B836" s="4">
        <v>45708</v>
      </c>
      <c r="C836" s="4">
        <v>45710</v>
      </c>
      <c r="D836">
        <f>_xlfn.DAYS(C836,B836)</f>
        <v>2</v>
      </c>
      <c r="E836" t="s">
        <v>2804</v>
      </c>
      <c r="F836" t="s">
        <v>2296</v>
      </c>
      <c r="G836" t="s">
        <v>114</v>
      </c>
      <c r="H836" t="s">
        <v>90</v>
      </c>
      <c r="I836" t="s">
        <v>54</v>
      </c>
      <c r="J836" t="s">
        <v>185</v>
      </c>
      <c r="K836" t="s">
        <v>186</v>
      </c>
      <c r="L836" t="s">
        <v>28</v>
      </c>
      <c r="M836" t="s">
        <v>29</v>
      </c>
      <c r="N836" t="s">
        <v>2297</v>
      </c>
      <c r="O836" t="s">
        <v>50</v>
      </c>
      <c r="P836">
        <v>1</v>
      </c>
      <c r="Q836">
        <v>2188.19</v>
      </c>
      <c r="R836">
        <v>0</v>
      </c>
      <c r="S836">
        <f>IF(ISNUMBER(SEARCH("%",R836)), VALUE(SUBSTITUTE(R836,"%",""))/100,IF(ISNUMBER(R836), R836, 0))</f>
        <v>0</v>
      </c>
      <c r="T836" t="str">
        <f>IF(S836&lt;0,"Negative discount (invalid)",IF(S836&gt;0.5,"Discount above allowed range (invalid)",IF(AND(R836="",S836=0),"Missing discount set to 0","OK")))</f>
        <v>OK</v>
      </c>
      <c r="U836">
        <v>2188.19</v>
      </c>
      <c r="V836">
        <v>1298.8399999999999</v>
      </c>
      <c r="W836">
        <v>889.35</v>
      </c>
      <c r="X836" t="s">
        <v>32</v>
      </c>
      <c r="Y836" t="s">
        <v>33</v>
      </c>
      <c r="Z836">
        <f>IF(T836="OK",P836*Q836*(1-S836),"invalid")</f>
        <v>2188.19</v>
      </c>
      <c r="AA836">
        <f>IF(Z836="N/A","N/A",Z836-V836)</f>
        <v>889.35000000000014</v>
      </c>
      <c r="AB836" s="8">
        <f>IF(Z836&lt;&gt;"N/A", AA836/Z836, "N/A")</f>
        <v>0.40643179979800664</v>
      </c>
      <c r="AC836">
        <f>MONTH(B836)</f>
        <v>2</v>
      </c>
      <c r="AD836">
        <f>YEAR(B836)</f>
        <v>2025</v>
      </c>
      <c r="AE836" s="10">
        <f t="shared" si="13"/>
        <v>0</v>
      </c>
      <c r="AF836" t="s">
        <v>2804</v>
      </c>
      <c r="AG836" t="s">
        <v>2811</v>
      </c>
    </row>
    <row r="837" spans="1:33">
      <c r="A837" t="s">
        <v>2303</v>
      </c>
      <c r="B837" s="4">
        <v>45770</v>
      </c>
      <c r="C837" s="4">
        <v>45772</v>
      </c>
      <c r="D837">
        <f>_xlfn.DAYS(C837,B837)</f>
        <v>2</v>
      </c>
      <c r="E837" t="s">
        <v>2804</v>
      </c>
      <c r="F837" t="s">
        <v>2304</v>
      </c>
      <c r="G837" t="s">
        <v>47</v>
      </c>
      <c r="H837" t="s">
        <v>95</v>
      </c>
      <c r="I837" t="s">
        <v>54</v>
      </c>
      <c r="J837" t="s">
        <v>247</v>
      </c>
      <c r="K837" t="s">
        <v>248</v>
      </c>
      <c r="L837" t="s">
        <v>41</v>
      </c>
      <c r="M837" t="s">
        <v>66</v>
      </c>
      <c r="N837" t="s">
        <v>2305</v>
      </c>
      <c r="O837" t="s">
        <v>31</v>
      </c>
      <c r="P837">
        <v>3</v>
      </c>
      <c r="Q837">
        <v>2951.12</v>
      </c>
      <c r="R837">
        <v>0</v>
      </c>
      <c r="S837">
        <f>IF(ISNUMBER(SEARCH("%",R837)), VALUE(SUBSTITUTE(R837,"%",""))/100,IF(ISNUMBER(R837), R837, 0))</f>
        <v>0</v>
      </c>
      <c r="T837" t="str">
        <f>IF(S837&lt;0,"Negative discount (invalid)",IF(S837&gt;0.5,"Discount above allowed range (invalid)",IF(AND(R837="",S837=0),"Missing discount set to 0","OK")))</f>
        <v>OK</v>
      </c>
      <c r="U837">
        <v>7082.69</v>
      </c>
      <c r="V837">
        <v>5596.34</v>
      </c>
      <c r="W837">
        <v>1486.35</v>
      </c>
      <c r="X837" t="s">
        <v>32</v>
      </c>
      <c r="Y837" t="s">
        <v>68</v>
      </c>
      <c r="Z837">
        <f>IF(T837="OK",P837*Q837*(1-S837),"invalid")</f>
        <v>8853.36</v>
      </c>
      <c r="AA837">
        <f>IF(Z837="N/A","N/A",Z837-V837)</f>
        <v>3257.0200000000004</v>
      </c>
      <c r="AB837" s="8">
        <f>IF(Z837&lt;&gt;"N/A", AA837/Z837, "N/A")</f>
        <v>0.36788518709280998</v>
      </c>
      <c r="AC837">
        <f>MONTH(B837)</f>
        <v>4</v>
      </c>
      <c r="AD837">
        <f>YEAR(B837)</f>
        <v>2025</v>
      </c>
      <c r="AE837" s="10">
        <f t="shared" si="13"/>
        <v>1770.670000000001</v>
      </c>
      <c r="AF837" t="s">
        <v>2807</v>
      </c>
      <c r="AG837" t="s">
        <v>2789</v>
      </c>
    </row>
    <row r="838" spans="1:33">
      <c r="A838" t="s">
        <v>2309</v>
      </c>
      <c r="B838" s="4">
        <v>45700</v>
      </c>
      <c r="C838" s="4">
        <v>45702</v>
      </c>
      <c r="D838">
        <f>_xlfn.DAYS(C838,B838)</f>
        <v>2</v>
      </c>
      <c r="E838" t="s">
        <v>2804</v>
      </c>
      <c r="F838" t="s">
        <v>2310</v>
      </c>
      <c r="G838" t="s">
        <v>132</v>
      </c>
      <c r="H838" t="s">
        <v>24</v>
      </c>
      <c r="I838" t="s">
        <v>25</v>
      </c>
      <c r="J838" t="s">
        <v>136</v>
      </c>
      <c r="K838" t="s">
        <v>137</v>
      </c>
      <c r="L838" t="s">
        <v>28</v>
      </c>
      <c r="M838" t="s">
        <v>48</v>
      </c>
      <c r="N838" t="s">
        <v>2311</v>
      </c>
      <c r="O838" t="s">
        <v>59</v>
      </c>
      <c r="P838">
        <v>6</v>
      </c>
      <c r="Q838">
        <v>491.4</v>
      </c>
      <c r="R838">
        <v>0.25</v>
      </c>
      <c r="S838">
        <f>IF(ISNUMBER(SEARCH("%",R838)), VALUE(SUBSTITUTE(R838,"%",""))/100,IF(ISNUMBER(R838), R838, 0))</f>
        <v>0.25</v>
      </c>
      <c r="T838" t="str">
        <f>IF(S838&lt;0,"Negative discount (invalid)",IF(S838&gt;0.5,"Discount above allowed range (invalid)",IF(AND(R838="",S838=0),"Missing discount set to 0","OK")))</f>
        <v>OK</v>
      </c>
      <c r="U838">
        <v>2211.3000000000002</v>
      </c>
      <c r="V838">
        <v>1735.64</v>
      </c>
      <c r="W838">
        <v>475.66</v>
      </c>
      <c r="X838" t="s">
        <v>32</v>
      </c>
      <c r="Y838" t="s">
        <v>33</v>
      </c>
      <c r="Z838">
        <f>IF(T838="OK",P838*Q838*(1-S838),"invalid")</f>
        <v>2211.2999999999997</v>
      </c>
      <c r="AA838">
        <f>IF(Z838="N/A","N/A",Z838-V838)</f>
        <v>475.65999999999963</v>
      </c>
      <c r="AB838" s="8">
        <f>IF(Z838&lt;&gt;"N/A", AA838/Z838, "N/A")</f>
        <v>0.21510423732645942</v>
      </c>
      <c r="AC838">
        <f>MONTH(B838)</f>
        <v>2</v>
      </c>
      <c r="AD838">
        <f>YEAR(B838)</f>
        <v>2025</v>
      </c>
      <c r="AE838" s="10">
        <f t="shared" si="13"/>
        <v>4.5474735088646412E-13</v>
      </c>
      <c r="AF838" t="s">
        <v>2804</v>
      </c>
      <c r="AG838" t="s">
        <v>2811</v>
      </c>
    </row>
    <row r="839" spans="1:33">
      <c r="A839" t="s">
        <v>2312</v>
      </c>
      <c r="B839" s="4">
        <v>45886</v>
      </c>
      <c r="C839" s="4">
        <v>45889</v>
      </c>
      <c r="D839">
        <f>_xlfn.DAYS(C839,B839)</f>
        <v>3</v>
      </c>
      <c r="E839" t="s">
        <v>2804</v>
      </c>
      <c r="F839" t="s">
        <v>2313</v>
      </c>
      <c r="G839" t="s">
        <v>36</v>
      </c>
      <c r="H839" t="s">
        <v>95</v>
      </c>
      <c r="I839" t="s">
        <v>25</v>
      </c>
      <c r="J839" t="s">
        <v>122</v>
      </c>
      <c r="K839" t="s">
        <v>123</v>
      </c>
      <c r="L839" t="s">
        <v>28</v>
      </c>
      <c r="M839" t="s">
        <v>153</v>
      </c>
      <c r="N839" t="s">
        <v>2314</v>
      </c>
      <c r="O839" t="s">
        <v>50</v>
      </c>
      <c r="P839">
        <v>5</v>
      </c>
      <c r="Q839">
        <v>2701.89</v>
      </c>
      <c r="R839">
        <v>0.1</v>
      </c>
      <c r="S839">
        <f>IF(ISNUMBER(SEARCH("%",R839)), VALUE(SUBSTITUTE(R839,"%",""))/100,IF(ISNUMBER(R839), R839, 0))</f>
        <v>0.1</v>
      </c>
      <c r="T839" t="str">
        <f>IF(S839&lt;0,"Negative discount (invalid)",IF(S839&gt;0.5,"Discount above allowed range (invalid)",IF(AND(R839="",S839=0),"Missing discount set to 0","OK")))</f>
        <v>OK</v>
      </c>
      <c r="U839">
        <v>12158.5</v>
      </c>
      <c r="V839">
        <v>10260.07</v>
      </c>
      <c r="W839">
        <v>1898.43</v>
      </c>
      <c r="X839" t="s">
        <v>32</v>
      </c>
      <c r="Y839" t="s">
        <v>68</v>
      </c>
      <c r="Z839">
        <f>IF(T839="OK",P839*Q839*(1-S839),"invalid")</f>
        <v>12158.504999999999</v>
      </c>
      <c r="AA839">
        <f>IF(Z839="N/A","N/A",Z839-V839)</f>
        <v>1898.4349999999995</v>
      </c>
      <c r="AB839" s="8">
        <f>IF(Z839&lt;&gt;"N/A", AA839/Z839, "N/A")</f>
        <v>0.15614049589155901</v>
      </c>
      <c r="AC839">
        <f>MONTH(B839)</f>
        <v>8</v>
      </c>
      <c r="AD839">
        <f>YEAR(B839)</f>
        <v>2025</v>
      </c>
      <c r="AE839" s="10">
        <f t="shared" si="13"/>
        <v>4.9999999991996447E-3</v>
      </c>
      <c r="AF839" t="s">
        <v>2804</v>
      </c>
      <c r="AG839" t="s">
        <v>2811</v>
      </c>
    </row>
    <row r="840" spans="1:33">
      <c r="A840" t="s">
        <v>2318</v>
      </c>
      <c r="B840" s="4">
        <v>45661</v>
      </c>
      <c r="C840" s="4">
        <v>45667</v>
      </c>
      <c r="D840">
        <f>_xlfn.DAYS(C840,B840)</f>
        <v>6</v>
      </c>
      <c r="E840" t="s">
        <v>2804</v>
      </c>
      <c r="F840" t="s">
        <v>2027</v>
      </c>
      <c r="G840" t="s">
        <v>128</v>
      </c>
      <c r="H840" t="s">
        <v>95</v>
      </c>
      <c r="I840" t="s">
        <v>38</v>
      </c>
      <c r="J840" t="s">
        <v>99</v>
      </c>
      <c r="K840" t="s">
        <v>100</v>
      </c>
      <c r="L840" t="s">
        <v>28</v>
      </c>
      <c r="M840" t="s">
        <v>29</v>
      </c>
      <c r="N840" t="s">
        <v>2319</v>
      </c>
      <c r="O840" t="s">
        <v>59</v>
      </c>
      <c r="P840">
        <v>4</v>
      </c>
      <c r="Q840">
        <v>2583.19</v>
      </c>
      <c r="R840">
        <v>0.2</v>
      </c>
      <c r="S840">
        <f>IF(ISNUMBER(SEARCH("%",R840)), VALUE(SUBSTITUTE(R840,"%",""))/100,IF(ISNUMBER(R840), R840, 0))</f>
        <v>0.2</v>
      </c>
      <c r="T840" t="str">
        <f>IF(S840&lt;0,"Negative discount (invalid)",IF(S840&gt;0.5,"Discount above allowed range (invalid)",IF(AND(R840="",S840=0),"Missing discount set to 0","OK")))</f>
        <v>OK</v>
      </c>
      <c r="U840">
        <v>8266.2099999999991</v>
      </c>
      <c r="V840">
        <v>6236.32</v>
      </c>
      <c r="W840">
        <v>2029.89</v>
      </c>
      <c r="X840" t="s">
        <v>32</v>
      </c>
      <c r="Y840" t="s">
        <v>33</v>
      </c>
      <c r="Z840">
        <f>IF(T840="OK",P840*Q840*(1-S840),"invalid")</f>
        <v>8266.2080000000005</v>
      </c>
      <c r="AA840">
        <f>IF(Z840="N/A","N/A",Z840-V840)</f>
        <v>2029.8880000000008</v>
      </c>
      <c r="AB840" s="8">
        <f>IF(Z840&lt;&gt;"N/A", AA840/Z840, "N/A")</f>
        <v>0.24556459261610653</v>
      </c>
      <c r="AC840">
        <f>MONTH(B840)</f>
        <v>1</v>
      </c>
      <c r="AD840">
        <f>YEAR(B840)</f>
        <v>2025</v>
      </c>
      <c r="AE840" s="10">
        <f t="shared" si="13"/>
        <v>1.9999999985884642E-3</v>
      </c>
      <c r="AF840" t="s">
        <v>2804</v>
      </c>
      <c r="AG840" t="s">
        <v>2811</v>
      </c>
    </row>
    <row r="841" spans="1:33">
      <c r="A841" t="s">
        <v>2329</v>
      </c>
      <c r="B841" s="4">
        <v>45810</v>
      </c>
      <c r="C841" s="4">
        <v>45810</v>
      </c>
      <c r="D841">
        <f>_xlfn.DAYS(C841,B841)</f>
        <v>0</v>
      </c>
      <c r="E841" t="s">
        <v>2804</v>
      </c>
      <c r="F841" t="s">
        <v>2330</v>
      </c>
      <c r="G841" t="s">
        <v>128</v>
      </c>
      <c r="H841" t="s">
        <v>95</v>
      </c>
      <c r="I841" t="s">
        <v>54</v>
      </c>
      <c r="J841" t="s">
        <v>55</v>
      </c>
      <c r="K841" t="s">
        <v>56</v>
      </c>
      <c r="L841" t="s">
        <v>74</v>
      </c>
      <c r="M841" t="s">
        <v>75</v>
      </c>
      <c r="N841" t="s">
        <v>2331</v>
      </c>
      <c r="O841" t="s">
        <v>50</v>
      </c>
      <c r="P841">
        <v>8</v>
      </c>
      <c r="Q841">
        <v>3925.93</v>
      </c>
      <c r="R841">
        <v>0.15</v>
      </c>
      <c r="S841">
        <f>IF(ISNUMBER(SEARCH("%",R841)), VALUE(SUBSTITUTE(R841,"%",""))/100,IF(ISNUMBER(R841), R841, 0))</f>
        <v>0.15</v>
      </c>
      <c r="T841" t="str">
        <f>IF(S841&lt;0,"Negative discount (invalid)",IF(S841&gt;0.5,"Discount above allowed range (invalid)",IF(AND(R841="",S841=0),"Missing discount set to 0","OK")))</f>
        <v>OK</v>
      </c>
      <c r="U841">
        <v>26696.32</v>
      </c>
      <c r="V841">
        <v>22724.52</v>
      </c>
      <c r="W841">
        <v>3971.8</v>
      </c>
      <c r="X841" t="s">
        <v>32</v>
      </c>
      <c r="Y841" t="s">
        <v>33</v>
      </c>
      <c r="Z841">
        <f>IF(T841="OK",P841*Q841*(1-S841),"invalid")</f>
        <v>26696.323999999997</v>
      </c>
      <c r="AA841">
        <f>IF(Z841="N/A","N/A",Z841-V841)</f>
        <v>3971.8039999999964</v>
      </c>
      <c r="AB841" s="8">
        <f>IF(Z841&lt;&gt;"N/A", AA841/Z841, "N/A")</f>
        <v>0.14877718745097629</v>
      </c>
      <c r="AC841">
        <f>MONTH(B841)</f>
        <v>6</v>
      </c>
      <c r="AD841">
        <f>YEAR(B841)</f>
        <v>2025</v>
      </c>
      <c r="AE841" s="10">
        <f t="shared" si="13"/>
        <v>3.9999999971769284E-3</v>
      </c>
      <c r="AF841" t="s">
        <v>2804</v>
      </c>
      <c r="AG841" t="s">
        <v>2811</v>
      </c>
    </row>
    <row r="842" spans="1:33">
      <c r="A842" t="s">
        <v>2332</v>
      </c>
      <c r="B842" s="4">
        <v>45856</v>
      </c>
      <c r="C842" s="4">
        <v>45857</v>
      </c>
      <c r="D842">
        <f>_xlfn.DAYS(C842,B842)</f>
        <v>1</v>
      </c>
      <c r="E842" t="s">
        <v>2804</v>
      </c>
      <c r="F842" t="s">
        <v>2333</v>
      </c>
      <c r="G842" t="s">
        <v>114</v>
      </c>
      <c r="H842" t="s">
        <v>95</v>
      </c>
      <c r="I842" t="s">
        <v>2785</v>
      </c>
      <c r="J842" t="s">
        <v>136</v>
      </c>
      <c r="K842" t="s">
        <v>137</v>
      </c>
      <c r="L842" t="s">
        <v>74</v>
      </c>
      <c r="M842" t="s">
        <v>274</v>
      </c>
      <c r="N842" t="s">
        <v>2334</v>
      </c>
      <c r="O842" t="s">
        <v>2785</v>
      </c>
      <c r="P842">
        <v>3</v>
      </c>
      <c r="Q842">
        <v>2963.25</v>
      </c>
      <c r="R842">
        <v>0.05</v>
      </c>
      <c r="S842">
        <f>IF(ISNUMBER(SEARCH("%",R842)), VALUE(SUBSTITUTE(R842,"%",""))/100,IF(ISNUMBER(R842), R842, 0))</f>
        <v>0.05</v>
      </c>
      <c r="T842" t="str">
        <f>IF(S842&lt;0,"Negative discount (invalid)",IF(S842&gt;0.5,"Discount above allowed range (invalid)",IF(AND(R842="",S842=0),"Missing discount set to 0","OK")))</f>
        <v>OK</v>
      </c>
      <c r="U842">
        <v>8445.26</v>
      </c>
      <c r="V842">
        <v>6937.6</v>
      </c>
      <c r="W842">
        <v>1507.66</v>
      </c>
      <c r="X842" t="s">
        <v>32</v>
      </c>
      <c r="Y842" t="s">
        <v>33</v>
      </c>
      <c r="Z842">
        <f>IF(T842="OK",P842*Q842*(1-S842),"invalid")</f>
        <v>8445.2624999999989</v>
      </c>
      <c r="AA842">
        <f>IF(Z842="N/A","N/A",Z842-V842)</f>
        <v>1507.6624999999985</v>
      </c>
      <c r="AB842" s="8">
        <f>IF(Z842&lt;&gt;"N/A", AA842/Z842, "N/A")</f>
        <v>0.17852168597482893</v>
      </c>
      <c r="AC842">
        <f>MONTH(B842)</f>
        <v>7</v>
      </c>
      <c r="AD842">
        <f>YEAR(B842)</f>
        <v>2025</v>
      </c>
      <c r="AE842" s="10">
        <f t="shared" si="13"/>
        <v>2.4999999986903276E-3</v>
      </c>
      <c r="AF842" t="s">
        <v>2801</v>
      </c>
      <c r="AG842" t="s">
        <v>2798</v>
      </c>
    </row>
    <row r="843" spans="1:33">
      <c r="A843" t="s">
        <v>2341</v>
      </c>
      <c r="B843" s="4">
        <v>45812</v>
      </c>
      <c r="C843" s="4">
        <v>45812</v>
      </c>
      <c r="D843">
        <f>_xlfn.DAYS(C843,B843)</f>
        <v>0</v>
      </c>
      <c r="E843" t="s">
        <v>2804</v>
      </c>
      <c r="F843" t="s">
        <v>2342</v>
      </c>
      <c r="G843" t="s">
        <v>79</v>
      </c>
      <c r="H843" t="s">
        <v>90</v>
      </c>
      <c r="I843" t="s">
        <v>54</v>
      </c>
      <c r="J843" t="s">
        <v>185</v>
      </c>
      <c r="K843" t="s">
        <v>186</v>
      </c>
      <c r="L843" t="s">
        <v>28</v>
      </c>
      <c r="M843" t="s">
        <v>124</v>
      </c>
      <c r="N843" t="s">
        <v>2343</v>
      </c>
      <c r="O843" t="s">
        <v>59</v>
      </c>
      <c r="P843">
        <v>4</v>
      </c>
      <c r="Q843">
        <v>891.34</v>
      </c>
      <c r="R843">
        <v>0.25</v>
      </c>
      <c r="S843">
        <f>IF(ISNUMBER(SEARCH("%",R843)), VALUE(SUBSTITUTE(R843,"%",""))/100,IF(ISNUMBER(R843), R843, 0))</f>
        <v>0.25</v>
      </c>
      <c r="T843" t="str">
        <f>IF(S843&lt;0,"Negative discount (invalid)",IF(S843&gt;0.5,"Discount above allowed range (invalid)",IF(AND(R843="",S843=0),"Missing discount set to 0","OK")))</f>
        <v>OK</v>
      </c>
      <c r="U843">
        <v>2674.02</v>
      </c>
      <c r="V843">
        <v>2207.5700000000002</v>
      </c>
      <c r="W843">
        <v>466.45</v>
      </c>
      <c r="X843" t="s">
        <v>32</v>
      </c>
      <c r="Y843" t="s">
        <v>33</v>
      </c>
      <c r="Z843">
        <f>IF(T843="OK",P843*Q843*(1-S843),"invalid")</f>
        <v>2674.02</v>
      </c>
      <c r="AA843">
        <f>IF(Z843="N/A","N/A",Z843-V843)</f>
        <v>466.44999999999982</v>
      </c>
      <c r="AB843" s="8">
        <f>IF(Z843&lt;&gt;"N/A", AA843/Z843, "N/A")</f>
        <v>0.17443773793763689</v>
      </c>
      <c r="AC843">
        <f>MONTH(B843)</f>
        <v>6</v>
      </c>
      <c r="AD843">
        <f>YEAR(B843)</f>
        <v>2025</v>
      </c>
      <c r="AE843" s="10">
        <f t="shared" si="13"/>
        <v>0</v>
      </c>
      <c r="AF843" t="s">
        <v>2804</v>
      </c>
      <c r="AG843" t="s">
        <v>2811</v>
      </c>
    </row>
    <row r="844" spans="1:33">
      <c r="A844" t="s">
        <v>2344</v>
      </c>
      <c r="B844" s="4">
        <v>45858</v>
      </c>
      <c r="C844" s="4">
        <v>45862</v>
      </c>
      <c r="D844">
        <f>_xlfn.DAYS(C844,B844)</f>
        <v>4</v>
      </c>
      <c r="E844" t="s">
        <v>2804</v>
      </c>
      <c r="F844" t="s">
        <v>2345</v>
      </c>
      <c r="G844" t="s">
        <v>114</v>
      </c>
      <c r="H844" t="s">
        <v>95</v>
      </c>
      <c r="I844" t="s">
        <v>63</v>
      </c>
      <c r="J844" t="s">
        <v>72</v>
      </c>
      <c r="K844" t="s">
        <v>73</v>
      </c>
      <c r="L844" t="s">
        <v>28</v>
      </c>
      <c r="M844" t="s">
        <v>124</v>
      </c>
      <c r="N844" t="s">
        <v>2346</v>
      </c>
      <c r="O844" t="s">
        <v>31</v>
      </c>
      <c r="P844">
        <v>5</v>
      </c>
      <c r="Q844">
        <v>2481.7399999999998</v>
      </c>
      <c r="R844">
        <v>0.2</v>
      </c>
      <c r="S844">
        <f>IF(ISNUMBER(SEARCH("%",R844)), VALUE(SUBSTITUTE(R844,"%",""))/100,IF(ISNUMBER(R844), R844, 0))</f>
        <v>0.2</v>
      </c>
      <c r="T844" t="str">
        <f>IF(S844&lt;0,"Negative discount (invalid)",IF(S844&gt;0.5,"Discount above allowed range (invalid)",IF(AND(R844="",S844=0),"Missing discount set to 0","OK")))</f>
        <v>OK</v>
      </c>
      <c r="U844">
        <v>9926.9599999999991</v>
      </c>
      <c r="V844">
        <v>7994.98</v>
      </c>
      <c r="W844">
        <v>1931.98</v>
      </c>
      <c r="X844" t="s">
        <v>32</v>
      </c>
      <c r="Y844" t="s">
        <v>33</v>
      </c>
      <c r="Z844">
        <f>IF(T844="OK",P844*Q844*(1-S844),"invalid")</f>
        <v>9926.9599999999991</v>
      </c>
      <c r="AA844">
        <f>IF(Z844="N/A","N/A",Z844-V844)</f>
        <v>1931.9799999999996</v>
      </c>
      <c r="AB844" s="8">
        <f>IF(Z844&lt;&gt;"N/A", AA844/Z844, "N/A")</f>
        <v>0.19461950083409219</v>
      </c>
      <c r="AC844">
        <f>MONTH(B844)</f>
        <v>7</v>
      </c>
      <c r="AD844">
        <f>YEAR(B844)</f>
        <v>2025</v>
      </c>
      <c r="AE844" s="10">
        <f t="shared" si="13"/>
        <v>0</v>
      </c>
      <c r="AF844" t="s">
        <v>2804</v>
      </c>
      <c r="AG844" t="s">
        <v>2811</v>
      </c>
    </row>
    <row r="845" spans="1:33">
      <c r="A845" t="s">
        <v>2350</v>
      </c>
      <c r="B845" s="4">
        <v>45870</v>
      </c>
      <c r="C845" s="4">
        <v>45872</v>
      </c>
      <c r="D845">
        <f>_xlfn.DAYS(C845,B845)</f>
        <v>2</v>
      </c>
      <c r="E845" t="s">
        <v>2804</v>
      </c>
      <c r="F845" t="s">
        <v>2351</v>
      </c>
      <c r="G845" t="s">
        <v>89</v>
      </c>
      <c r="H845" t="s">
        <v>37</v>
      </c>
      <c r="I845" t="s">
        <v>54</v>
      </c>
      <c r="J845" t="s">
        <v>185</v>
      </c>
      <c r="K845" t="s">
        <v>186</v>
      </c>
      <c r="L845" t="s">
        <v>41</v>
      </c>
      <c r="M845" t="s">
        <v>158</v>
      </c>
      <c r="N845" t="s">
        <v>2352</v>
      </c>
      <c r="O845" t="s">
        <v>59</v>
      </c>
      <c r="P845">
        <v>3</v>
      </c>
      <c r="Q845">
        <v>1904.78</v>
      </c>
      <c r="R845">
        <v>0.25</v>
      </c>
      <c r="S845">
        <f>IF(ISNUMBER(SEARCH("%",R845)), VALUE(SUBSTITUTE(R845,"%",""))/100,IF(ISNUMBER(R845), R845, 0))</f>
        <v>0.25</v>
      </c>
      <c r="T845" t="str">
        <f>IF(S845&lt;0,"Negative discount (invalid)",IF(S845&gt;0.5,"Discount above allowed range (invalid)",IF(AND(R845="",S845=0),"Missing discount set to 0","OK")))</f>
        <v>OK</v>
      </c>
      <c r="U845">
        <v>4285.76</v>
      </c>
      <c r="V845">
        <v>2386.33</v>
      </c>
      <c r="W845">
        <v>1899.43</v>
      </c>
      <c r="X845" t="s">
        <v>155</v>
      </c>
      <c r="Y845" t="s">
        <v>68</v>
      </c>
      <c r="Z845">
        <f>IF(T845="OK",P845*Q845*(1-S845),"invalid")</f>
        <v>4285.7550000000001</v>
      </c>
      <c r="AA845">
        <f>IF(Z845="N/A","N/A",Z845-V845)</f>
        <v>1899.4250000000002</v>
      </c>
      <c r="AB845" s="8">
        <f>IF(Z845&lt;&gt;"N/A", AA845/Z845, "N/A")</f>
        <v>0.44319495631458172</v>
      </c>
      <c r="AC845">
        <f>MONTH(B845)</f>
        <v>8</v>
      </c>
      <c r="AD845">
        <f>YEAR(B845)</f>
        <v>2025</v>
      </c>
      <c r="AE845" s="10">
        <f t="shared" si="13"/>
        <v>5.0000000001091394E-3</v>
      </c>
      <c r="AF845" t="s">
        <v>2804</v>
      </c>
      <c r="AG845" t="s">
        <v>2811</v>
      </c>
    </row>
    <row r="846" spans="1:33">
      <c r="A846" t="s">
        <v>2362</v>
      </c>
      <c r="B846" s="4">
        <v>45896</v>
      </c>
      <c r="C846" s="4">
        <v>45900</v>
      </c>
      <c r="D846">
        <f>_xlfn.DAYS(C846,B846)</f>
        <v>4</v>
      </c>
      <c r="E846" t="s">
        <v>2804</v>
      </c>
      <c r="F846" t="s">
        <v>2363</v>
      </c>
      <c r="G846" t="s">
        <v>47</v>
      </c>
      <c r="H846" t="s">
        <v>24</v>
      </c>
      <c r="I846" t="s">
        <v>54</v>
      </c>
      <c r="J846" t="s">
        <v>175</v>
      </c>
      <c r="K846" t="s">
        <v>176</v>
      </c>
      <c r="L846" t="s">
        <v>74</v>
      </c>
      <c r="M846" t="s">
        <v>274</v>
      </c>
      <c r="N846" t="s">
        <v>2364</v>
      </c>
      <c r="O846" t="s">
        <v>50</v>
      </c>
      <c r="P846">
        <v>3</v>
      </c>
      <c r="Q846">
        <v>2489.12</v>
      </c>
      <c r="R846">
        <v>0</v>
      </c>
      <c r="S846">
        <f>IF(ISNUMBER(SEARCH("%",R846)), VALUE(SUBSTITUTE(R846,"%",""))/100,IF(ISNUMBER(R846), R846, 0))</f>
        <v>0</v>
      </c>
      <c r="T846" t="str">
        <f>IF(S846&lt;0,"Negative discount (invalid)",IF(S846&gt;0.5,"Discount above allowed range (invalid)",IF(AND(R846="",S846=0),"Missing discount set to 0","OK")))</f>
        <v>OK</v>
      </c>
      <c r="U846">
        <v>7467.36</v>
      </c>
      <c r="V846">
        <v>5010.6099999999997</v>
      </c>
      <c r="W846">
        <v>2456.75</v>
      </c>
      <c r="X846" t="s">
        <v>32</v>
      </c>
      <c r="Y846" t="s">
        <v>33</v>
      </c>
      <c r="Z846">
        <f>IF(T846="OK",P846*Q846*(1-S846),"invalid")</f>
        <v>7467.36</v>
      </c>
      <c r="AA846">
        <f>IF(Z846="N/A","N/A",Z846-V846)</f>
        <v>2456.75</v>
      </c>
      <c r="AB846" s="8">
        <f>IF(Z846&lt;&gt;"N/A", AA846/Z846, "N/A")</f>
        <v>0.32899846799940008</v>
      </c>
      <c r="AC846">
        <f>MONTH(B846)</f>
        <v>8</v>
      </c>
      <c r="AD846">
        <f>YEAR(B846)</f>
        <v>2025</v>
      </c>
      <c r="AE846" s="10">
        <f t="shared" si="13"/>
        <v>0</v>
      </c>
      <c r="AF846" t="s">
        <v>2804</v>
      </c>
      <c r="AG846" t="s">
        <v>2811</v>
      </c>
    </row>
    <row r="847" spans="1:33">
      <c r="A847" t="s">
        <v>2368</v>
      </c>
      <c r="B847" s="4">
        <v>45892</v>
      </c>
      <c r="C847" s="4">
        <v>45894</v>
      </c>
      <c r="D847">
        <f>_xlfn.DAYS(C847,B847)</f>
        <v>2</v>
      </c>
      <c r="E847" t="s">
        <v>2804</v>
      </c>
      <c r="F847" t="s">
        <v>2369</v>
      </c>
      <c r="G847" t="s">
        <v>162</v>
      </c>
      <c r="H847" t="s">
        <v>24</v>
      </c>
      <c r="I847" t="s">
        <v>25</v>
      </c>
      <c r="J847" t="s">
        <v>26</v>
      </c>
      <c r="K847" t="s">
        <v>27</v>
      </c>
      <c r="L847" t="s">
        <v>41</v>
      </c>
      <c r="M847" t="s">
        <v>57</v>
      </c>
      <c r="N847" t="s">
        <v>2370</v>
      </c>
      <c r="O847" t="s">
        <v>44</v>
      </c>
      <c r="P847">
        <v>6</v>
      </c>
      <c r="Q847">
        <v>2742.48</v>
      </c>
      <c r="R847">
        <v>0</v>
      </c>
      <c r="S847">
        <f>IF(ISNUMBER(SEARCH("%",R847)), VALUE(SUBSTITUTE(R847,"%",""))/100,IF(ISNUMBER(R847), R847, 0))</f>
        <v>0</v>
      </c>
      <c r="T847" t="str">
        <f>IF(S847&lt;0,"Negative discount (invalid)",IF(S847&gt;0.5,"Discount above allowed range (invalid)",IF(AND(R847="",S847=0),"Missing discount set to 0","OK")))</f>
        <v>OK</v>
      </c>
      <c r="U847">
        <v>16454.88</v>
      </c>
      <c r="V847">
        <v>12081.54</v>
      </c>
      <c r="W847">
        <v>4373.34</v>
      </c>
      <c r="X847" t="s">
        <v>32</v>
      </c>
      <c r="Y847" t="s">
        <v>33</v>
      </c>
      <c r="Z847">
        <f>IF(T847="OK",P847*Q847*(1-S847),"invalid")</f>
        <v>16454.88</v>
      </c>
      <c r="AA847">
        <f>IF(Z847="N/A","N/A",Z847-V847)</f>
        <v>4373.34</v>
      </c>
      <c r="AB847" s="8">
        <f>IF(Z847&lt;&gt;"N/A", AA847/Z847, "N/A")</f>
        <v>0.26577769026574488</v>
      </c>
      <c r="AC847">
        <f>MONTH(B847)</f>
        <v>8</v>
      </c>
      <c r="AD847">
        <f>YEAR(B847)</f>
        <v>2025</v>
      </c>
      <c r="AE847" s="10">
        <f t="shared" si="13"/>
        <v>0</v>
      </c>
      <c r="AF847" t="s">
        <v>2804</v>
      </c>
      <c r="AG847" t="s">
        <v>2811</v>
      </c>
    </row>
    <row r="848" spans="1:33">
      <c r="A848" t="s">
        <v>2371</v>
      </c>
      <c r="B848" s="4">
        <v>45760</v>
      </c>
      <c r="C848" s="4">
        <v>45760</v>
      </c>
      <c r="D848">
        <f>_xlfn.DAYS(C848,B848)</f>
        <v>0</v>
      </c>
      <c r="E848" t="s">
        <v>2804</v>
      </c>
      <c r="F848" t="s">
        <v>887</v>
      </c>
      <c r="G848" t="s">
        <v>114</v>
      </c>
      <c r="H848" t="s">
        <v>90</v>
      </c>
      <c r="I848" t="s">
        <v>54</v>
      </c>
      <c r="J848" t="s">
        <v>185</v>
      </c>
      <c r="K848" t="s">
        <v>186</v>
      </c>
      <c r="L848" t="s">
        <v>41</v>
      </c>
      <c r="M848" t="s">
        <v>158</v>
      </c>
      <c r="N848" t="s">
        <v>2372</v>
      </c>
      <c r="O848" t="s">
        <v>50</v>
      </c>
      <c r="P848">
        <v>6</v>
      </c>
      <c r="Q848">
        <v>4414</v>
      </c>
      <c r="R848">
        <v>0.05</v>
      </c>
      <c r="S848">
        <f>IF(ISNUMBER(SEARCH("%",R848)), VALUE(SUBSTITUTE(R848,"%",""))/100,IF(ISNUMBER(R848), R848, 0))</f>
        <v>0.05</v>
      </c>
      <c r="T848" t="str">
        <f>IF(S848&lt;0,"Negative discount (invalid)",IF(S848&gt;0.5,"Discount above allowed range (invalid)",IF(AND(R848="",S848=0),"Missing discount set to 0","OK")))</f>
        <v>OK</v>
      </c>
      <c r="U848">
        <v>25159.8</v>
      </c>
      <c r="V848">
        <v>21606.83</v>
      </c>
      <c r="W848">
        <v>3552.97</v>
      </c>
      <c r="X848" t="s">
        <v>32</v>
      </c>
      <c r="Y848" t="s">
        <v>33</v>
      </c>
      <c r="Z848">
        <f>IF(T848="OK",P848*Q848*(1-S848),"invalid")</f>
        <v>25159.8</v>
      </c>
      <c r="AA848">
        <f>IF(Z848="N/A","N/A",Z848-V848)</f>
        <v>3552.9699999999975</v>
      </c>
      <c r="AB848" s="8">
        <f>IF(Z848&lt;&gt;"N/A", AA848/Z848, "N/A")</f>
        <v>0.14121614639226057</v>
      </c>
      <c r="AC848">
        <f>MONTH(B848)</f>
        <v>4</v>
      </c>
      <c r="AD848">
        <f>YEAR(B848)</f>
        <v>2025</v>
      </c>
      <c r="AE848" s="10">
        <f t="shared" si="13"/>
        <v>0</v>
      </c>
      <c r="AF848" t="s">
        <v>2804</v>
      </c>
      <c r="AG848" t="s">
        <v>2811</v>
      </c>
    </row>
    <row r="849" spans="1:33">
      <c r="A849" t="s">
        <v>2373</v>
      </c>
      <c r="B849" s="4">
        <v>45837</v>
      </c>
      <c r="C849" s="4">
        <v>45841</v>
      </c>
      <c r="D849">
        <f>_xlfn.DAYS(C849,B849)</f>
        <v>4</v>
      </c>
      <c r="E849" t="s">
        <v>2804</v>
      </c>
      <c r="F849" t="s">
        <v>2374</v>
      </c>
      <c r="G849" t="s">
        <v>71</v>
      </c>
      <c r="H849" t="s">
        <v>90</v>
      </c>
      <c r="I849" t="s">
        <v>38</v>
      </c>
      <c r="J849" t="s">
        <v>228</v>
      </c>
      <c r="K849" t="s">
        <v>229</v>
      </c>
      <c r="L849" t="s">
        <v>28</v>
      </c>
      <c r="M849" t="s">
        <v>91</v>
      </c>
      <c r="N849" t="s">
        <v>2375</v>
      </c>
      <c r="O849" t="s">
        <v>50</v>
      </c>
      <c r="P849">
        <v>3</v>
      </c>
      <c r="Q849">
        <v>608.14</v>
      </c>
      <c r="R849">
        <v>0</v>
      </c>
      <c r="S849">
        <f>IF(ISNUMBER(SEARCH("%",R849)), VALUE(SUBSTITUTE(R849,"%",""))/100,IF(ISNUMBER(R849), R849, 0))</f>
        <v>0</v>
      </c>
      <c r="T849" t="str">
        <f>IF(S849&lt;0,"Negative discount (invalid)",IF(S849&gt;0.5,"Discount above allowed range (invalid)",IF(AND(R849="",S849=0),"Missing discount set to 0","OK")))</f>
        <v>OK</v>
      </c>
      <c r="U849">
        <v>1824.42</v>
      </c>
      <c r="V849">
        <v>1214.8699999999999</v>
      </c>
      <c r="W849">
        <v>609.54999999999995</v>
      </c>
      <c r="X849" t="s">
        <v>32</v>
      </c>
      <c r="Y849" t="s">
        <v>33</v>
      </c>
      <c r="Z849">
        <f>IF(T849="OK",P849*Q849*(1-S849),"invalid")</f>
        <v>1824.42</v>
      </c>
      <c r="AA849">
        <f>IF(Z849="N/A","N/A",Z849-V849)</f>
        <v>609.55000000000018</v>
      </c>
      <c r="AB849" s="8">
        <f>IF(Z849&lt;&gt;"N/A", AA849/Z849, "N/A")</f>
        <v>0.33410618169061956</v>
      </c>
      <c r="AC849">
        <f>MONTH(B849)</f>
        <v>6</v>
      </c>
      <c r="AD849">
        <f>YEAR(B849)</f>
        <v>2025</v>
      </c>
      <c r="AE849" s="10">
        <f t="shared" si="13"/>
        <v>0</v>
      </c>
      <c r="AF849" t="s">
        <v>2804</v>
      </c>
      <c r="AG849" t="s">
        <v>2811</v>
      </c>
    </row>
    <row r="850" spans="1:33">
      <c r="A850" t="s">
        <v>2382</v>
      </c>
      <c r="B850" s="4">
        <v>45749</v>
      </c>
      <c r="C850" s="4">
        <v>45751</v>
      </c>
      <c r="D850">
        <f>_xlfn.DAYS(C850,B850)</f>
        <v>2</v>
      </c>
      <c r="E850" t="s">
        <v>2804</v>
      </c>
      <c r="F850" t="s">
        <v>2383</v>
      </c>
      <c r="G850" t="s">
        <v>132</v>
      </c>
      <c r="H850" t="s">
        <v>95</v>
      </c>
      <c r="I850" t="s">
        <v>38</v>
      </c>
      <c r="J850" t="s">
        <v>228</v>
      </c>
      <c r="K850" t="s">
        <v>229</v>
      </c>
      <c r="L850" t="s">
        <v>28</v>
      </c>
      <c r="M850" t="s">
        <v>29</v>
      </c>
      <c r="N850" t="s">
        <v>2384</v>
      </c>
      <c r="O850" t="s">
        <v>44</v>
      </c>
      <c r="P850">
        <v>5</v>
      </c>
      <c r="Q850">
        <v>3234.24</v>
      </c>
      <c r="R850">
        <v>0.1</v>
      </c>
      <c r="S850">
        <f>IF(ISNUMBER(SEARCH("%",R850)), VALUE(SUBSTITUTE(R850,"%",""))/100,IF(ISNUMBER(R850), R850, 0))</f>
        <v>0.1</v>
      </c>
      <c r="T850" t="str">
        <f>IF(S850&lt;0,"Negative discount (invalid)",IF(S850&gt;0.5,"Discount above allowed range (invalid)",IF(AND(R850="",S850=0),"Missing discount set to 0","OK")))</f>
        <v>OK</v>
      </c>
      <c r="U850">
        <v>14554.08</v>
      </c>
      <c r="V850">
        <v>11166.84</v>
      </c>
      <c r="W850">
        <v>3387.24</v>
      </c>
      <c r="X850" t="s">
        <v>32</v>
      </c>
      <c r="Y850" t="s">
        <v>33</v>
      </c>
      <c r="Z850">
        <f>IF(T850="OK",P850*Q850*(1-S850),"invalid")</f>
        <v>14554.08</v>
      </c>
      <c r="AA850">
        <f>IF(Z850="N/A","N/A",Z850-V850)</f>
        <v>3387.24</v>
      </c>
      <c r="AB850" s="8">
        <f>IF(Z850&lt;&gt;"N/A", AA850/Z850, "N/A")</f>
        <v>0.23273473830018798</v>
      </c>
      <c r="AC850">
        <f>MONTH(B850)</f>
        <v>4</v>
      </c>
      <c r="AD850">
        <f>YEAR(B850)</f>
        <v>2025</v>
      </c>
      <c r="AE850" s="10">
        <f t="shared" si="13"/>
        <v>0</v>
      </c>
      <c r="AF850" t="s">
        <v>2804</v>
      </c>
      <c r="AG850" t="s">
        <v>2811</v>
      </c>
    </row>
    <row r="851" spans="1:33">
      <c r="A851" t="s">
        <v>2393</v>
      </c>
      <c r="B851" s="4">
        <v>45853</v>
      </c>
      <c r="C851" s="4">
        <v>45857</v>
      </c>
      <c r="D851">
        <f>_xlfn.DAYS(C851,B851)</f>
        <v>4</v>
      </c>
      <c r="E851" t="s">
        <v>2804</v>
      </c>
      <c r="F851" t="s">
        <v>2394</v>
      </c>
      <c r="G851" t="s">
        <v>162</v>
      </c>
      <c r="H851" t="s">
        <v>24</v>
      </c>
      <c r="I851" t="s">
        <v>54</v>
      </c>
      <c r="J851" t="s">
        <v>247</v>
      </c>
      <c r="K851" t="s">
        <v>248</v>
      </c>
      <c r="L851" t="s">
        <v>41</v>
      </c>
      <c r="M851" t="s">
        <v>66</v>
      </c>
      <c r="N851" t="s">
        <v>2395</v>
      </c>
      <c r="O851" t="s">
        <v>44</v>
      </c>
      <c r="P851">
        <v>1</v>
      </c>
      <c r="Q851">
        <v>3903.22</v>
      </c>
      <c r="R851">
        <v>0.05</v>
      </c>
      <c r="S851">
        <f>IF(ISNUMBER(SEARCH("%",R851)), VALUE(SUBSTITUTE(R851,"%",""))/100,IF(ISNUMBER(R851), R851, 0))</f>
        <v>0.05</v>
      </c>
      <c r="T851" t="str">
        <f>IF(S851&lt;0,"Negative discount (invalid)",IF(S851&gt;0.5,"Discount above allowed range (invalid)",IF(AND(R851="",S851=0),"Missing discount set to 0","OK")))</f>
        <v>OK</v>
      </c>
      <c r="U851">
        <v>3708.06</v>
      </c>
      <c r="V851">
        <v>2760.29</v>
      </c>
      <c r="W851">
        <v>947.77</v>
      </c>
      <c r="X851" t="s">
        <v>111</v>
      </c>
      <c r="Y851" t="s">
        <v>68</v>
      </c>
      <c r="Z851">
        <f>IF(T851="OK",P851*Q851*(1-S851),"invalid")</f>
        <v>3708.0589999999997</v>
      </c>
      <c r="AA851">
        <f>IF(Z851="N/A","N/A",Z851-V851)</f>
        <v>947.76899999999978</v>
      </c>
      <c r="AB851" s="8">
        <f>IF(Z851&lt;&gt;"N/A", AA851/Z851, "N/A")</f>
        <v>0.25559706574248142</v>
      </c>
      <c r="AC851">
        <f>MONTH(B851)</f>
        <v>7</v>
      </c>
      <c r="AD851">
        <f>YEAR(B851)</f>
        <v>2025</v>
      </c>
      <c r="AE851" s="10">
        <f t="shared" si="13"/>
        <v>1.0000000002037268E-3</v>
      </c>
      <c r="AF851" t="s">
        <v>2804</v>
      </c>
      <c r="AG851" t="s">
        <v>2811</v>
      </c>
    </row>
    <row r="852" spans="1:33">
      <c r="A852" t="s">
        <v>2396</v>
      </c>
      <c r="B852" s="4">
        <v>45709</v>
      </c>
      <c r="C852" s="4">
        <v>45709</v>
      </c>
      <c r="D852">
        <f>_xlfn.DAYS(C852,B852)</f>
        <v>0</v>
      </c>
      <c r="E852" t="s">
        <v>2804</v>
      </c>
      <c r="F852" t="s">
        <v>2397</v>
      </c>
      <c r="G852" t="s">
        <v>23</v>
      </c>
      <c r="H852" t="s">
        <v>95</v>
      </c>
      <c r="I852" t="s">
        <v>63</v>
      </c>
      <c r="J852" t="s">
        <v>180</v>
      </c>
      <c r="K852" t="s">
        <v>181</v>
      </c>
      <c r="L852" t="s">
        <v>74</v>
      </c>
      <c r="M852" t="s">
        <v>171</v>
      </c>
      <c r="N852" t="s">
        <v>2398</v>
      </c>
      <c r="O852" t="s">
        <v>2785</v>
      </c>
      <c r="P852">
        <v>4</v>
      </c>
      <c r="Q852">
        <v>2945.07</v>
      </c>
      <c r="R852">
        <v>0.2</v>
      </c>
      <c r="S852">
        <f>IF(ISNUMBER(SEARCH("%",R852)), VALUE(SUBSTITUTE(R852,"%",""))/100,IF(ISNUMBER(R852), R852, 0))</f>
        <v>0.2</v>
      </c>
      <c r="T852" t="str">
        <f>IF(S852&lt;0,"Negative discount (invalid)",IF(S852&gt;0.5,"Discount above allowed range (invalid)",IF(AND(R852="",S852=0),"Missing discount set to 0","OK")))</f>
        <v>OK</v>
      </c>
      <c r="U852">
        <v>9424.2199999999993</v>
      </c>
      <c r="V852">
        <v>6178.92</v>
      </c>
      <c r="W852">
        <v>3245.3</v>
      </c>
      <c r="X852" t="s">
        <v>32</v>
      </c>
      <c r="Y852" t="s">
        <v>33</v>
      </c>
      <c r="Z852">
        <f>IF(T852="OK",P852*Q852*(1-S852),"invalid")</f>
        <v>9424.2240000000002</v>
      </c>
      <c r="AA852">
        <f>IF(Z852="N/A","N/A",Z852-V852)</f>
        <v>3245.3040000000001</v>
      </c>
      <c r="AB852" s="8">
        <f>IF(Z852&lt;&gt;"N/A", AA852/Z852, "N/A")</f>
        <v>0.3443576892909167</v>
      </c>
      <c r="AC852">
        <f>MONTH(B852)</f>
        <v>2</v>
      </c>
      <c r="AD852">
        <f>YEAR(B852)</f>
        <v>2025</v>
      </c>
      <c r="AE852" s="10">
        <f t="shared" si="13"/>
        <v>4.0000000008149073E-3</v>
      </c>
      <c r="AF852" t="s">
        <v>2800</v>
      </c>
      <c r="AG852" t="s">
        <v>2798</v>
      </c>
    </row>
    <row r="853" spans="1:33">
      <c r="A853" t="s">
        <v>2399</v>
      </c>
      <c r="B853" s="4">
        <v>45876</v>
      </c>
      <c r="C853" s="4">
        <v>45876</v>
      </c>
      <c r="D853">
        <f>_xlfn.DAYS(C853,B853)</f>
        <v>0</v>
      </c>
      <c r="E853" t="s">
        <v>2804</v>
      </c>
      <c r="F853" t="s">
        <v>2400</v>
      </c>
      <c r="G853" t="s">
        <v>264</v>
      </c>
      <c r="H853" t="s">
        <v>24</v>
      </c>
      <c r="I853" t="s">
        <v>63</v>
      </c>
      <c r="J853" t="s">
        <v>26</v>
      </c>
      <c r="K853" t="s">
        <v>109</v>
      </c>
      <c r="L853" t="s">
        <v>74</v>
      </c>
      <c r="M853" t="s">
        <v>274</v>
      </c>
      <c r="N853" t="s">
        <v>2401</v>
      </c>
      <c r="O853" t="s">
        <v>2785</v>
      </c>
      <c r="P853">
        <v>9</v>
      </c>
      <c r="Q853">
        <v>1076.75</v>
      </c>
      <c r="R853">
        <v>0.2</v>
      </c>
      <c r="S853">
        <f>IF(ISNUMBER(SEARCH("%",R853)), VALUE(SUBSTITUTE(R853,"%",""))/100,IF(ISNUMBER(R853), R853, 0))</f>
        <v>0.2</v>
      </c>
      <c r="T853" t="str">
        <f>IF(S853&lt;0,"Negative discount (invalid)",IF(S853&gt;0.5,"Discount above allowed range (invalid)",IF(AND(R853="",S853=0),"Missing discount set to 0","OK")))</f>
        <v>OK</v>
      </c>
      <c r="U853">
        <v>7752.6</v>
      </c>
      <c r="V853">
        <v>4689.3</v>
      </c>
      <c r="W853">
        <v>3063.3</v>
      </c>
      <c r="X853" t="s">
        <v>32</v>
      </c>
      <c r="Y853" t="s">
        <v>33</v>
      </c>
      <c r="Z853">
        <f>IF(T853="OK",P853*Q853*(1-S853),"invalid")</f>
        <v>7752.6</v>
      </c>
      <c r="AA853">
        <f>IF(Z853="N/A","N/A",Z853-V853)</f>
        <v>3063.3</v>
      </c>
      <c r="AB853" s="8">
        <f>IF(Z853&lt;&gt;"N/A", AA853/Z853, "N/A")</f>
        <v>0.39513195573098059</v>
      </c>
      <c r="AC853">
        <f>MONTH(B853)</f>
        <v>8</v>
      </c>
      <c r="AD853">
        <f>YEAR(B853)</f>
        <v>2025</v>
      </c>
      <c r="AE853" s="10">
        <f t="shared" si="13"/>
        <v>0</v>
      </c>
      <c r="AF853" t="s">
        <v>2800</v>
      </c>
      <c r="AG853" t="s">
        <v>2798</v>
      </c>
    </row>
    <row r="854" spans="1:33">
      <c r="A854" t="s">
        <v>2405</v>
      </c>
      <c r="B854" s="4">
        <v>45816</v>
      </c>
      <c r="C854" s="4">
        <v>45821</v>
      </c>
      <c r="D854">
        <f>_xlfn.DAYS(C854,B854)</f>
        <v>5</v>
      </c>
      <c r="E854" t="s">
        <v>2804</v>
      </c>
      <c r="F854" t="s">
        <v>2406</v>
      </c>
      <c r="G854" t="s">
        <v>89</v>
      </c>
      <c r="H854" t="s">
        <v>37</v>
      </c>
      <c r="I854" t="s">
        <v>25</v>
      </c>
      <c r="J854" t="s">
        <v>26</v>
      </c>
      <c r="K854" t="s">
        <v>27</v>
      </c>
      <c r="L854" t="s">
        <v>74</v>
      </c>
      <c r="M854" t="s">
        <v>80</v>
      </c>
      <c r="N854" t="s">
        <v>2407</v>
      </c>
      <c r="O854" t="s">
        <v>31</v>
      </c>
      <c r="P854">
        <v>7</v>
      </c>
      <c r="Q854">
        <v>3857.13</v>
      </c>
      <c r="R854">
        <v>0</v>
      </c>
      <c r="S854">
        <f>IF(ISNUMBER(SEARCH("%",R854)), VALUE(SUBSTITUTE(R854,"%",""))/100,IF(ISNUMBER(R854), R854, 0))</f>
        <v>0</v>
      </c>
      <c r="T854" t="str">
        <f>IF(S854&lt;0,"Negative discount (invalid)",IF(S854&gt;0.5,"Discount above allowed range (invalid)",IF(AND(R854="",S854=0),"Missing discount set to 0","OK")))</f>
        <v>OK</v>
      </c>
      <c r="U854">
        <v>26999.91</v>
      </c>
      <c r="V854">
        <v>17815.98</v>
      </c>
      <c r="W854">
        <v>9183.93</v>
      </c>
      <c r="X854" t="s">
        <v>32</v>
      </c>
      <c r="Y854" t="s">
        <v>33</v>
      </c>
      <c r="Z854">
        <f>IF(T854="OK",P854*Q854*(1-S854),"invalid")</f>
        <v>26999.91</v>
      </c>
      <c r="AA854">
        <f>IF(Z854="N/A","N/A",Z854-V854)</f>
        <v>9183.93</v>
      </c>
      <c r="AB854" s="8">
        <f>IF(Z854&lt;&gt;"N/A", AA854/Z854, "N/A")</f>
        <v>0.34014668937785347</v>
      </c>
      <c r="AC854">
        <f>MONTH(B854)</f>
        <v>6</v>
      </c>
      <c r="AD854">
        <f>YEAR(B854)</f>
        <v>2025</v>
      </c>
      <c r="AE854" s="10">
        <f t="shared" si="13"/>
        <v>0</v>
      </c>
      <c r="AF854" t="s">
        <v>2804</v>
      </c>
      <c r="AG854" t="s">
        <v>2811</v>
      </c>
    </row>
    <row r="855" spans="1:33">
      <c r="A855" t="s">
        <v>2423</v>
      </c>
      <c r="B855" s="4">
        <v>45730</v>
      </c>
      <c r="C855" s="4">
        <v>45738</v>
      </c>
      <c r="D855">
        <f>_xlfn.DAYS(C855,B855)</f>
        <v>8</v>
      </c>
      <c r="E855" t="s">
        <v>2804</v>
      </c>
      <c r="F855" t="s">
        <v>2424</v>
      </c>
      <c r="G855" t="s">
        <v>36</v>
      </c>
      <c r="H855" t="s">
        <v>90</v>
      </c>
      <c r="I855" t="s">
        <v>38</v>
      </c>
      <c r="J855" t="s">
        <v>99</v>
      </c>
      <c r="K855" t="s">
        <v>100</v>
      </c>
      <c r="L855" t="s">
        <v>74</v>
      </c>
      <c r="M855" t="s">
        <v>80</v>
      </c>
      <c r="N855" t="s">
        <v>2425</v>
      </c>
      <c r="O855" t="s">
        <v>59</v>
      </c>
      <c r="P855">
        <v>2</v>
      </c>
      <c r="Q855">
        <v>669.63</v>
      </c>
      <c r="R855">
        <v>0.15</v>
      </c>
      <c r="S855">
        <f>IF(ISNUMBER(SEARCH("%",R855)), VALUE(SUBSTITUTE(R855,"%",""))/100,IF(ISNUMBER(R855), R855, 0))</f>
        <v>0.15</v>
      </c>
      <c r="T855" t="str">
        <f>IF(S855&lt;0,"Negative discount (invalid)",IF(S855&gt;0.5,"Discount above allowed range (invalid)",IF(AND(R855="",S855=0),"Missing discount set to 0","OK")))</f>
        <v>OK</v>
      </c>
      <c r="U855">
        <v>1138.3699999999999</v>
      </c>
      <c r="V855">
        <v>797.34</v>
      </c>
      <c r="W855">
        <v>341.03</v>
      </c>
      <c r="X855" t="s">
        <v>32</v>
      </c>
      <c r="Y855" t="s">
        <v>33</v>
      </c>
      <c r="Z855">
        <f>IF(T855="OK",P855*Q855*(1-S855),"invalid")</f>
        <v>1138.3709999999999</v>
      </c>
      <c r="AA855">
        <f>IF(Z855="N/A","N/A",Z855-V855)</f>
        <v>341.03099999999984</v>
      </c>
      <c r="AB855" s="8">
        <f>IF(Z855&lt;&gt;"N/A", AA855/Z855, "N/A")</f>
        <v>0.29957808131092578</v>
      </c>
      <c r="AC855">
        <f>MONTH(B855)</f>
        <v>3</v>
      </c>
      <c r="AD855">
        <f>YEAR(B855)</f>
        <v>2025</v>
      </c>
      <c r="AE855" s="10">
        <f t="shared" si="13"/>
        <v>9.9999999997635314E-4</v>
      </c>
      <c r="AF855" t="s">
        <v>2804</v>
      </c>
      <c r="AG855" t="s">
        <v>2811</v>
      </c>
    </row>
    <row r="856" spans="1:33">
      <c r="A856" t="s">
        <v>2429</v>
      </c>
      <c r="B856" s="4">
        <v>45934</v>
      </c>
      <c r="C856" s="4">
        <v>45935</v>
      </c>
      <c r="D856">
        <f>_xlfn.DAYS(C856,B856)</f>
        <v>1</v>
      </c>
      <c r="E856" t="s">
        <v>2804</v>
      </c>
      <c r="F856" t="s">
        <v>2430</v>
      </c>
      <c r="G856" t="s">
        <v>114</v>
      </c>
      <c r="H856" t="s">
        <v>90</v>
      </c>
      <c r="I856" t="s">
        <v>25</v>
      </c>
      <c r="J856" t="s">
        <v>122</v>
      </c>
      <c r="K856" t="s">
        <v>123</v>
      </c>
      <c r="L856" t="s">
        <v>74</v>
      </c>
      <c r="M856" t="s">
        <v>80</v>
      </c>
      <c r="N856" t="s">
        <v>2431</v>
      </c>
      <c r="O856" t="s">
        <v>50</v>
      </c>
      <c r="P856">
        <v>4</v>
      </c>
      <c r="Q856">
        <v>418.18</v>
      </c>
      <c r="R856">
        <v>0.05</v>
      </c>
      <c r="S856">
        <f>IF(ISNUMBER(SEARCH("%",R856)), VALUE(SUBSTITUTE(R856,"%",""))/100,IF(ISNUMBER(R856), R856, 0))</f>
        <v>0.05</v>
      </c>
      <c r="T856" t="str">
        <f>IF(S856&lt;0,"Negative discount (invalid)",IF(S856&gt;0.5,"Discount above allowed range (invalid)",IF(AND(R856="",S856=0),"Missing discount set to 0","OK")))</f>
        <v>OK</v>
      </c>
      <c r="U856">
        <v>1589.08</v>
      </c>
      <c r="V856">
        <v>1084.6600000000001</v>
      </c>
      <c r="W856">
        <v>504.42</v>
      </c>
      <c r="X856" t="s">
        <v>32</v>
      </c>
      <c r="Y856" t="s">
        <v>33</v>
      </c>
      <c r="Z856">
        <f>IF(T856="OK",P856*Q856*(1-S856),"invalid")</f>
        <v>1589.0840000000001</v>
      </c>
      <c r="AA856">
        <f>IF(Z856="N/A","N/A",Z856-V856)</f>
        <v>504.42399999999998</v>
      </c>
      <c r="AB856" s="8">
        <f>IF(Z856&lt;&gt;"N/A", AA856/Z856, "N/A")</f>
        <v>0.31743067075120002</v>
      </c>
      <c r="AC856">
        <f>MONTH(B856)</f>
        <v>10</v>
      </c>
      <c r="AD856">
        <f>YEAR(B856)</f>
        <v>2025</v>
      </c>
      <c r="AE856" s="10">
        <f t="shared" si="13"/>
        <v>4.0000000001327862E-3</v>
      </c>
      <c r="AF856" t="s">
        <v>2804</v>
      </c>
      <c r="AG856" t="s">
        <v>2811</v>
      </c>
    </row>
    <row r="857" spans="1:33">
      <c r="A857" t="s">
        <v>2435</v>
      </c>
      <c r="B857" s="4">
        <v>45844</v>
      </c>
      <c r="C857" s="4">
        <v>45846</v>
      </c>
      <c r="D857">
        <f>_xlfn.DAYS(C857,B857)</f>
        <v>2</v>
      </c>
      <c r="E857" t="s">
        <v>2804</v>
      </c>
      <c r="F857" t="s">
        <v>2436</v>
      </c>
      <c r="G857" t="s">
        <v>62</v>
      </c>
      <c r="H857" t="s">
        <v>90</v>
      </c>
      <c r="I857" t="s">
        <v>25</v>
      </c>
      <c r="J857" t="s">
        <v>26</v>
      </c>
      <c r="K857" t="s">
        <v>27</v>
      </c>
      <c r="L857" t="s">
        <v>41</v>
      </c>
      <c r="M857" t="s">
        <v>57</v>
      </c>
      <c r="N857" t="s">
        <v>2437</v>
      </c>
      <c r="O857" t="s">
        <v>2785</v>
      </c>
      <c r="P857">
        <v>4</v>
      </c>
      <c r="Q857">
        <v>715.45</v>
      </c>
      <c r="R857">
        <v>0.05</v>
      </c>
      <c r="S857">
        <f>IF(ISNUMBER(SEARCH("%",R857)), VALUE(SUBSTITUTE(R857,"%",""))/100,IF(ISNUMBER(R857), R857, 0))</f>
        <v>0.05</v>
      </c>
      <c r="T857" t="str">
        <f>IF(S857&lt;0,"Negative discount (invalid)",IF(S857&gt;0.5,"Discount above allowed range (invalid)",IF(AND(R857="",S857=0),"Missing discount set to 0","OK")))</f>
        <v>OK</v>
      </c>
      <c r="U857">
        <v>2718.71</v>
      </c>
      <c r="V857">
        <v>2065.0500000000002</v>
      </c>
      <c r="W857">
        <v>653.66</v>
      </c>
      <c r="X857" t="s">
        <v>102</v>
      </c>
      <c r="Y857" t="s">
        <v>103</v>
      </c>
      <c r="Z857">
        <f>IF(T857="OK",P857*Q857*(1-S857),"invalid")</f>
        <v>2718.71</v>
      </c>
      <c r="AA857">
        <f>IF(Z857="N/A","N/A",Z857-V857)</f>
        <v>653.65999999999985</v>
      </c>
      <c r="AB857" s="8">
        <f>IF(Z857&lt;&gt;"N/A", AA857/Z857, "N/A")</f>
        <v>0.24043020403058799</v>
      </c>
      <c r="AC857">
        <f>MONTH(B857)</f>
        <v>7</v>
      </c>
      <c r="AD857">
        <f>YEAR(B857)</f>
        <v>2025</v>
      </c>
      <c r="AE857" s="10">
        <f t="shared" si="13"/>
        <v>0</v>
      </c>
      <c r="AF857" t="s">
        <v>2800</v>
      </c>
      <c r="AG857" t="s">
        <v>2798</v>
      </c>
    </row>
    <row r="858" spans="1:33">
      <c r="A858" t="s">
        <v>2444</v>
      </c>
      <c r="B858" s="4">
        <v>45723</v>
      </c>
      <c r="C858" s="4">
        <v>45724</v>
      </c>
      <c r="D858">
        <f>_xlfn.DAYS(C858,B858)</f>
        <v>1</v>
      </c>
      <c r="E858" t="s">
        <v>2804</v>
      </c>
      <c r="F858" t="s">
        <v>2445</v>
      </c>
      <c r="G858" t="s">
        <v>114</v>
      </c>
      <c r="H858" t="s">
        <v>95</v>
      </c>
      <c r="I858" t="s">
        <v>2785</v>
      </c>
      <c r="J858" t="s">
        <v>26</v>
      </c>
      <c r="K858" t="s">
        <v>109</v>
      </c>
      <c r="L858" t="s">
        <v>74</v>
      </c>
      <c r="M858" t="s">
        <v>80</v>
      </c>
      <c r="N858" t="s">
        <v>2446</v>
      </c>
      <c r="O858" t="s">
        <v>44</v>
      </c>
      <c r="P858">
        <v>4</v>
      </c>
      <c r="Q858">
        <v>3537.48</v>
      </c>
      <c r="R858">
        <v>0</v>
      </c>
      <c r="S858">
        <f>IF(ISNUMBER(SEARCH("%",R858)), VALUE(SUBSTITUTE(R858,"%",""))/100,IF(ISNUMBER(R858), R858, 0))</f>
        <v>0</v>
      </c>
      <c r="T858" t="str">
        <f>IF(S858&lt;0,"Negative discount (invalid)",IF(S858&gt;0.5,"Discount above allowed range (invalid)",IF(AND(R858="",S858=0),"Missing discount set to 0","OK")))</f>
        <v>OK</v>
      </c>
      <c r="U858">
        <v>14149.92</v>
      </c>
      <c r="V858">
        <v>9466.51</v>
      </c>
      <c r="W858">
        <v>4683.41</v>
      </c>
      <c r="X858" t="s">
        <v>32</v>
      </c>
      <c r="Y858" t="s">
        <v>33</v>
      </c>
      <c r="Z858">
        <f>IF(T858="OK",P858*Q858*(1-S858),"invalid")</f>
        <v>14149.92</v>
      </c>
      <c r="AA858">
        <f>IF(Z858="N/A","N/A",Z858-V858)</f>
        <v>4683.41</v>
      </c>
      <c r="AB858" s="8">
        <f>IF(Z858&lt;&gt;"N/A", AA858/Z858, "N/A")</f>
        <v>0.33098491016203624</v>
      </c>
      <c r="AC858">
        <f>MONTH(B858)</f>
        <v>3</v>
      </c>
      <c r="AD858">
        <f>YEAR(B858)</f>
        <v>2025</v>
      </c>
      <c r="AE858" s="10">
        <f t="shared" si="13"/>
        <v>0</v>
      </c>
      <c r="AF858" t="s">
        <v>2799</v>
      </c>
      <c r="AG858" t="s">
        <v>2798</v>
      </c>
    </row>
    <row r="859" spans="1:33">
      <c r="A859" t="s">
        <v>2453</v>
      </c>
      <c r="B859" s="4">
        <v>45812</v>
      </c>
      <c r="C859" s="4">
        <v>45816</v>
      </c>
      <c r="D859">
        <f>_xlfn.DAYS(C859,B859)</f>
        <v>4</v>
      </c>
      <c r="E859" t="s">
        <v>2804</v>
      </c>
      <c r="F859" t="s">
        <v>2454</v>
      </c>
      <c r="G859" t="s">
        <v>53</v>
      </c>
      <c r="H859" t="s">
        <v>37</v>
      </c>
      <c r="I859" t="s">
        <v>38</v>
      </c>
      <c r="J859" t="s">
        <v>166</v>
      </c>
      <c r="K859" t="s">
        <v>167</v>
      </c>
      <c r="L859" t="s">
        <v>41</v>
      </c>
      <c r="M859" t="s">
        <v>57</v>
      </c>
      <c r="N859" t="s">
        <v>2455</v>
      </c>
      <c r="O859" t="s">
        <v>31</v>
      </c>
      <c r="P859">
        <v>1</v>
      </c>
      <c r="Q859">
        <v>3501.12</v>
      </c>
      <c r="R859">
        <v>0.2</v>
      </c>
      <c r="S859">
        <f>IF(ISNUMBER(SEARCH("%",R859)), VALUE(SUBSTITUTE(R859,"%",""))/100,IF(ISNUMBER(R859), R859, 0))</f>
        <v>0.2</v>
      </c>
      <c r="T859" t="str">
        <f>IF(S859&lt;0,"Negative discount (invalid)",IF(S859&gt;0.5,"Discount above allowed range (invalid)",IF(AND(R859="",S859=0),"Missing discount set to 0","OK")))</f>
        <v>OK</v>
      </c>
      <c r="U859">
        <v>2800.9</v>
      </c>
      <c r="V859">
        <v>1735.98</v>
      </c>
      <c r="W859">
        <v>1064.92</v>
      </c>
      <c r="X859" t="s">
        <v>32</v>
      </c>
      <c r="Y859" t="s">
        <v>103</v>
      </c>
      <c r="Z859">
        <f>IF(T859="OK",P859*Q859*(1-S859),"invalid")</f>
        <v>2800.8960000000002</v>
      </c>
      <c r="AA859">
        <f>IF(Z859="N/A","N/A",Z859-V859)</f>
        <v>1064.9160000000002</v>
      </c>
      <c r="AB859" s="8">
        <f>IF(Z859&lt;&gt;"N/A", AA859/Z859, "N/A")</f>
        <v>0.38020547710446945</v>
      </c>
      <c r="AC859">
        <f>MONTH(B859)</f>
        <v>6</v>
      </c>
      <c r="AD859">
        <f>YEAR(B859)</f>
        <v>2025</v>
      </c>
      <c r="AE859" s="10">
        <f t="shared" si="13"/>
        <v>3.9999999999054126E-3</v>
      </c>
      <c r="AF859" t="s">
        <v>2804</v>
      </c>
      <c r="AG859" t="s">
        <v>2811</v>
      </c>
    </row>
    <row r="860" spans="1:33">
      <c r="A860" t="s">
        <v>2459</v>
      </c>
      <c r="B860" s="4">
        <v>45830</v>
      </c>
      <c r="C860" s="4">
        <v>45832</v>
      </c>
      <c r="D860">
        <f>_xlfn.DAYS(C860,B860)</f>
        <v>2</v>
      </c>
      <c r="E860" t="s">
        <v>2804</v>
      </c>
      <c r="F860" t="s">
        <v>2460</v>
      </c>
      <c r="G860" t="s">
        <v>132</v>
      </c>
      <c r="H860" t="s">
        <v>90</v>
      </c>
      <c r="I860" t="s">
        <v>38</v>
      </c>
      <c r="J860" t="s">
        <v>166</v>
      </c>
      <c r="K860" t="s">
        <v>167</v>
      </c>
      <c r="L860" t="s">
        <v>28</v>
      </c>
      <c r="M860" t="s">
        <v>29</v>
      </c>
      <c r="N860" t="s">
        <v>2461</v>
      </c>
      <c r="O860" t="s">
        <v>59</v>
      </c>
      <c r="P860">
        <v>9</v>
      </c>
      <c r="Q860">
        <v>951.55</v>
      </c>
      <c r="R860">
        <v>0.15</v>
      </c>
      <c r="S860">
        <f>IF(ISNUMBER(SEARCH("%",R860)), VALUE(SUBSTITUTE(R860,"%",""))/100,IF(ISNUMBER(R860), R860, 0))</f>
        <v>0.15</v>
      </c>
      <c r="T860" t="str">
        <f>IF(S860&lt;0,"Negative discount (invalid)",IF(S860&gt;0.5,"Discount above allowed range (invalid)",IF(AND(R860="",S860=0),"Missing discount set to 0","OK")))</f>
        <v>OK</v>
      </c>
      <c r="U860">
        <v>7279.36</v>
      </c>
      <c r="V860">
        <v>4870.3900000000003</v>
      </c>
      <c r="W860">
        <v>2408.9699999999998</v>
      </c>
      <c r="X860" t="s">
        <v>32</v>
      </c>
      <c r="Y860" t="s">
        <v>33</v>
      </c>
      <c r="Z860">
        <f>IF(T860="OK",P860*Q860*(1-S860),"invalid")</f>
        <v>7279.3574999999992</v>
      </c>
      <c r="AA860">
        <f>IF(Z860="N/A","N/A",Z860-V860)</f>
        <v>2408.9674999999988</v>
      </c>
      <c r="AB860" s="8">
        <f>IF(Z860&lt;&gt;"N/A", AA860/Z860, "N/A")</f>
        <v>0.33093133562955235</v>
      </c>
      <c r="AC860">
        <f>MONTH(B860)</f>
        <v>6</v>
      </c>
      <c r="AD860">
        <f>YEAR(B860)</f>
        <v>2025</v>
      </c>
      <c r="AE860" s="10">
        <f t="shared" si="13"/>
        <v>2.500000000509317E-3</v>
      </c>
      <c r="AF860" t="s">
        <v>2804</v>
      </c>
      <c r="AG860" t="s">
        <v>2811</v>
      </c>
    </row>
    <row r="861" spans="1:33">
      <c r="A861" t="s">
        <v>2471</v>
      </c>
      <c r="B861" s="4">
        <v>45849</v>
      </c>
      <c r="C861" s="4">
        <v>45847</v>
      </c>
      <c r="D861">
        <f>_xlfn.DAYS(C861,B861)</f>
        <v>-2</v>
      </c>
      <c r="E861" t="str">
        <f>IF(B861="INVALID","Missing/Invalid order_date", IF(C861="INVALID","Missing/Invalid ship_date",IF(AND(B861&lt;&gt;"",C861&lt;&gt;"",C861&lt;B861),"Ship date before order date","")))</f>
        <v>Ship date before order date</v>
      </c>
      <c r="F861" t="s">
        <v>2472</v>
      </c>
      <c r="G861" t="s">
        <v>89</v>
      </c>
      <c r="H861" t="s">
        <v>90</v>
      </c>
      <c r="I861" t="s">
        <v>25</v>
      </c>
      <c r="J861" t="s">
        <v>350</v>
      </c>
      <c r="K861" t="s">
        <v>351</v>
      </c>
      <c r="L861" t="s">
        <v>41</v>
      </c>
      <c r="M861" t="s">
        <v>57</v>
      </c>
      <c r="N861" t="s">
        <v>2473</v>
      </c>
      <c r="O861" t="s">
        <v>59</v>
      </c>
      <c r="P861">
        <v>9</v>
      </c>
      <c r="Q861">
        <v>1706.05</v>
      </c>
      <c r="R861">
        <v>0</v>
      </c>
      <c r="S861">
        <f>IF(ISNUMBER(SEARCH("%",R861)), VALUE(SUBSTITUTE(R861,"%",""))/100,IF(ISNUMBER(R861), R861, 0))</f>
        <v>0</v>
      </c>
      <c r="T861" t="str">
        <f>IF(S861&lt;0,"Negative discount (invalid)",IF(S861&gt;0.5,"Discount above allowed range (invalid)",IF(AND(R861="",S861=0),"Missing discount set to 0","OK")))</f>
        <v>OK</v>
      </c>
      <c r="U861">
        <v>15354.45</v>
      </c>
      <c r="V861">
        <v>9656.5</v>
      </c>
      <c r="W861">
        <v>5697.95</v>
      </c>
      <c r="X861" t="s">
        <v>32</v>
      </c>
      <c r="Y861" t="s">
        <v>33</v>
      </c>
      <c r="Z861">
        <f>IF(T861="OK",P861*Q861*(1-S861),"invalid")</f>
        <v>15354.449999999999</v>
      </c>
      <c r="AA861">
        <f>IF(Z861="N/A","N/A",Z861-V861)</f>
        <v>5697.9499999999989</v>
      </c>
      <c r="AB861" s="8">
        <f>IF(Z861&lt;&gt;"N/A", AA861/Z861, "N/A")</f>
        <v>0.37109437329243311</v>
      </c>
      <c r="AC861">
        <f>MONTH(B861)</f>
        <v>7</v>
      </c>
      <c r="AD861">
        <f>YEAR(B861)</f>
        <v>2025</v>
      </c>
      <c r="AE861" s="10">
        <f t="shared" si="13"/>
        <v>1.8189894035458565E-12</v>
      </c>
      <c r="AF861" t="s">
        <v>2806</v>
      </c>
      <c r="AG861" t="s">
        <v>2789</v>
      </c>
    </row>
    <row r="862" spans="1:33">
      <c r="A862" t="s">
        <v>2480</v>
      </c>
      <c r="B862" s="4">
        <v>45938</v>
      </c>
      <c r="C862" s="4">
        <v>45945</v>
      </c>
      <c r="D862">
        <f>_xlfn.DAYS(C862,B862)</f>
        <v>7</v>
      </c>
      <c r="E862" t="s">
        <v>2804</v>
      </c>
      <c r="F862" t="s">
        <v>2481</v>
      </c>
      <c r="G862" t="s">
        <v>128</v>
      </c>
      <c r="H862" t="s">
        <v>95</v>
      </c>
      <c r="I862" t="s">
        <v>38</v>
      </c>
      <c r="J862" t="s">
        <v>39</v>
      </c>
      <c r="K862" t="s">
        <v>40</v>
      </c>
      <c r="L862" t="s">
        <v>74</v>
      </c>
      <c r="M862" t="s">
        <v>75</v>
      </c>
      <c r="N862" t="s">
        <v>2482</v>
      </c>
      <c r="O862" t="s">
        <v>31</v>
      </c>
      <c r="P862">
        <v>3</v>
      </c>
      <c r="Q862">
        <v>3372.21</v>
      </c>
      <c r="R862">
        <v>0.2</v>
      </c>
      <c r="S862">
        <f>IF(ISNUMBER(SEARCH("%",R862)), VALUE(SUBSTITUTE(R862,"%",""))/100,IF(ISNUMBER(R862), R862, 0))</f>
        <v>0.2</v>
      </c>
      <c r="T862" t="str">
        <f>IF(S862&lt;0,"Negative discount (invalid)",IF(S862&gt;0.5,"Discount above allowed range (invalid)",IF(AND(R862="",S862=0),"Missing discount set to 0","OK")))</f>
        <v>OK</v>
      </c>
      <c r="U862">
        <v>8093.3</v>
      </c>
      <c r="V862">
        <v>6052.43</v>
      </c>
      <c r="W862">
        <v>2040.87</v>
      </c>
      <c r="X862" t="s">
        <v>111</v>
      </c>
      <c r="Y862" t="s">
        <v>68</v>
      </c>
      <c r="Z862">
        <f>IF(T862="OK",P862*Q862*(1-S862),"invalid")</f>
        <v>8093.304000000001</v>
      </c>
      <c r="AA862">
        <f>IF(Z862="N/A","N/A",Z862-V862)</f>
        <v>2040.8740000000007</v>
      </c>
      <c r="AB862" s="8">
        <f>IF(Z862&lt;&gt;"N/A", AA862/Z862, "N/A")</f>
        <v>0.25216821214179036</v>
      </c>
      <c r="AC862">
        <f>MONTH(B862)</f>
        <v>10</v>
      </c>
      <c r="AD862">
        <f>YEAR(B862)</f>
        <v>2025</v>
      </c>
      <c r="AE862" s="10">
        <f t="shared" si="13"/>
        <v>4.0000000008149073E-3</v>
      </c>
      <c r="AF862" t="s">
        <v>2804</v>
      </c>
      <c r="AG862" t="s">
        <v>2811</v>
      </c>
    </row>
    <row r="863" spans="1:33">
      <c r="A863" t="s">
        <v>2483</v>
      </c>
      <c r="B863" s="4">
        <v>45704</v>
      </c>
      <c r="C863" s="4">
        <v>45704</v>
      </c>
      <c r="D863">
        <f>_xlfn.DAYS(C863,B863)</f>
        <v>0</v>
      </c>
      <c r="E863" t="s">
        <v>2804</v>
      </c>
      <c r="F863" t="s">
        <v>2484</v>
      </c>
      <c r="G863" t="s">
        <v>141</v>
      </c>
      <c r="H863" t="s">
        <v>37</v>
      </c>
      <c r="I863" t="s">
        <v>38</v>
      </c>
      <c r="J863" t="s">
        <v>166</v>
      </c>
      <c r="K863" t="s">
        <v>167</v>
      </c>
      <c r="L863" t="s">
        <v>41</v>
      </c>
      <c r="M863" t="s">
        <v>57</v>
      </c>
      <c r="N863" t="s">
        <v>2485</v>
      </c>
      <c r="O863" t="s">
        <v>31</v>
      </c>
      <c r="P863">
        <v>6</v>
      </c>
      <c r="Q863">
        <v>1441.91</v>
      </c>
      <c r="R863">
        <v>0</v>
      </c>
      <c r="S863">
        <f>IF(ISNUMBER(SEARCH("%",R863)), VALUE(SUBSTITUTE(R863,"%",""))/100,IF(ISNUMBER(R863), R863, 0))</f>
        <v>0</v>
      </c>
      <c r="T863" t="str">
        <f>IF(S863&lt;0,"Negative discount (invalid)",IF(S863&gt;0.5,"Discount above allowed range (invalid)",IF(AND(R863="",S863=0),"Missing discount set to 0","OK")))</f>
        <v>OK</v>
      </c>
      <c r="U863">
        <v>8651.4599999999991</v>
      </c>
      <c r="V863">
        <v>5254.62</v>
      </c>
      <c r="W863">
        <v>3396.84</v>
      </c>
      <c r="X863" t="s">
        <v>155</v>
      </c>
      <c r="Y863" t="s">
        <v>103</v>
      </c>
      <c r="Z863">
        <f>IF(T863="OK",P863*Q863*(1-S863),"invalid")</f>
        <v>8651.4600000000009</v>
      </c>
      <c r="AA863">
        <f>IF(Z863="N/A","N/A",Z863-V863)</f>
        <v>3396.8400000000011</v>
      </c>
      <c r="AB863" s="8">
        <f>IF(Z863&lt;&gt;"N/A", AA863/Z863, "N/A")</f>
        <v>0.39263199506210522</v>
      </c>
      <c r="AC863">
        <f>MONTH(B863)</f>
        <v>2</v>
      </c>
      <c r="AD863">
        <f>YEAR(B863)</f>
        <v>2025</v>
      </c>
      <c r="AE863" s="10">
        <f t="shared" si="13"/>
        <v>1.8189894035458565E-12</v>
      </c>
      <c r="AF863" t="s">
        <v>2804</v>
      </c>
      <c r="AG863" t="s">
        <v>2811</v>
      </c>
    </row>
    <row r="864" spans="1:33">
      <c r="A864" t="s">
        <v>2489</v>
      </c>
      <c r="B864" s="4">
        <v>45910</v>
      </c>
      <c r="C864" s="4">
        <v>45918</v>
      </c>
      <c r="D864">
        <f>_xlfn.DAYS(C864,B864)</f>
        <v>8</v>
      </c>
      <c r="E864" t="s">
        <v>2804</v>
      </c>
      <c r="F864" t="s">
        <v>2490</v>
      </c>
      <c r="G864" t="s">
        <v>118</v>
      </c>
      <c r="H864" t="s">
        <v>95</v>
      </c>
      <c r="I864" t="s">
        <v>54</v>
      </c>
      <c r="J864" t="s">
        <v>55</v>
      </c>
      <c r="K864" t="s">
        <v>56</v>
      </c>
      <c r="L864" t="s">
        <v>41</v>
      </c>
      <c r="M864" t="s">
        <v>57</v>
      </c>
      <c r="N864" t="s">
        <v>2491</v>
      </c>
      <c r="O864" t="s">
        <v>59</v>
      </c>
      <c r="P864">
        <v>1</v>
      </c>
      <c r="Q864">
        <v>2050.62</v>
      </c>
      <c r="R864">
        <v>0.05</v>
      </c>
      <c r="S864">
        <f>IF(ISNUMBER(SEARCH("%",R864)), VALUE(SUBSTITUTE(R864,"%",""))/100,IF(ISNUMBER(R864), R864, 0))</f>
        <v>0.05</v>
      </c>
      <c r="T864" t="str">
        <f>IF(S864&lt;0,"Negative discount (invalid)",IF(S864&gt;0.5,"Discount above allowed range (invalid)",IF(AND(R864="",S864=0),"Missing discount set to 0","OK")))</f>
        <v>OK</v>
      </c>
      <c r="U864">
        <v>1948.09</v>
      </c>
      <c r="V864">
        <v>1507.08</v>
      </c>
      <c r="W864">
        <v>441.01</v>
      </c>
      <c r="X864" t="s">
        <v>32</v>
      </c>
      <c r="Y864" t="s">
        <v>33</v>
      </c>
      <c r="Z864">
        <f>IF(T864="OK",P864*Q864*(1-S864),"invalid")</f>
        <v>1948.0889999999997</v>
      </c>
      <c r="AA864">
        <f>IF(Z864="N/A","N/A",Z864-V864)</f>
        <v>441.00899999999979</v>
      </c>
      <c r="AB864" s="8">
        <f>IF(Z864&lt;&gt;"N/A", AA864/Z864, "N/A")</f>
        <v>0.22638031424642296</v>
      </c>
      <c r="AC864">
        <f>MONTH(B864)</f>
        <v>9</v>
      </c>
      <c r="AD864">
        <f>YEAR(B864)</f>
        <v>2025</v>
      </c>
      <c r="AE864" s="10">
        <f t="shared" si="13"/>
        <v>1.0000000002037268E-3</v>
      </c>
      <c r="AF864" t="s">
        <v>2804</v>
      </c>
      <c r="AG864" t="s">
        <v>2811</v>
      </c>
    </row>
    <row r="865" spans="1:33">
      <c r="A865" t="s">
        <v>2492</v>
      </c>
      <c r="B865" s="4">
        <v>45753</v>
      </c>
      <c r="C865" s="4">
        <v>45754</v>
      </c>
      <c r="D865">
        <f>_xlfn.DAYS(C865,B865)</f>
        <v>1</v>
      </c>
      <c r="E865" t="s">
        <v>2804</v>
      </c>
      <c r="F865" t="s">
        <v>2357</v>
      </c>
      <c r="G865" t="s">
        <v>114</v>
      </c>
      <c r="H865" t="s">
        <v>95</v>
      </c>
      <c r="I865" t="s">
        <v>38</v>
      </c>
      <c r="J865" t="s">
        <v>166</v>
      </c>
      <c r="K865" t="s">
        <v>167</v>
      </c>
      <c r="L865" t="s">
        <v>28</v>
      </c>
      <c r="M865" t="s">
        <v>153</v>
      </c>
      <c r="N865" t="s">
        <v>2493</v>
      </c>
      <c r="O865" t="s">
        <v>31</v>
      </c>
      <c r="P865">
        <v>2</v>
      </c>
      <c r="Q865">
        <v>2030.06</v>
      </c>
      <c r="R865">
        <v>0.25</v>
      </c>
      <c r="S865">
        <f>IF(ISNUMBER(SEARCH("%",R865)), VALUE(SUBSTITUTE(R865,"%",""))/100,IF(ISNUMBER(R865), R865, 0))</f>
        <v>0.25</v>
      </c>
      <c r="T865" t="str">
        <f>IF(S865&lt;0,"Negative discount (invalid)",IF(S865&gt;0.5,"Discount above allowed range (invalid)",IF(AND(R865="",S865=0),"Missing discount set to 0","OK")))</f>
        <v>OK</v>
      </c>
      <c r="U865">
        <v>3045.09</v>
      </c>
      <c r="V865">
        <v>2601.09</v>
      </c>
      <c r="W865">
        <v>444</v>
      </c>
      <c r="X865" t="s">
        <v>32</v>
      </c>
      <c r="Y865" t="s">
        <v>33</v>
      </c>
      <c r="Z865">
        <f>IF(T865="OK",P865*Q865*(1-S865),"invalid")</f>
        <v>3045.09</v>
      </c>
      <c r="AA865">
        <f>IF(Z865="N/A","N/A",Z865-V865)</f>
        <v>444</v>
      </c>
      <c r="AB865" s="8">
        <f>IF(Z865&lt;&gt;"N/A", AA865/Z865, "N/A")</f>
        <v>0.14580849827098705</v>
      </c>
      <c r="AC865">
        <f>MONTH(B865)</f>
        <v>4</v>
      </c>
      <c r="AD865">
        <f>YEAR(B865)</f>
        <v>2025</v>
      </c>
      <c r="AE865" s="10">
        <f t="shared" si="13"/>
        <v>0</v>
      </c>
      <c r="AF865" t="s">
        <v>2804</v>
      </c>
      <c r="AG865" t="s">
        <v>2811</v>
      </c>
    </row>
    <row r="866" spans="1:33">
      <c r="A866" t="s">
        <v>2497</v>
      </c>
      <c r="B866" s="4">
        <v>45695</v>
      </c>
      <c r="C866" s="4">
        <v>45696</v>
      </c>
      <c r="D866">
        <f>_xlfn.DAYS(C866,B866)</f>
        <v>1</v>
      </c>
      <c r="E866" t="s">
        <v>2804</v>
      </c>
      <c r="F866" t="s">
        <v>2498</v>
      </c>
      <c r="G866" t="s">
        <v>23</v>
      </c>
      <c r="H866" t="s">
        <v>37</v>
      </c>
      <c r="I866" t="s">
        <v>54</v>
      </c>
      <c r="J866" t="s">
        <v>55</v>
      </c>
      <c r="K866" t="s">
        <v>56</v>
      </c>
      <c r="L866" t="s">
        <v>28</v>
      </c>
      <c r="M866" t="s">
        <v>91</v>
      </c>
      <c r="N866" t="s">
        <v>2499</v>
      </c>
      <c r="O866" t="s">
        <v>59</v>
      </c>
      <c r="P866">
        <v>2</v>
      </c>
      <c r="Q866">
        <v>2432.98</v>
      </c>
      <c r="R866">
        <v>0.1</v>
      </c>
      <c r="S866">
        <f>IF(ISNUMBER(SEARCH("%",R866)), VALUE(SUBSTITUTE(R866,"%",""))/100,IF(ISNUMBER(R866), R866, 0))</f>
        <v>0.1</v>
      </c>
      <c r="T866" t="str">
        <f>IF(S866&lt;0,"Negative discount (invalid)",IF(S866&gt;0.5,"Discount above allowed range (invalid)",IF(AND(R866="",S866=0),"Missing discount set to 0","OK")))</f>
        <v>OK</v>
      </c>
      <c r="U866">
        <v>4379.3599999999997</v>
      </c>
      <c r="V866">
        <v>3723.93</v>
      </c>
      <c r="W866">
        <v>655.43</v>
      </c>
      <c r="X866" t="s">
        <v>32</v>
      </c>
      <c r="Y866" t="s">
        <v>33</v>
      </c>
      <c r="Z866">
        <f>IF(T866="OK",P866*Q866*(1-S866),"invalid")</f>
        <v>4379.3640000000005</v>
      </c>
      <c r="AA866">
        <f>IF(Z866="N/A","N/A",Z866-V866)</f>
        <v>655.43400000000065</v>
      </c>
      <c r="AB866" s="8">
        <f>IF(Z866&lt;&gt;"N/A", AA866/Z866, "N/A")</f>
        <v>0.14966419781502532</v>
      </c>
      <c r="AC866">
        <f>MONTH(B866)</f>
        <v>2</v>
      </c>
      <c r="AD866">
        <f>YEAR(B866)</f>
        <v>2025</v>
      </c>
      <c r="AE866" s="10">
        <f t="shared" si="13"/>
        <v>4.0000000008149073E-3</v>
      </c>
      <c r="AF866" t="s">
        <v>2804</v>
      </c>
      <c r="AG866" t="s">
        <v>2811</v>
      </c>
    </row>
    <row r="867" spans="1:33">
      <c r="A867" t="s">
        <v>2500</v>
      </c>
      <c r="B867" s="4">
        <v>45900</v>
      </c>
      <c r="C867" s="4">
        <v>45897</v>
      </c>
      <c r="D867">
        <f>_xlfn.DAYS(C867,B867)</f>
        <v>-3</v>
      </c>
      <c r="E867" t="str">
        <f>IF(B867="INVALID","Missing/Invalid order_date", IF(C867="INVALID","Missing/Invalid ship_date",IF(AND(B867&lt;&gt;"",C867&lt;&gt;"",C867&lt;B867),"Ship date before order date","")))</f>
        <v>Ship date before order date</v>
      </c>
      <c r="F867" t="s">
        <v>2501</v>
      </c>
      <c r="G867" t="s">
        <v>128</v>
      </c>
      <c r="H867" t="s">
        <v>37</v>
      </c>
      <c r="I867" t="s">
        <v>54</v>
      </c>
      <c r="J867" t="s">
        <v>247</v>
      </c>
      <c r="K867" t="s">
        <v>248</v>
      </c>
      <c r="L867" t="s">
        <v>41</v>
      </c>
      <c r="M867" t="s">
        <v>57</v>
      </c>
      <c r="N867" t="s">
        <v>2502</v>
      </c>
      <c r="O867" t="s">
        <v>50</v>
      </c>
      <c r="P867">
        <v>7</v>
      </c>
      <c r="Q867">
        <v>977.28</v>
      </c>
      <c r="R867">
        <v>0.2</v>
      </c>
      <c r="S867">
        <f>IF(ISNUMBER(SEARCH("%",R867)), VALUE(SUBSTITUTE(R867,"%",""))/100,IF(ISNUMBER(R867), R867, 0))</f>
        <v>0.2</v>
      </c>
      <c r="T867" t="str">
        <f>IF(S867&lt;0,"Negative discount (invalid)",IF(S867&gt;0.5,"Discount above allowed range (invalid)",IF(AND(R867="",S867=0),"Missing discount set to 0","OK")))</f>
        <v>OK</v>
      </c>
      <c r="U867">
        <v>5472.77</v>
      </c>
      <c r="V867">
        <v>4477.33</v>
      </c>
      <c r="W867">
        <v>995.44</v>
      </c>
      <c r="X867" t="s">
        <v>32</v>
      </c>
      <c r="Y867" t="s">
        <v>33</v>
      </c>
      <c r="Z867">
        <f>IF(T867="OK",P867*Q867*(1-S867),"invalid")</f>
        <v>5472.768</v>
      </c>
      <c r="AA867">
        <f>IF(Z867="N/A","N/A",Z867-V867)</f>
        <v>995.4380000000001</v>
      </c>
      <c r="AB867" s="8">
        <f>IF(Z867&lt;&gt;"N/A", AA867/Z867, "N/A")</f>
        <v>0.18188931085695575</v>
      </c>
      <c r="AC867">
        <f>MONTH(B867)</f>
        <v>8</v>
      </c>
      <c r="AD867">
        <f>YEAR(B867)</f>
        <v>2025</v>
      </c>
      <c r="AE867" s="10">
        <f t="shared" si="13"/>
        <v>2.0000000004074536E-3</v>
      </c>
      <c r="AF867" t="s">
        <v>2806</v>
      </c>
      <c r="AG867" t="s">
        <v>2789</v>
      </c>
    </row>
    <row r="868" spans="1:33">
      <c r="A868" t="s">
        <v>2503</v>
      </c>
      <c r="B868" s="4">
        <v>45833</v>
      </c>
      <c r="C868" s="4">
        <v>45833</v>
      </c>
      <c r="D868">
        <f>_xlfn.DAYS(C868,B868)</f>
        <v>0</v>
      </c>
      <c r="E868" t="s">
        <v>2804</v>
      </c>
      <c r="F868" t="s">
        <v>2504</v>
      </c>
      <c r="G868" t="s">
        <v>53</v>
      </c>
      <c r="H868" t="s">
        <v>37</v>
      </c>
      <c r="I868" t="s">
        <v>2785</v>
      </c>
      <c r="J868" t="s">
        <v>122</v>
      </c>
      <c r="K868" t="s">
        <v>123</v>
      </c>
      <c r="L868" t="s">
        <v>28</v>
      </c>
      <c r="M868" t="s">
        <v>153</v>
      </c>
      <c r="N868" t="s">
        <v>2505</v>
      </c>
      <c r="O868" t="s">
        <v>31</v>
      </c>
      <c r="P868">
        <v>6</v>
      </c>
      <c r="Q868">
        <v>1366.13</v>
      </c>
      <c r="R868">
        <v>0.1</v>
      </c>
      <c r="S868">
        <f>IF(ISNUMBER(SEARCH("%",R868)), VALUE(SUBSTITUTE(R868,"%",""))/100,IF(ISNUMBER(R868), R868, 0))</f>
        <v>0.1</v>
      </c>
      <c r="T868" t="str">
        <f>IF(S868&lt;0,"Negative discount (invalid)",IF(S868&gt;0.5,"Discount above allowed range (invalid)",IF(AND(R868="",S868=0),"Missing discount set to 0","OK")))</f>
        <v>OK</v>
      </c>
      <c r="U868">
        <v>7377.1</v>
      </c>
      <c r="V868">
        <v>5085.21</v>
      </c>
      <c r="W868">
        <v>2291.89</v>
      </c>
      <c r="X868" t="s">
        <v>32</v>
      </c>
      <c r="Y868" t="s">
        <v>33</v>
      </c>
      <c r="Z868">
        <f>IF(T868="OK",P868*Q868*(1-S868),"invalid")</f>
        <v>7377.1020000000008</v>
      </c>
      <c r="AA868">
        <f>IF(Z868="N/A","N/A",Z868-V868)</f>
        <v>2291.8920000000007</v>
      </c>
      <c r="AB868" s="8">
        <f>IF(Z868&lt;&gt;"N/A", AA868/Z868, "N/A")</f>
        <v>0.31067646888981615</v>
      </c>
      <c r="AC868">
        <f>MONTH(B868)</f>
        <v>6</v>
      </c>
      <c r="AD868">
        <f>YEAR(B868)</f>
        <v>2025</v>
      </c>
      <c r="AE868" s="10">
        <f t="shared" si="13"/>
        <v>2.0000000004074536E-3</v>
      </c>
      <c r="AF868" t="s">
        <v>2799</v>
      </c>
      <c r="AG868" t="s">
        <v>2798</v>
      </c>
    </row>
    <row r="869" spans="1:33">
      <c r="A869" t="s">
        <v>2514</v>
      </c>
      <c r="B869" s="4">
        <v>45753</v>
      </c>
      <c r="C869" s="4">
        <v>45757</v>
      </c>
      <c r="D869">
        <f>_xlfn.DAYS(C869,B869)</f>
        <v>4</v>
      </c>
      <c r="E869" t="s">
        <v>2804</v>
      </c>
      <c r="F869" t="s">
        <v>2515</v>
      </c>
      <c r="G869" t="s">
        <v>141</v>
      </c>
      <c r="H869" t="s">
        <v>24</v>
      </c>
      <c r="I869" t="s">
        <v>38</v>
      </c>
      <c r="J869" t="s">
        <v>39</v>
      </c>
      <c r="K869" t="s">
        <v>40</v>
      </c>
      <c r="L869" t="s">
        <v>41</v>
      </c>
      <c r="M869" t="s">
        <v>158</v>
      </c>
      <c r="N869" t="s">
        <v>1124</v>
      </c>
      <c r="O869" t="s">
        <v>59</v>
      </c>
      <c r="P869">
        <v>2</v>
      </c>
      <c r="Q869">
        <v>1337.67</v>
      </c>
      <c r="R869">
        <v>0</v>
      </c>
      <c r="S869">
        <f>IF(ISNUMBER(SEARCH("%",R869)), VALUE(SUBSTITUTE(R869,"%",""))/100,IF(ISNUMBER(R869), R869, 0))</f>
        <v>0</v>
      </c>
      <c r="T869" t="str">
        <f>IF(S869&lt;0,"Negative discount (invalid)",IF(S869&gt;0.5,"Discount above allowed range (invalid)",IF(AND(R869="",S869=0),"Missing discount set to 0","OK")))</f>
        <v>OK</v>
      </c>
      <c r="U869">
        <v>2675.34</v>
      </c>
      <c r="V869">
        <v>1595.87</v>
      </c>
      <c r="W869">
        <v>1079.47</v>
      </c>
      <c r="X869" t="s">
        <v>32</v>
      </c>
      <c r="Y869" t="s">
        <v>33</v>
      </c>
      <c r="Z869">
        <f>IF(T869="OK",P869*Q869*(1-S869),"invalid")</f>
        <v>2675.34</v>
      </c>
      <c r="AA869">
        <f>IF(Z869="N/A","N/A",Z869-V869)</f>
        <v>1079.4700000000003</v>
      </c>
      <c r="AB869" s="8">
        <f>IF(Z869&lt;&gt;"N/A", AA869/Z869, "N/A")</f>
        <v>0.40348890234512258</v>
      </c>
      <c r="AC869">
        <f>MONTH(B869)</f>
        <v>4</v>
      </c>
      <c r="AD869">
        <f>YEAR(B869)</f>
        <v>2025</v>
      </c>
      <c r="AE869" s="10">
        <f t="shared" si="13"/>
        <v>0</v>
      </c>
      <c r="AF869" t="s">
        <v>2804</v>
      </c>
      <c r="AG869" t="s">
        <v>2811</v>
      </c>
    </row>
    <row r="870" spans="1:33">
      <c r="A870" t="s">
        <v>2516</v>
      </c>
      <c r="B870" s="4">
        <v>45875</v>
      </c>
      <c r="C870" s="4">
        <v>45880</v>
      </c>
      <c r="D870">
        <f>_xlfn.DAYS(C870,B870)</f>
        <v>5</v>
      </c>
      <c r="E870" t="s">
        <v>2804</v>
      </c>
      <c r="F870" t="s">
        <v>2517</v>
      </c>
      <c r="G870" t="s">
        <v>53</v>
      </c>
      <c r="H870" t="s">
        <v>24</v>
      </c>
      <c r="I870" t="s">
        <v>63</v>
      </c>
      <c r="J870" t="s">
        <v>72</v>
      </c>
      <c r="K870" t="s">
        <v>73</v>
      </c>
      <c r="L870" t="s">
        <v>28</v>
      </c>
      <c r="M870" t="s">
        <v>91</v>
      </c>
      <c r="N870" t="s">
        <v>2518</v>
      </c>
      <c r="O870" t="s">
        <v>50</v>
      </c>
      <c r="P870">
        <v>2</v>
      </c>
      <c r="Q870">
        <v>2375.94</v>
      </c>
      <c r="R870">
        <v>0.25</v>
      </c>
      <c r="S870">
        <f>IF(ISNUMBER(SEARCH("%",R870)), VALUE(SUBSTITUTE(R870,"%",""))/100,IF(ISNUMBER(R870), R870, 0))</f>
        <v>0.25</v>
      </c>
      <c r="T870" t="str">
        <f>IF(S870&lt;0,"Negative discount (invalid)",IF(S870&gt;0.5,"Discount above allowed range (invalid)",IF(AND(R870="",S870=0),"Missing discount set to 0","OK")))</f>
        <v>OK</v>
      </c>
      <c r="U870">
        <v>3563.91</v>
      </c>
      <c r="V870">
        <v>2639.7</v>
      </c>
      <c r="W870">
        <v>924.21</v>
      </c>
      <c r="X870" t="s">
        <v>32</v>
      </c>
      <c r="Y870" t="s">
        <v>33</v>
      </c>
      <c r="Z870">
        <f>IF(T870="OK",P870*Q870*(1-S870),"invalid")</f>
        <v>3563.91</v>
      </c>
      <c r="AA870">
        <f>IF(Z870="N/A","N/A",Z870-V870)</f>
        <v>924.21</v>
      </c>
      <c r="AB870" s="8">
        <f>IF(Z870&lt;&gt;"N/A", AA870/Z870, "N/A")</f>
        <v>0.25932473042248544</v>
      </c>
      <c r="AC870">
        <f>MONTH(B870)</f>
        <v>8</v>
      </c>
      <c r="AD870">
        <f>YEAR(B870)</f>
        <v>2025</v>
      </c>
      <c r="AE870" s="10">
        <f t="shared" si="13"/>
        <v>0</v>
      </c>
      <c r="AF870" t="s">
        <v>2804</v>
      </c>
      <c r="AG870" t="s">
        <v>2811</v>
      </c>
    </row>
    <row r="871" spans="1:33">
      <c r="A871" t="s">
        <v>2525</v>
      </c>
      <c r="B871" s="4">
        <v>45752</v>
      </c>
      <c r="C871" s="4">
        <v>45752</v>
      </c>
      <c r="D871">
        <f>_xlfn.DAYS(C871,B871)</f>
        <v>0</v>
      </c>
      <c r="E871" t="s">
        <v>2804</v>
      </c>
      <c r="F871" t="s">
        <v>2526</v>
      </c>
      <c r="G871" t="s">
        <v>132</v>
      </c>
      <c r="H871" t="s">
        <v>24</v>
      </c>
      <c r="I871" t="s">
        <v>38</v>
      </c>
      <c r="J871" t="s">
        <v>145</v>
      </c>
      <c r="K871" t="s">
        <v>146</v>
      </c>
      <c r="L871" t="s">
        <v>28</v>
      </c>
      <c r="M871" t="s">
        <v>153</v>
      </c>
      <c r="N871" t="s">
        <v>2527</v>
      </c>
      <c r="O871" t="s">
        <v>59</v>
      </c>
      <c r="P871">
        <v>6</v>
      </c>
      <c r="Q871">
        <v>1829.69</v>
      </c>
      <c r="R871">
        <v>0.25</v>
      </c>
      <c r="S871">
        <f>IF(ISNUMBER(SEARCH("%",R871)), VALUE(SUBSTITUTE(R871,"%",""))/100,IF(ISNUMBER(R871), R871, 0))</f>
        <v>0.25</v>
      </c>
      <c r="T871" t="str">
        <f>IF(S871&lt;0,"Negative discount (invalid)",IF(S871&gt;0.5,"Discount above allowed range (invalid)",IF(AND(R871="",S871=0),"Missing discount set to 0","OK")))</f>
        <v>OK</v>
      </c>
      <c r="U871">
        <v>8233.6</v>
      </c>
      <c r="V871">
        <v>4713.79</v>
      </c>
      <c r="W871">
        <v>3519.81</v>
      </c>
      <c r="X871" t="s">
        <v>32</v>
      </c>
      <c r="Y871" t="s">
        <v>33</v>
      </c>
      <c r="Z871">
        <f>IF(T871="OK",P871*Q871*(1-S871),"invalid")</f>
        <v>8233.6049999999996</v>
      </c>
      <c r="AA871">
        <f>IF(Z871="N/A","N/A",Z871-V871)</f>
        <v>3519.8149999999996</v>
      </c>
      <c r="AB871" s="8">
        <f>IF(Z871&lt;&gt;"N/A", AA871/Z871, "N/A")</f>
        <v>0.42749378917254349</v>
      </c>
      <c r="AC871">
        <f>MONTH(B871)</f>
        <v>4</v>
      </c>
      <c r="AD871">
        <f>YEAR(B871)</f>
        <v>2025</v>
      </c>
      <c r="AE871" s="10">
        <f t="shared" si="13"/>
        <v>4.9999999991996447E-3</v>
      </c>
      <c r="AF871" t="s">
        <v>2804</v>
      </c>
      <c r="AG871" t="s">
        <v>2811</v>
      </c>
    </row>
    <row r="872" spans="1:33">
      <c r="A872" t="s">
        <v>2534</v>
      </c>
      <c r="B872" s="4">
        <v>45694</v>
      </c>
      <c r="C872" s="4">
        <v>45698</v>
      </c>
      <c r="D872">
        <f>_xlfn.DAYS(C872,B872)</f>
        <v>4</v>
      </c>
      <c r="E872" t="s">
        <v>2804</v>
      </c>
      <c r="F872" t="s">
        <v>2535</v>
      </c>
      <c r="G872" t="s">
        <v>62</v>
      </c>
      <c r="H872" t="s">
        <v>95</v>
      </c>
      <c r="I872" t="s">
        <v>25</v>
      </c>
      <c r="J872" t="s">
        <v>136</v>
      </c>
      <c r="K872" t="s">
        <v>137</v>
      </c>
      <c r="L872" t="s">
        <v>41</v>
      </c>
      <c r="M872" t="s">
        <v>158</v>
      </c>
      <c r="N872" t="s">
        <v>2536</v>
      </c>
      <c r="O872" t="s">
        <v>59</v>
      </c>
      <c r="P872">
        <v>2</v>
      </c>
      <c r="Q872">
        <v>319.57</v>
      </c>
      <c r="R872">
        <v>0.2</v>
      </c>
      <c r="S872">
        <f>IF(ISNUMBER(SEARCH("%",R872)), VALUE(SUBSTITUTE(R872,"%",""))/100,IF(ISNUMBER(R872), R872, 0))</f>
        <v>0.2</v>
      </c>
      <c r="T872" t="str">
        <f>IF(S872&lt;0,"Negative discount (invalid)",IF(S872&gt;0.5,"Discount above allowed range (invalid)",IF(AND(R872="",S872=0),"Missing discount set to 0","OK")))</f>
        <v>OK</v>
      </c>
      <c r="U872">
        <v>511.31</v>
      </c>
      <c r="V872">
        <v>436.43</v>
      </c>
      <c r="W872">
        <v>74.88</v>
      </c>
      <c r="X872" t="s">
        <v>32</v>
      </c>
      <c r="Y872" t="s">
        <v>33</v>
      </c>
      <c r="Z872">
        <f>IF(T872="OK",P872*Q872*(1-S872),"invalid")</f>
        <v>511.31200000000001</v>
      </c>
      <c r="AA872">
        <f>IF(Z872="N/A","N/A",Z872-V872)</f>
        <v>74.882000000000005</v>
      </c>
      <c r="AB872" s="8">
        <f>IF(Z872&lt;&gt;"N/A", AA872/Z872, "N/A")</f>
        <v>0.14645069937728825</v>
      </c>
      <c r="AC872">
        <f>MONTH(B872)</f>
        <v>2</v>
      </c>
      <c r="AD872">
        <f>YEAR(B872)</f>
        <v>2025</v>
      </c>
      <c r="AE872" s="10">
        <f t="shared" si="13"/>
        <v>2.0000000000095497E-3</v>
      </c>
      <c r="AF872" t="s">
        <v>2804</v>
      </c>
      <c r="AG872" t="s">
        <v>2811</v>
      </c>
    </row>
    <row r="873" spans="1:33">
      <c r="A873" t="s">
        <v>2543</v>
      </c>
      <c r="B873" s="4">
        <v>45663</v>
      </c>
      <c r="C873" s="4">
        <v>45669</v>
      </c>
      <c r="D873">
        <f>_xlfn.DAYS(C873,B873)</f>
        <v>6</v>
      </c>
      <c r="E873" t="s">
        <v>2804</v>
      </c>
      <c r="F873" t="s">
        <v>2544</v>
      </c>
      <c r="G873" t="s">
        <v>36</v>
      </c>
      <c r="H873" t="s">
        <v>95</v>
      </c>
      <c r="I873" t="s">
        <v>63</v>
      </c>
      <c r="J873" t="s">
        <v>190</v>
      </c>
      <c r="K873" t="s">
        <v>191</v>
      </c>
      <c r="L873" t="s">
        <v>28</v>
      </c>
      <c r="M873" t="s">
        <v>29</v>
      </c>
      <c r="N873" t="s">
        <v>2545</v>
      </c>
      <c r="O873" t="s">
        <v>44</v>
      </c>
      <c r="P873">
        <v>3</v>
      </c>
      <c r="Q873">
        <v>668.33</v>
      </c>
      <c r="R873">
        <v>0.15</v>
      </c>
      <c r="S873">
        <f>IF(ISNUMBER(SEARCH("%",R873)), VALUE(SUBSTITUTE(R873,"%",""))/100,IF(ISNUMBER(R873), R873, 0))</f>
        <v>0.15</v>
      </c>
      <c r="T873" t="str">
        <f>IF(S873&lt;0,"Negative discount (invalid)",IF(S873&gt;0.5,"Discount above allowed range (invalid)",IF(AND(R873="",S873=0),"Missing discount set to 0","OK")))</f>
        <v>OK</v>
      </c>
      <c r="U873">
        <v>1704.24</v>
      </c>
      <c r="V873">
        <v>957.55</v>
      </c>
      <c r="W873">
        <v>746.69</v>
      </c>
      <c r="X873" t="s">
        <v>32</v>
      </c>
      <c r="Y873" t="s">
        <v>33</v>
      </c>
      <c r="Z873">
        <f>IF(T873="OK",P873*Q873*(1-S873),"invalid")</f>
        <v>1704.2415000000001</v>
      </c>
      <c r="AA873">
        <f>IF(Z873="N/A","N/A",Z873-V873)</f>
        <v>746.69150000000013</v>
      </c>
      <c r="AB873" s="8">
        <f>IF(Z873&lt;&gt;"N/A", AA873/Z873, "N/A")</f>
        <v>0.43813714194848563</v>
      </c>
      <c r="AC873">
        <f>MONTH(B873)</f>
        <v>1</v>
      </c>
      <c r="AD873">
        <f>YEAR(B873)</f>
        <v>2025</v>
      </c>
      <c r="AE873" s="10">
        <f t="shared" si="13"/>
        <v>1.5000000000782165E-3</v>
      </c>
      <c r="AF873" t="s">
        <v>2804</v>
      </c>
      <c r="AG873" t="s">
        <v>2811</v>
      </c>
    </row>
    <row r="874" spans="1:33">
      <c r="A874" t="s">
        <v>2546</v>
      </c>
      <c r="B874" s="4">
        <v>45737</v>
      </c>
      <c r="C874" s="4">
        <v>45738</v>
      </c>
      <c r="D874">
        <f>_xlfn.DAYS(C874,B874)</f>
        <v>1</v>
      </c>
      <c r="E874" t="s">
        <v>2804</v>
      </c>
      <c r="F874" t="s">
        <v>2547</v>
      </c>
      <c r="G874" t="s">
        <v>114</v>
      </c>
      <c r="H874" t="s">
        <v>24</v>
      </c>
      <c r="I874" t="s">
        <v>63</v>
      </c>
      <c r="J874" t="s">
        <v>190</v>
      </c>
      <c r="K874" t="s">
        <v>191</v>
      </c>
      <c r="L874" t="s">
        <v>28</v>
      </c>
      <c r="M874" t="s">
        <v>29</v>
      </c>
      <c r="N874" t="s">
        <v>2548</v>
      </c>
      <c r="O874" t="s">
        <v>50</v>
      </c>
      <c r="P874">
        <v>8</v>
      </c>
      <c r="Q874">
        <v>4436.74</v>
      </c>
      <c r="R874">
        <v>0.05</v>
      </c>
      <c r="S874">
        <f>IF(ISNUMBER(SEARCH("%",R874)), VALUE(SUBSTITUTE(R874,"%",""))/100,IF(ISNUMBER(R874), R874, 0))</f>
        <v>0.05</v>
      </c>
      <c r="T874" t="str">
        <f>IF(S874&lt;0,"Negative discount (invalid)",IF(S874&gt;0.5,"Discount above allowed range (invalid)",IF(AND(R874="",S874=0),"Missing discount set to 0","OK")))</f>
        <v>OK</v>
      </c>
      <c r="U874">
        <v>33719.22</v>
      </c>
      <c r="V874">
        <v>28924.43</v>
      </c>
      <c r="W874">
        <v>4794.79</v>
      </c>
      <c r="X874" t="s">
        <v>32</v>
      </c>
      <c r="Y874" t="s">
        <v>33</v>
      </c>
      <c r="Z874">
        <f>IF(T874="OK",P874*Q874*(1-S874),"invalid")</f>
        <v>33719.223999999995</v>
      </c>
      <c r="AA874">
        <f>IF(Z874="N/A","N/A",Z874-V874)</f>
        <v>4794.7939999999944</v>
      </c>
      <c r="AB874" s="8">
        <f>IF(Z874&lt;&gt;"N/A", AA874/Z874, "N/A")</f>
        <v>0.14219763776295669</v>
      </c>
      <c r="AC874">
        <f>MONTH(B874)</f>
        <v>3</v>
      </c>
      <c r="AD874">
        <f>YEAR(B874)</f>
        <v>2025</v>
      </c>
      <c r="AE874" s="10">
        <f t="shared" si="13"/>
        <v>3.9999999935389496E-3</v>
      </c>
      <c r="AF874" t="s">
        <v>2804</v>
      </c>
      <c r="AG874" t="s">
        <v>2811</v>
      </c>
    </row>
    <row r="875" spans="1:33">
      <c r="A875" t="s">
        <v>2549</v>
      </c>
      <c r="B875" s="4">
        <v>45763</v>
      </c>
      <c r="C875" s="4">
        <v>45764</v>
      </c>
      <c r="D875">
        <f>_xlfn.DAYS(C875,B875)</f>
        <v>1</v>
      </c>
      <c r="E875" t="s">
        <v>2804</v>
      </c>
      <c r="F875" t="s">
        <v>2550</v>
      </c>
      <c r="G875" t="s">
        <v>71</v>
      </c>
      <c r="H875" t="s">
        <v>37</v>
      </c>
      <c r="I875" t="s">
        <v>25</v>
      </c>
      <c r="J875" t="s">
        <v>136</v>
      </c>
      <c r="K875" t="s">
        <v>137</v>
      </c>
      <c r="L875" t="s">
        <v>74</v>
      </c>
      <c r="M875" t="s">
        <v>274</v>
      </c>
      <c r="N875" t="s">
        <v>2551</v>
      </c>
      <c r="O875" t="s">
        <v>50</v>
      </c>
      <c r="P875">
        <v>1</v>
      </c>
      <c r="Q875">
        <v>2720.17</v>
      </c>
      <c r="R875">
        <v>0</v>
      </c>
      <c r="S875">
        <f>IF(ISNUMBER(SEARCH("%",R875)), VALUE(SUBSTITUTE(R875,"%",""))/100,IF(ISNUMBER(R875), R875, 0))</f>
        <v>0</v>
      </c>
      <c r="T875" t="str">
        <f>IF(S875&lt;0,"Negative discount (invalid)",IF(S875&gt;0.5,"Discount above allowed range (invalid)",IF(AND(R875="",S875=0),"Missing discount set to 0","OK")))</f>
        <v>OK</v>
      </c>
      <c r="U875">
        <v>2720.17</v>
      </c>
      <c r="V875">
        <v>1834.23</v>
      </c>
      <c r="W875">
        <v>885.94</v>
      </c>
      <c r="X875" t="s">
        <v>32</v>
      </c>
      <c r="Y875" t="s">
        <v>33</v>
      </c>
      <c r="Z875">
        <f>IF(T875="OK",P875*Q875*(1-S875),"invalid")</f>
        <v>2720.17</v>
      </c>
      <c r="AA875">
        <f>IF(Z875="N/A","N/A",Z875-V875)</f>
        <v>885.94</v>
      </c>
      <c r="AB875" s="8">
        <f>IF(Z875&lt;&gt;"N/A", AA875/Z875, "N/A")</f>
        <v>0.3256928794891496</v>
      </c>
      <c r="AC875">
        <f>MONTH(B875)</f>
        <v>4</v>
      </c>
      <c r="AD875">
        <f>YEAR(B875)</f>
        <v>2025</v>
      </c>
      <c r="AE875" s="10">
        <f t="shared" si="13"/>
        <v>0</v>
      </c>
      <c r="AF875" t="s">
        <v>2804</v>
      </c>
      <c r="AG875" t="s">
        <v>2811</v>
      </c>
    </row>
    <row r="876" spans="1:33">
      <c r="A876" t="s">
        <v>2552</v>
      </c>
      <c r="B876" s="4">
        <v>45879</v>
      </c>
      <c r="C876" s="4">
        <v>45883</v>
      </c>
      <c r="D876">
        <f>_xlfn.DAYS(C876,B876)</f>
        <v>4</v>
      </c>
      <c r="E876" t="s">
        <v>2804</v>
      </c>
      <c r="F876" t="s">
        <v>2553</v>
      </c>
      <c r="G876" t="s">
        <v>89</v>
      </c>
      <c r="H876" t="s">
        <v>24</v>
      </c>
      <c r="I876" t="s">
        <v>63</v>
      </c>
      <c r="J876" t="s">
        <v>26</v>
      </c>
      <c r="K876" t="s">
        <v>109</v>
      </c>
      <c r="L876" t="s">
        <v>74</v>
      </c>
      <c r="M876" t="s">
        <v>75</v>
      </c>
      <c r="N876" t="s">
        <v>2554</v>
      </c>
      <c r="O876" t="s">
        <v>59</v>
      </c>
      <c r="P876">
        <v>5</v>
      </c>
      <c r="Q876">
        <v>2190.14</v>
      </c>
      <c r="R876">
        <v>0.25</v>
      </c>
      <c r="S876">
        <f>IF(ISNUMBER(SEARCH("%",R876)), VALUE(SUBSTITUTE(R876,"%",""))/100,IF(ISNUMBER(R876), R876, 0))</f>
        <v>0.25</v>
      </c>
      <c r="T876" t="str">
        <f>IF(S876&lt;0,"Negative discount (invalid)",IF(S876&gt;0.5,"Discount above allowed range (invalid)",IF(AND(R876="",S876=0),"Missing discount set to 0","OK")))</f>
        <v>OK</v>
      </c>
      <c r="U876">
        <v>8213.02</v>
      </c>
      <c r="V876">
        <v>5569.3</v>
      </c>
      <c r="W876">
        <v>2643.72</v>
      </c>
      <c r="X876" t="s">
        <v>32</v>
      </c>
      <c r="Y876" t="s">
        <v>33</v>
      </c>
      <c r="Z876">
        <f>IF(T876="OK",P876*Q876*(1-S876),"invalid")</f>
        <v>8213.0249999999996</v>
      </c>
      <c r="AA876">
        <f>IF(Z876="N/A","N/A",Z876-V876)</f>
        <v>2643.7249999999995</v>
      </c>
      <c r="AB876" s="8">
        <f>IF(Z876&lt;&gt;"N/A", AA876/Z876, "N/A")</f>
        <v>0.32189418636860345</v>
      </c>
      <c r="AC876">
        <f>MONTH(B876)</f>
        <v>8</v>
      </c>
      <c r="AD876">
        <f>YEAR(B876)</f>
        <v>2025</v>
      </c>
      <c r="AE876" s="10">
        <f t="shared" si="13"/>
        <v>4.9999999991996447E-3</v>
      </c>
      <c r="AF876" t="s">
        <v>2804</v>
      </c>
      <c r="AG876" t="s">
        <v>2811</v>
      </c>
    </row>
    <row r="877" spans="1:33">
      <c r="A877" t="s">
        <v>2558</v>
      </c>
      <c r="B877" s="4">
        <v>45940</v>
      </c>
      <c r="C877" s="4">
        <v>45941</v>
      </c>
      <c r="D877">
        <f>_xlfn.DAYS(C877,B877)</f>
        <v>1</v>
      </c>
      <c r="E877" t="s">
        <v>2804</v>
      </c>
      <c r="F877" t="s">
        <v>2559</v>
      </c>
      <c r="G877" t="s">
        <v>23</v>
      </c>
      <c r="H877" t="s">
        <v>90</v>
      </c>
      <c r="I877" t="s">
        <v>38</v>
      </c>
      <c r="J877" t="s">
        <v>39</v>
      </c>
      <c r="K877" t="s">
        <v>40</v>
      </c>
      <c r="L877" t="s">
        <v>41</v>
      </c>
      <c r="M877" t="s">
        <v>66</v>
      </c>
      <c r="N877" t="s">
        <v>2560</v>
      </c>
      <c r="O877" t="s">
        <v>31</v>
      </c>
      <c r="P877">
        <v>7</v>
      </c>
      <c r="Q877">
        <v>3791.96</v>
      </c>
      <c r="R877">
        <v>0.05</v>
      </c>
      <c r="S877">
        <f>IF(ISNUMBER(SEARCH("%",R877)), VALUE(SUBSTITUTE(R877,"%",""))/100,IF(ISNUMBER(R877), R877, 0))</f>
        <v>0.05</v>
      </c>
      <c r="T877" t="str">
        <f>IF(S877&lt;0,"Negative discount (invalid)",IF(S877&gt;0.5,"Discount above allowed range (invalid)",IF(AND(R877="",S877=0),"Missing discount set to 0","OK")))</f>
        <v>OK</v>
      </c>
      <c r="U877">
        <v>25216.53</v>
      </c>
      <c r="V877">
        <v>14216.94</v>
      </c>
      <c r="W877">
        <v>10999.59</v>
      </c>
      <c r="X877" t="s">
        <v>155</v>
      </c>
      <c r="Y877" t="s">
        <v>68</v>
      </c>
      <c r="Z877">
        <f>IF(T877="OK",P877*Q877*(1-S877),"invalid")</f>
        <v>25216.534</v>
      </c>
      <c r="AA877">
        <f>IF(Z877="N/A","N/A",Z877-V877)</f>
        <v>10999.593999999999</v>
      </c>
      <c r="AB877" s="8">
        <f>IF(Z877&lt;&gt;"N/A", AA877/Z877, "N/A")</f>
        <v>0.4362056260388521</v>
      </c>
      <c r="AC877">
        <f>MONTH(B877)</f>
        <v>10</v>
      </c>
      <c r="AD877">
        <f>YEAR(B877)</f>
        <v>2025</v>
      </c>
      <c r="AE877" s="10">
        <f t="shared" si="13"/>
        <v>4.0000000008149073E-3</v>
      </c>
      <c r="AF877" t="s">
        <v>2804</v>
      </c>
      <c r="AG877" t="s">
        <v>2811</v>
      </c>
    </row>
    <row r="878" spans="1:33">
      <c r="A878" t="s">
        <v>2564</v>
      </c>
      <c r="B878" s="4">
        <v>45853</v>
      </c>
      <c r="C878" s="4">
        <v>45856</v>
      </c>
      <c r="D878">
        <f>_xlfn.DAYS(C878,B878)</f>
        <v>3</v>
      </c>
      <c r="E878" t="s">
        <v>2804</v>
      </c>
      <c r="F878" t="s">
        <v>2565</v>
      </c>
      <c r="G878" t="s">
        <v>89</v>
      </c>
      <c r="H878" t="s">
        <v>37</v>
      </c>
      <c r="I878" t="s">
        <v>2785</v>
      </c>
      <c r="J878" t="s">
        <v>247</v>
      </c>
      <c r="K878" t="s">
        <v>248</v>
      </c>
      <c r="L878" t="s">
        <v>74</v>
      </c>
      <c r="M878" t="s">
        <v>274</v>
      </c>
      <c r="N878" t="s">
        <v>2566</v>
      </c>
      <c r="O878" t="s">
        <v>50</v>
      </c>
      <c r="P878">
        <v>6</v>
      </c>
      <c r="Q878">
        <v>2382.88</v>
      </c>
      <c r="R878">
        <v>0.1</v>
      </c>
      <c r="S878">
        <f>IF(ISNUMBER(SEARCH("%",R878)), VALUE(SUBSTITUTE(R878,"%",""))/100,IF(ISNUMBER(R878), R878, 0))</f>
        <v>0.1</v>
      </c>
      <c r="T878" t="str">
        <f>IF(S878&lt;0,"Negative discount (invalid)",IF(S878&gt;0.5,"Discount above allowed range (invalid)",IF(AND(R878="",S878=0),"Missing discount set to 0","OK")))</f>
        <v>OK</v>
      </c>
      <c r="U878">
        <v>12867.55</v>
      </c>
      <c r="V878">
        <v>10068.94</v>
      </c>
      <c r="W878">
        <v>2798.61</v>
      </c>
      <c r="X878" t="s">
        <v>32</v>
      </c>
      <c r="Y878" t="s">
        <v>33</v>
      </c>
      <c r="Z878">
        <f>IF(T878="OK",P878*Q878*(1-S878),"invalid")</f>
        <v>12867.552000000001</v>
      </c>
      <c r="AA878">
        <f>IF(Z878="N/A","N/A",Z878-V878)</f>
        <v>2798.612000000001</v>
      </c>
      <c r="AB878" s="8">
        <f>IF(Z878&lt;&gt;"N/A", AA878/Z878, "N/A")</f>
        <v>0.21749373929089236</v>
      </c>
      <c r="AC878">
        <f>MONTH(B878)</f>
        <v>7</v>
      </c>
      <c r="AD878">
        <f>YEAR(B878)</f>
        <v>2025</v>
      </c>
      <c r="AE878" s="10">
        <f t="shared" si="13"/>
        <v>2.000000002226443E-3</v>
      </c>
      <c r="AF878" t="s">
        <v>2799</v>
      </c>
      <c r="AG878" t="s">
        <v>2798</v>
      </c>
    </row>
    <row r="879" spans="1:33">
      <c r="A879" t="s">
        <v>2567</v>
      </c>
      <c r="B879" s="4">
        <v>45750</v>
      </c>
      <c r="C879" s="4">
        <v>45750</v>
      </c>
      <c r="D879">
        <f>_xlfn.DAYS(C879,B879)</f>
        <v>0</v>
      </c>
      <c r="E879" t="s">
        <v>2804</v>
      </c>
      <c r="F879" t="s">
        <v>2568</v>
      </c>
      <c r="G879" t="s">
        <v>162</v>
      </c>
      <c r="H879" t="s">
        <v>95</v>
      </c>
      <c r="I879" t="s">
        <v>2785</v>
      </c>
      <c r="J879" t="s">
        <v>236</v>
      </c>
      <c r="K879" t="s">
        <v>237</v>
      </c>
      <c r="L879" t="s">
        <v>41</v>
      </c>
      <c r="M879" t="s">
        <v>66</v>
      </c>
      <c r="N879" t="s">
        <v>2569</v>
      </c>
      <c r="O879" t="s">
        <v>50</v>
      </c>
      <c r="P879">
        <v>9</v>
      </c>
      <c r="Q879">
        <v>3462.7</v>
      </c>
      <c r="R879">
        <v>0.15</v>
      </c>
      <c r="S879">
        <f>IF(ISNUMBER(SEARCH("%",R879)), VALUE(SUBSTITUTE(R879,"%",""))/100,IF(ISNUMBER(R879), R879, 0))</f>
        <v>0.15</v>
      </c>
      <c r="T879" t="str">
        <f>IF(S879&lt;0,"Negative discount (invalid)",IF(S879&gt;0.5,"Discount above allowed range (invalid)",IF(AND(R879="",S879=0),"Missing discount set to 0","OK")))</f>
        <v>OK</v>
      </c>
      <c r="U879">
        <v>26489.65</v>
      </c>
      <c r="V879">
        <v>15818.46</v>
      </c>
      <c r="W879">
        <v>10671.19</v>
      </c>
      <c r="X879" t="s">
        <v>155</v>
      </c>
      <c r="Y879" t="s">
        <v>103</v>
      </c>
      <c r="Z879">
        <f>IF(T879="OK",P879*Q879*(1-S879),"invalid")</f>
        <v>26489.654999999999</v>
      </c>
      <c r="AA879">
        <f>IF(Z879="N/A","N/A",Z879-V879)</f>
        <v>10671.195</v>
      </c>
      <c r="AB879" s="8">
        <f>IF(Z879&lt;&gt;"N/A", AA879/Z879, "N/A")</f>
        <v>0.40284386489744772</v>
      </c>
      <c r="AC879">
        <f>MONTH(B879)</f>
        <v>4</v>
      </c>
      <c r="AD879">
        <f>YEAR(B879)</f>
        <v>2025</v>
      </c>
      <c r="AE879" s="10">
        <f t="shared" si="13"/>
        <v>4.9999999973806553E-3</v>
      </c>
      <c r="AF879" t="s">
        <v>2799</v>
      </c>
      <c r="AG879" t="s">
        <v>2798</v>
      </c>
    </row>
    <row r="880" spans="1:33">
      <c r="A880" t="s">
        <v>2570</v>
      </c>
      <c r="B880" s="4">
        <v>45803</v>
      </c>
      <c r="C880" s="4">
        <v>45805</v>
      </c>
      <c r="D880">
        <f>_xlfn.DAYS(C880,B880)</f>
        <v>2</v>
      </c>
      <c r="E880" t="s">
        <v>2804</v>
      </c>
      <c r="F880" t="s">
        <v>2571</v>
      </c>
      <c r="G880" t="s">
        <v>264</v>
      </c>
      <c r="H880" t="s">
        <v>37</v>
      </c>
      <c r="I880" t="s">
        <v>54</v>
      </c>
      <c r="J880" t="s">
        <v>84</v>
      </c>
      <c r="K880" t="s">
        <v>85</v>
      </c>
      <c r="L880" t="s">
        <v>74</v>
      </c>
      <c r="M880" t="s">
        <v>171</v>
      </c>
      <c r="N880" t="s">
        <v>2572</v>
      </c>
      <c r="O880" t="s">
        <v>31</v>
      </c>
      <c r="P880">
        <v>9</v>
      </c>
      <c r="Q880">
        <v>4302.0200000000004</v>
      </c>
      <c r="R880">
        <v>0.05</v>
      </c>
      <c r="S880">
        <f>IF(ISNUMBER(SEARCH("%",R880)), VALUE(SUBSTITUTE(R880,"%",""))/100,IF(ISNUMBER(R880), R880, 0))</f>
        <v>0.05</v>
      </c>
      <c r="T880" t="str">
        <f>IF(S880&lt;0,"Negative discount (invalid)",IF(S880&gt;0.5,"Discount above allowed range (invalid)",IF(AND(R880="",S880=0),"Missing discount set to 0","OK")))</f>
        <v>OK</v>
      </c>
      <c r="U880">
        <v>36782.269999999997</v>
      </c>
      <c r="V880">
        <v>25902.81</v>
      </c>
      <c r="W880">
        <v>10879.46</v>
      </c>
      <c r="X880" t="s">
        <v>32</v>
      </c>
      <c r="Y880" t="s">
        <v>33</v>
      </c>
      <c r="Z880">
        <f>IF(T880="OK",P880*Q880*(1-S880),"invalid")</f>
        <v>36782.271000000008</v>
      </c>
      <c r="AA880">
        <f>IF(Z880="N/A","N/A",Z880-V880)</f>
        <v>10879.461000000007</v>
      </c>
      <c r="AB880" s="8">
        <f>IF(Z880&lt;&gt;"N/A", AA880/Z880, "N/A")</f>
        <v>0.29578002402298664</v>
      </c>
      <c r="AC880">
        <f>MONTH(B880)</f>
        <v>5</v>
      </c>
      <c r="AD880">
        <f>YEAR(B880)</f>
        <v>2025</v>
      </c>
      <c r="AE880" s="10">
        <f t="shared" si="13"/>
        <v>1.0000000111176632E-3</v>
      </c>
      <c r="AF880" t="s">
        <v>2804</v>
      </c>
      <c r="AG880" t="s">
        <v>2811</v>
      </c>
    </row>
    <row r="881" spans="1:33">
      <c r="A881" t="s">
        <v>2579</v>
      </c>
      <c r="B881" s="4">
        <v>45926</v>
      </c>
      <c r="C881" s="4">
        <v>45934</v>
      </c>
      <c r="D881">
        <f>_xlfn.DAYS(C881,B881)</f>
        <v>8</v>
      </c>
      <c r="E881" t="s">
        <v>2804</v>
      </c>
      <c r="F881" t="s">
        <v>2580</v>
      </c>
      <c r="G881" t="s">
        <v>114</v>
      </c>
      <c r="H881" t="s">
        <v>37</v>
      </c>
      <c r="I881" t="s">
        <v>38</v>
      </c>
      <c r="J881" t="s">
        <v>166</v>
      </c>
      <c r="K881" t="s">
        <v>167</v>
      </c>
      <c r="L881" t="s">
        <v>74</v>
      </c>
      <c r="M881" t="s">
        <v>171</v>
      </c>
      <c r="N881" t="s">
        <v>2581</v>
      </c>
      <c r="O881" t="s">
        <v>31</v>
      </c>
      <c r="P881">
        <v>7</v>
      </c>
      <c r="Q881">
        <v>1509.59</v>
      </c>
      <c r="R881">
        <v>0.05</v>
      </c>
      <c r="S881">
        <f>IF(ISNUMBER(SEARCH("%",R881)), VALUE(SUBSTITUTE(R881,"%",""))/100,IF(ISNUMBER(R881), R881, 0))</f>
        <v>0.05</v>
      </c>
      <c r="T881" t="str">
        <f>IF(S881&lt;0,"Negative discount (invalid)",IF(S881&gt;0.5,"Discount above allowed range (invalid)",IF(AND(R881="",S881=0),"Missing discount set to 0","OK")))</f>
        <v>OK</v>
      </c>
      <c r="U881">
        <v>10038.77</v>
      </c>
      <c r="V881">
        <v>5673.1</v>
      </c>
      <c r="W881">
        <v>4365.67</v>
      </c>
      <c r="X881" t="s">
        <v>32</v>
      </c>
      <c r="Y881" t="s">
        <v>33</v>
      </c>
      <c r="Z881">
        <f>IF(T881="OK",P881*Q881*(1-S881),"invalid")</f>
        <v>10038.773499999999</v>
      </c>
      <c r="AA881">
        <f>IF(Z881="N/A","N/A",Z881-V881)</f>
        <v>4365.673499999999</v>
      </c>
      <c r="AB881" s="8">
        <f>IF(Z881&lt;&gt;"N/A", AA881/Z881, "N/A")</f>
        <v>0.43488116352062323</v>
      </c>
      <c r="AC881">
        <f>MONTH(B881)</f>
        <v>9</v>
      </c>
      <c r="AD881">
        <f>YEAR(B881)</f>
        <v>2025</v>
      </c>
      <c r="AE881" s="10">
        <f t="shared" si="13"/>
        <v>3.4999999988940544E-3</v>
      </c>
      <c r="AF881" t="s">
        <v>2804</v>
      </c>
      <c r="AG881" t="s">
        <v>2811</v>
      </c>
    </row>
    <row r="882" spans="1:33">
      <c r="A882" t="s">
        <v>2585</v>
      </c>
      <c r="B882" s="4">
        <v>45927</v>
      </c>
      <c r="C882" s="4">
        <v>45928</v>
      </c>
      <c r="D882">
        <f>_xlfn.DAYS(C882,B882)</f>
        <v>1</v>
      </c>
      <c r="E882" t="s">
        <v>2804</v>
      </c>
      <c r="F882" t="s">
        <v>2586</v>
      </c>
      <c r="G882" t="s">
        <v>23</v>
      </c>
      <c r="H882" t="s">
        <v>95</v>
      </c>
      <c r="I882" t="s">
        <v>63</v>
      </c>
      <c r="J882" t="s">
        <v>64</v>
      </c>
      <c r="K882" t="s">
        <v>65</v>
      </c>
      <c r="L882" t="s">
        <v>28</v>
      </c>
      <c r="M882" t="s">
        <v>29</v>
      </c>
      <c r="N882" t="s">
        <v>2587</v>
      </c>
      <c r="O882" t="s">
        <v>50</v>
      </c>
      <c r="P882">
        <v>3</v>
      </c>
      <c r="Q882">
        <v>4177.63</v>
      </c>
      <c r="R882">
        <v>0.25</v>
      </c>
      <c r="S882">
        <f>IF(ISNUMBER(SEARCH("%",R882)), VALUE(SUBSTITUTE(R882,"%",""))/100,IF(ISNUMBER(R882), R882, 0))</f>
        <v>0.25</v>
      </c>
      <c r="T882" t="str">
        <f>IF(S882&lt;0,"Negative discount (invalid)",IF(S882&gt;0.5,"Discount above allowed range (invalid)",IF(AND(R882="",S882=0),"Missing discount set to 0","OK")))</f>
        <v>OK</v>
      </c>
      <c r="U882">
        <v>9399.67</v>
      </c>
      <c r="V882">
        <v>6540.37</v>
      </c>
      <c r="W882">
        <v>2859.3</v>
      </c>
      <c r="X882" t="s">
        <v>32</v>
      </c>
      <c r="Y882" t="s">
        <v>33</v>
      </c>
      <c r="Z882">
        <f>IF(T882="OK",P882*Q882*(1-S882),"invalid")</f>
        <v>9399.6674999999996</v>
      </c>
      <c r="AA882">
        <f>IF(Z882="N/A","N/A",Z882-V882)</f>
        <v>2859.2974999999997</v>
      </c>
      <c r="AB882" s="8">
        <f>IF(Z882&lt;&gt;"N/A", AA882/Z882, "N/A")</f>
        <v>0.30419134506619516</v>
      </c>
      <c r="AC882">
        <f>MONTH(B882)</f>
        <v>9</v>
      </c>
      <c r="AD882">
        <f>YEAR(B882)</f>
        <v>2025</v>
      </c>
      <c r="AE882" s="10">
        <f t="shared" si="13"/>
        <v>2.500000000509317E-3</v>
      </c>
      <c r="AF882" t="s">
        <v>2804</v>
      </c>
      <c r="AG882" t="s">
        <v>2811</v>
      </c>
    </row>
    <row r="883" spans="1:33">
      <c r="A883" t="s">
        <v>2588</v>
      </c>
      <c r="B883" s="4">
        <v>45750</v>
      </c>
      <c r="C883" s="4">
        <v>45754</v>
      </c>
      <c r="D883">
        <f>_xlfn.DAYS(C883,B883)</f>
        <v>4</v>
      </c>
      <c r="E883" t="s">
        <v>2804</v>
      </c>
      <c r="F883" t="s">
        <v>2589</v>
      </c>
      <c r="G883" t="s">
        <v>62</v>
      </c>
      <c r="H883" t="s">
        <v>37</v>
      </c>
      <c r="I883" t="s">
        <v>63</v>
      </c>
      <c r="J883" t="s">
        <v>190</v>
      </c>
      <c r="K883" t="s">
        <v>191</v>
      </c>
      <c r="L883" t="s">
        <v>28</v>
      </c>
      <c r="M883" t="s">
        <v>29</v>
      </c>
      <c r="N883" t="s">
        <v>2590</v>
      </c>
      <c r="O883" t="s">
        <v>44</v>
      </c>
      <c r="P883">
        <v>1</v>
      </c>
      <c r="Q883">
        <v>1470.57</v>
      </c>
      <c r="R883">
        <v>0</v>
      </c>
      <c r="S883">
        <f>IF(ISNUMBER(SEARCH("%",R883)), VALUE(SUBSTITUTE(R883,"%",""))/100,IF(ISNUMBER(R883), R883, 0))</f>
        <v>0</v>
      </c>
      <c r="T883" t="str">
        <f>IF(S883&lt;0,"Negative discount (invalid)",IF(S883&gt;0.5,"Discount above allowed range (invalid)",IF(AND(R883="",S883=0),"Missing discount set to 0","OK")))</f>
        <v>OK</v>
      </c>
      <c r="U883">
        <v>1470.57</v>
      </c>
      <c r="V883">
        <v>834.02</v>
      </c>
      <c r="W883">
        <v>636.54999999999995</v>
      </c>
      <c r="X883" t="s">
        <v>32</v>
      </c>
      <c r="Y883" t="s">
        <v>103</v>
      </c>
      <c r="Z883">
        <f>IF(T883="OK",P883*Q883*(1-S883),"invalid")</f>
        <v>1470.57</v>
      </c>
      <c r="AA883">
        <f>IF(Z883="N/A","N/A",Z883-V883)</f>
        <v>636.54999999999995</v>
      </c>
      <c r="AB883" s="8">
        <f>IF(Z883&lt;&gt;"N/A", AA883/Z883, "N/A")</f>
        <v>0.43285936745615644</v>
      </c>
      <c r="AC883">
        <f>MONTH(B883)</f>
        <v>4</v>
      </c>
      <c r="AD883">
        <f>YEAR(B883)</f>
        <v>2025</v>
      </c>
      <c r="AE883" s="10">
        <f t="shared" si="13"/>
        <v>0</v>
      </c>
      <c r="AF883" t="s">
        <v>2804</v>
      </c>
      <c r="AG883" t="s">
        <v>2811</v>
      </c>
    </row>
    <row r="884" spans="1:33">
      <c r="A884" t="s">
        <v>2594</v>
      </c>
      <c r="B884" s="4">
        <v>45919</v>
      </c>
      <c r="C884" s="4">
        <v>45919</v>
      </c>
      <c r="D884">
        <f>_xlfn.DAYS(C884,B884)</f>
        <v>0</v>
      </c>
      <c r="E884" t="s">
        <v>2804</v>
      </c>
      <c r="F884" t="s">
        <v>2595</v>
      </c>
      <c r="G884" t="s">
        <v>79</v>
      </c>
      <c r="H884" t="s">
        <v>95</v>
      </c>
      <c r="I884" t="s">
        <v>25</v>
      </c>
      <c r="J884" t="s">
        <v>350</v>
      </c>
      <c r="K884" t="s">
        <v>351</v>
      </c>
      <c r="L884" t="s">
        <v>41</v>
      </c>
      <c r="M884" t="s">
        <v>66</v>
      </c>
      <c r="N884" t="s">
        <v>2596</v>
      </c>
      <c r="O884" t="s">
        <v>44</v>
      </c>
      <c r="P884">
        <v>4</v>
      </c>
      <c r="Q884">
        <v>1584.11</v>
      </c>
      <c r="R884">
        <v>0</v>
      </c>
      <c r="S884">
        <f>IF(ISNUMBER(SEARCH("%",R884)), VALUE(SUBSTITUTE(R884,"%",""))/100,IF(ISNUMBER(R884), R884, 0))</f>
        <v>0</v>
      </c>
      <c r="T884" t="str">
        <f>IF(S884&lt;0,"Negative discount (invalid)",IF(S884&gt;0.5,"Discount above allowed range (invalid)",IF(AND(R884="",S884=0),"Missing discount set to 0","OK")))</f>
        <v>OK</v>
      </c>
      <c r="U884">
        <v>6336.44</v>
      </c>
      <c r="V884">
        <v>4680.68</v>
      </c>
      <c r="W884">
        <v>1655.76</v>
      </c>
      <c r="X884" t="s">
        <v>32</v>
      </c>
      <c r="Y884" t="s">
        <v>33</v>
      </c>
      <c r="Z884">
        <f>IF(T884="OK",P884*Q884*(1-S884),"invalid")</f>
        <v>6336.44</v>
      </c>
      <c r="AA884">
        <f>IF(Z884="N/A","N/A",Z884-V884)</f>
        <v>1655.7599999999993</v>
      </c>
      <c r="AB884" s="8">
        <f>IF(Z884&lt;&gt;"N/A", AA884/Z884, "N/A")</f>
        <v>0.26130761121386764</v>
      </c>
      <c r="AC884">
        <f>MONTH(B884)</f>
        <v>9</v>
      </c>
      <c r="AD884">
        <f>YEAR(B884)</f>
        <v>2025</v>
      </c>
      <c r="AE884" s="10">
        <f t="shared" si="13"/>
        <v>0</v>
      </c>
      <c r="AF884" t="s">
        <v>2804</v>
      </c>
      <c r="AG884" t="s">
        <v>2811</v>
      </c>
    </row>
    <row r="885" spans="1:33">
      <c r="A885" t="s">
        <v>2597</v>
      </c>
      <c r="B885" s="4">
        <v>45694</v>
      </c>
      <c r="C885" s="4">
        <v>45700</v>
      </c>
      <c r="D885">
        <f>_xlfn.DAYS(C885,B885)</f>
        <v>6</v>
      </c>
      <c r="E885" t="s">
        <v>2804</v>
      </c>
      <c r="F885" t="s">
        <v>2598</v>
      </c>
      <c r="G885" t="s">
        <v>62</v>
      </c>
      <c r="H885" t="s">
        <v>37</v>
      </c>
      <c r="I885" t="s">
        <v>38</v>
      </c>
      <c r="J885" t="s">
        <v>145</v>
      </c>
      <c r="K885" t="s">
        <v>146</v>
      </c>
      <c r="L885" t="s">
        <v>28</v>
      </c>
      <c r="M885" t="s">
        <v>48</v>
      </c>
      <c r="N885" t="s">
        <v>2599</v>
      </c>
      <c r="O885" t="s">
        <v>59</v>
      </c>
      <c r="P885">
        <v>9</v>
      </c>
      <c r="Q885">
        <v>3237.16</v>
      </c>
      <c r="R885">
        <v>0.25</v>
      </c>
      <c r="S885">
        <f>IF(ISNUMBER(SEARCH("%",R885)), VALUE(SUBSTITUTE(R885,"%",""))/100,IF(ISNUMBER(R885), R885, 0))</f>
        <v>0.25</v>
      </c>
      <c r="T885" t="str">
        <f>IF(S885&lt;0,"Negative discount (invalid)",IF(S885&gt;0.5,"Discount above allowed range (invalid)",IF(AND(R885="",S885=0),"Missing discount set to 0","OK")))</f>
        <v>OK</v>
      </c>
      <c r="U885">
        <v>21850.83</v>
      </c>
      <c r="V885">
        <v>16600.13</v>
      </c>
      <c r="W885">
        <v>5250.7</v>
      </c>
      <c r="X885" t="s">
        <v>32</v>
      </c>
      <c r="Y885" t="s">
        <v>33</v>
      </c>
      <c r="Z885">
        <f>IF(T885="OK",P885*Q885*(1-S885),"invalid")</f>
        <v>21850.829999999998</v>
      </c>
      <c r="AA885">
        <f>IF(Z885="N/A","N/A",Z885-V885)</f>
        <v>5250.6999999999971</v>
      </c>
      <c r="AB885" s="8">
        <f>IF(Z885&lt;&gt;"N/A", AA885/Z885, "N/A")</f>
        <v>0.2402975081495759</v>
      </c>
      <c r="AC885">
        <f>MONTH(B885)</f>
        <v>2</v>
      </c>
      <c r="AD885">
        <f>YEAR(B885)</f>
        <v>2025</v>
      </c>
      <c r="AE885" s="10">
        <f t="shared" si="13"/>
        <v>3.637978807091713E-12</v>
      </c>
      <c r="AF885" t="s">
        <v>2804</v>
      </c>
      <c r="AG885" t="s">
        <v>2811</v>
      </c>
    </row>
    <row r="886" spans="1:33">
      <c r="A886" t="s">
        <v>2603</v>
      </c>
      <c r="B886" s="4">
        <v>45856</v>
      </c>
      <c r="C886" s="4">
        <v>45863</v>
      </c>
      <c r="D886">
        <f>_xlfn.DAYS(C886,B886)</f>
        <v>7</v>
      </c>
      <c r="E886" t="s">
        <v>2804</v>
      </c>
      <c r="F886" t="s">
        <v>2604</v>
      </c>
      <c r="G886" t="s">
        <v>114</v>
      </c>
      <c r="H886" t="s">
        <v>37</v>
      </c>
      <c r="I886" t="s">
        <v>25</v>
      </c>
      <c r="J886" t="s">
        <v>136</v>
      </c>
      <c r="K886" t="s">
        <v>137</v>
      </c>
      <c r="L886" t="s">
        <v>74</v>
      </c>
      <c r="M886" t="s">
        <v>171</v>
      </c>
      <c r="N886" t="s">
        <v>2605</v>
      </c>
      <c r="O886" t="s">
        <v>50</v>
      </c>
      <c r="P886">
        <v>9</v>
      </c>
      <c r="Q886">
        <v>3989.52</v>
      </c>
      <c r="R886">
        <v>-0.02</v>
      </c>
      <c r="S886">
        <f>IF(ISNUMBER(SEARCH("%",R886)), VALUE(SUBSTITUTE(R886,"%",""))/100,IF(ISNUMBER(R886), R886, 0))</f>
        <v>-0.02</v>
      </c>
      <c r="T886" t="str">
        <f>IF(S886&lt;0,"Negative discount (invalid)",IF(S886&gt;0.5,"Discount above allowed range (invalid)",IF(AND(R886="",S886=0),"Missing discount set to 0","OK")))</f>
        <v>Negative discount (invalid)</v>
      </c>
      <c r="U886">
        <v>35905.68</v>
      </c>
      <c r="V886">
        <v>23916.1</v>
      </c>
      <c r="W886">
        <v>11989.58</v>
      </c>
      <c r="X886" t="s">
        <v>32</v>
      </c>
      <c r="Y886" t="s">
        <v>33</v>
      </c>
      <c r="Z886" t="s">
        <v>2793</v>
      </c>
      <c r="AA886" t="str">
        <f>IF(Z886="N/A","N/A",Z886-V886)</f>
        <v>N/A</v>
      </c>
      <c r="AB886" s="8" t="str">
        <f>IF(Z886&lt;&gt;"N/A", AA886/Z886, "N/A")</f>
        <v>N/A</v>
      </c>
      <c r="AC886">
        <f>MONTH(B886)</f>
        <v>7</v>
      </c>
      <c r="AD886">
        <f>YEAR(B886)</f>
        <v>2025</v>
      </c>
      <c r="AE886" s="10" t="str">
        <f t="shared" si="13"/>
        <v>N/A</v>
      </c>
      <c r="AF886" t="s">
        <v>2802</v>
      </c>
      <c r="AG886" t="s">
        <v>2789</v>
      </c>
    </row>
    <row r="887" spans="1:33">
      <c r="A887" t="s">
        <v>2606</v>
      </c>
      <c r="B887" s="4">
        <v>45677</v>
      </c>
      <c r="C887" s="4">
        <v>45682</v>
      </c>
      <c r="D887">
        <f>_xlfn.DAYS(C887,B887)</f>
        <v>5</v>
      </c>
      <c r="E887" t="s">
        <v>2804</v>
      </c>
      <c r="F887" t="s">
        <v>2607</v>
      </c>
      <c r="G887" t="s">
        <v>89</v>
      </c>
      <c r="H887" t="s">
        <v>95</v>
      </c>
      <c r="I887" t="s">
        <v>63</v>
      </c>
      <c r="J887" t="s">
        <v>190</v>
      </c>
      <c r="K887" t="s">
        <v>191</v>
      </c>
      <c r="L887" t="s">
        <v>28</v>
      </c>
      <c r="M887" t="s">
        <v>48</v>
      </c>
      <c r="N887" t="s">
        <v>2608</v>
      </c>
      <c r="O887" t="s">
        <v>50</v>
      </c>
      <c r="P887">
        <v>1</v>
      </c>
      <c r="Q887">
        <v>3515.15</v>
      </c>
      <c r="R887">
        <v>0</v>
      </c>
      <c r="S887">
        <f>IF(ISNUMBER(SEARCH("%",R887)), VALUE(SUBSTITUTE(R887,"%",""))/100,IF(ISNUMBER(R887), R887, 0))</f>
        <v>0</v>
      </c>
      <c r="T887" t="str">
        <f>IF(S887&lt;0,"Negative discount (invalid)",IF(S887&gt;0.5,"Discount above allowed range (invalid)",IF(AND(R887="",S887=0),"Missing discount set to 0","OK")))</f>
        <v>OK</v>
      </c>
      <c r="U887">
        <v>3515.15</v>
      </c>
      <c r="V887">
        <v>2216.34</v>
      </c>
      <c r="W887">
        <v>1298.81</v>
      </c>
      <c r="X887" t="s">
        <v>32</v>
      </c>
      <c r="Y887" t="s">
        <v>33</v>
      </c>
      <c r="Z887">
        <f>IF(T887="OK",P887*Q887*(1-S887),"invalid")</f>
        <v>3515.15</v>
      </c>
      <c r="AA887">
        <f>IF(Z887="N/A","N/A",Z887-V887)</f>
        <v>1298.81</v>
      </c>
      <c r="AB887" s="8">
        <f>IF(Z887&lt;&gt;"N/A", AA887/Z887, "N/A")</f>
        <v>0.36948921098672882</v>
      </c>
      <c r="AC887">
        <f>MONTH(B887)</f>
        <v>1</v>
      </c>
      <c r="AD887">
        <f>YEAR(B887)</f>
        <v>2025</v>
      </c>
      <c r="AE887" s="10">
        <f t="shared" si="13"/>
        <v>0</v>
      </c>
      <c r="AF887" t="s">
        <v>2804</v>
      </c>
      <c r="AG887" t="s">
        <v>2811</v>
      </c>
    </row>
    <row r="888" spans="1:33">
      <c r="A888" t="s">
        <v>2614</v>
      </c>
      <c r="B888" s="4">
        <v>45797</v>
      </c>
      <c r="C888" s="4">
        <v>45799</v>
      </c>
      <c r="D888">
        <f>_xlfn.DAYS(C888,B888)</f>
        <v>2</v>
      </c>
      <c r="E888" t="s">
        <v>2804</v>
      </c>
      <c r="F888" t="s">
        <v>2615</v>
      </c>
      <c r="G888" t="s">
        <v>162</v>
      </c>
      <c r="H888" t="s">
        <v>95</v>
      </c>
      <c r="I888" t="s">
        <v>38</v>
      </c>
      <c r="J888" t="s">
        <v>39</v>
      </c>
      <c r="K888" t="s">
        <v>40</v>
      </c>
      <c r="L888" t="s">
        <v>41</v>
      </c>
      <c r="M888" t="s">
        <v>42</v>
      </c>
      <c r="N888" t="s">
        <v>2616</v>
      </c>
      <c r="O888" t="s">
        <v>31</v>
      </c>
      <c r="P888">
        <v>2</v>
      </c>
      <c r="Q888">
        <v>210.08</v>
      </c>
      <c r="R888">
        <v>0.2</v>
      </c>
      <c r="S888">
        <f>IF(ISNUMBER(SEARCH("%",R888)), VALUE(SUBSTITUTE(R888,"%",""))/100,IF(ISNUMBER(R888), R888, 0))</f>
        <v>0.2</v>
      </c>
      <c r="T888" t="str">
        <f>IF(S888&lt;0,"Negative discount (invalid)",IF(S888&gt;0.5,"Discount above allowed range (invalid)",IF(AND(R888="",S888=0),"Missing discount set to 0","OK")))</f>
        <v>OK</v>
      </c>
      <c r="U888">
        <v>336.13</v>
      </c>
      <c r="V888">
        <v>242.19</v>
      </c>
      <c r="W888">
        <v>93.94</v>
      </c>
      <c r="X888" t="s">
        <v>32</v>
      </c>
      <c r="Y888" t="s">
        <v>33</v>
      </c>
      <c r="Z888">
        <f>IF(T888="OK",P888*Q888*(1-S888),"invalid")</f>
        <v>336.12800000000004</v>
      </c>
      <c r="AA888">
        <f>IF(Z888="N/A","N/A",Z888-V888)</f>
        <v>93.938000000000045</v>
      </c>
      <c r="AB888" s="8">
        <f>IF(Z888&lt;&gt;"N/A", AA888/Z888, "N/A")</f>
        <v>0.27947091584158423</v>
      </c>
      <c r="AC888">
        <f>MONTH(B888)</f>
        <v>5</v>
      </c>
      <c r="AD888">
        <f>YEAR(B888)</f>
        <v>2025</v>
      </c>
      <c r="AE888" s="10">
        <f t="shared" si="13"/>
        <v>1.9999999999527063E-3</v>
      </c>
      <c r="AF888" t="s">
        <v>2804</v>
      </c>
      <c r="AG888" t="s">
        <v>2811</v>
      </c>
    </row>
    <row r="889" spans="1:33">
      <c r="A889" t="s">
        <v>2617</v>
      </c>
      <c r="B889" s="4">
        <v>45804</v>
      </c>
      <c r="C889" s="4">
        <v>45806</v>
      </c>
      <c r="D889">
        <f>_xlfn.DAYS(C889,B889)</f>
        <v>2</v>
      </c>
      <c r="E889" t="s">
        <v>2804</v>
      </c>
      <c r="F889" t="s">
        <v>2618</v>
      </c>
      <c r="G889" t="s">
        <v>118</v>
      </c>
      <c r="H889" t="s">
        <v>95</v>
      </c>
      <c r="I889" t="s">
        <v>54</v>
      </c>
      <c r="J889" t="s">
        <v>247</v>
      </c>
      <c r="K889" t="s">
        <v>248</v>
      </c>
      <c r="L889" t="s">
        <v>41</v>
      </c>
      <c r="M889" t="s">
        <v>57</v>
      </c>
      <c r="N889" t="s">
        <v>2619</v>
      </c>
      <c r="O889" t="s">
        <v>31</v>
      </c>
      <c r="P889">
        <v>1</v>
      </c>
      <c r="Q889">
        <v>1744.35</v>
      </c>
      <c r="R889">
        <v>0.25</v>
      </c>
      <c r="S889">
        <f>IF(ISNUMBER(SEARCH("%",R889)), VALUE(SUBSTITUTE(R889,"%",""))/100,IF(ISNUMBER(R889), R889, 0))</f>
        <v>0.25</v>
      </c>
      <c r="T889" t="str">
        <f>IF(S889&lt;0,"Negative discount (invalid)",IF(S889&gt;0.5,"Discount above allowed range (invalid)",IF(AND(R889="",S889=0),"Missing discount set to 0","OK")))</f>
        <v>OK</v>
      </c>
      <c r="U889">
        <v>1308.26</v>
      </c>
      <c r="V889">
        <v>1083.56</v>
      </c>
      <c r="W889">
        <v>224.7</v>
      </c>
      <c r="X889" t="s">
        <v>32</v>
      </c>
      <c r="Y889" t="s">
        <v>33</v>
      </c>
      <c r="Z889">
        <f>IF(T889="OK",P889*Q889*(1-S889),"invalid")</f>
        <v>1308.2624999999998</v>
      </c>
      <c r="AA889">
        <f>IF(Z889="N/A","N/A",Z889-V889)</f>
        <v>224.70249999999987</v>
      </c>
      <c r="AB889" s="8">
        <f>IF(Z889&lt;&gt;"N/A", AA889/Z889, "N/A")</f>
        <v>0.17175643267310645</v>
      </c>
      <c r="AC889">
        <f>MONTH(B889)</f>
        <v>5</v>
      </c>
      <c r="AD889">
        <f>YEAR(B889)</f>
        <v>2025</v>
      </c>
      <c r="AE889" s="10">
        <f t="shared" si="13"/>
        <v>2.499999999827196E-3</v>
      </c>
      <c r="AF889" t="s">
        <v>2804</v>
      </c>
      <c r="AG889" t="s">
        <v>2811</v>
      </c>
    </row>
    <row r="890" spans="1:33">
      <c r="A890" t="s">
        <v>2632</v>
      </c>
      <c r="B890" s="4">
        <v>45793</v>
      </c>
      <c r="C890" s="4">
        <v>45799</v>
      </c>
      <c r="D890">
        <f>_xlfn.DAYS(C890,B890)</f>
        <v>6</v>
      </c>
      <c r="E890" t="s">
        <v>2804</v>
      </c>
      <c r="F890" t="s">
        <v>2633</v>
      </c>
      <c r="G890" t="s">
        <v>53</v>
      </c>
      <c r="H890" t="s">
        <v>90</v>
      </c>
      <c r="I890" t="s">
        <v>54</v>
      </c>
      <c r="J890" t="s">
        <v>247</v>
      </c>
      <c r="K890" t="s">
        <v>248</v>
      </c>
      <c r="L890" t="s">
        <v>74</v>
      </c>
      <c r="M890" t="s">
        <v>75</v>
      </c>
      <c r="N890" t="s">
        <v>2634</v>
      </c>
      <c r="O890" t="s">
        <v>44</v>
      </c>
      <c r="P890">
        <v>8</v>
      </c>
      <c r="Q890">
        <v>579.79999999999995</v>
      </c>
      <c r="R890">
        <v>0.2</v>
      </c>
      <c r="S890">
        <f>IF(ISNUMBER(SEARCH("%",R890)), VALUE(SUBSTITUTE(R890,"%",""))/100,IF(ISNUMBER(R890), R890, 0))</f>
        <v>0.2</v>
      </c>
      <c r="T890" t="str">
        <f>IF(S890&lt;0,"Negative discount (invalid)",IF(S890&gt;0.5,"Discount above allowed range (invalid)",IF(AND(R890="",S890=0),"Missing discount set to 0","OK")))</f>
        <v>OK</v>
      </c>
      <c r="U890">
        <v>3710.72</v>
      </c>
      <c r="V890">
        <v>3115.29</v>
      </c>
      <c r="W890">
        <v>595.42999999999995</v>
      </c>
      <c r="X890" t="s">
        <v>32</v>
      </c>
      <c r="Y890" t="s">
        <v>33</v>
      </c>
      <c r="Z890">
        <f>IF(T890="OK",P890*Q890*(1-S890),"invalid")</f>
        <v>3710.72</v>
      </c>
      <c r="AA890">
        <f>IF(Z890="N/A","N/A",Z890-V890)</f>
        <v>595.42999999999984</v>
      </c>
      <c r="AB890" s="8">
        <f>IF(Z890&lt;&gt;"N/A", AA890/Z890, "N/A")</f>
        <v>0.16046212055881334</v>
      </c>
      <c r="AC890">
        <f>MONTH(B890)</f>
        <v>5</v>
      </c>
      <c r="AD890">
        <f>YEAR(B890)</f>
        <v>2025</v>
      </c>
      <c r="AE890" s="10">
        <f t="shared" si="13"/>
        <v>0</v>
      </c>
      <c r="AF890" t="s">
        <v>2804</v>
      </c>
      <c r="AG890" t="s">
        <v>2811</v>
      </c>
    </row>
    <row r="891" spans="1:33">
      <c r="A891" t="s">
        <v>2635</v>
      </c>
      <c r="B891" s="4">
        <v>45741</v>
      </c>
      <c r="C891" s="4">
        <v>45749</v>
      </c>
      <c r="D891">
        <f>_xlfn.DAYS(C891,B891)</f>
        <v>8</v>
      </c>
      <c r="E891" t="s">
        <v>2804</v>
      </c>
      <c r="F891" t="s">
        <v>2636</v>
      </c>
      <c r="G891" t="s">
        <v>114</v>
      </c>
      <c r="H891" t="s">
        <v>24</v>
      </c>
      <c r="I891" t="s">
        <v>54</v>
      </c>
      <c r="J891" t="s">
        <v>175</v>
      </c>
      <c r="K891" t="s">
        <v>176</v>
      </c>
      <c r="L891" t="s">
        <v>41</v>
      </c>
      <c r="M891" t="s">
        <v>158</v>
      </c>
      <c r="N891" t="s">
        <v>2637</v>
      </c>
      <c r="O891" t="s">
        <v>31</v>
      </c>
      <c r="P891">
        <v>4</v>
      </c>
      <c r="Q891">
        <v>2233.64</v>
      </c>
      <c r="R891">
        <v>0.05</v>
      </c>
      <c r="S891">
        <f>IF(ISNUMBER(SEARCH("%",R891)), VALUE(SUBSTITUTE(R891,"%",""))/100,IF(ISNUMBER(R891), R891, 0))</f>
        <v>0.05</v>
      </c>
      <c r="T891" t="str">
        <f>IF(S891&lt;0,"Negative discount (invalid)",IF(S891&gt;0.5,"Discount above allowed range (invalid)",IF(AND(R891="",S891=0),"Missing discount set to 0","OK")))</f>
        <v>OK</v>
      </c>
      <c r="U891">
        <v>8487.83</v>
      </c>
      <c r="V891">
        <v>5245.72</v>
      </c>
      <c r="W891">
        <v>3242.11</v>
      </c>
      <c r="X891" t="s">
        <v>32</v>
      </c>
      <c r="Y891" t="s">
        <v>33</v>
      </c>
      <c r="Z891">
        <f>IF(T891="OK",P891*Q891*(1-S891),"invalid")</f>
        <v>8487.8319999999985</v>
      </c>
      <c r="AA891">
        <f>IF(Z891="N/A","N/A",Z891-V891)</f>
        <v>3242.1119999999983</v>
      </c>
      <c r="AB891" s="8">
        <f>IF(Z891&lt;&gt;"N/A", AA891/Z891, "N/A")</f>
        <v>0.38197174496384928</v>
      </c>
      <c r="AC891">
        <f>MONTH(B891)</f>
        <v>3</v>
      </c>
      <c r="AD891">
        <f>YEAR(B891)</f>
        <v>2025</v>
      </c>
      <c r="AE891" s="10">
        <f t="shared" si="13"/>
        <v>1.9999999985884642E-3</v>
      </c>
      <c r="AF891" t="s">
        <v>2804</v>
      </c>
      <c r="AG891" t="s">
        <v>2811</v>
      </c>
    </row>
    <row r="892" spans="1:33">
      <c r="A892" t="s">
        <v>2653</v>
      </c>
      <c r="B892" s="4">
        <v>45724</v>
      </c>
      <c r="C892" s="4">
        <v>45725</v>
      </c>
      <c r="D892">
        <f>_xlfn.DAYS(C892,B892)</f>
        <v>1</v>
      </c>
      <c r="E892" t="s">
        <v>2804</v>
      </c>
      <c r="F892" t="s">
        <v>2654</v>
      </c>
      <c r="G892" t="s">
        <v>114</v>
      </c>
      <c r="H892" t="s">
        <v>95</v>
      </c>
      <c r="I892" t="s">
        <v>25</v>
      </c>
      <c r="J892" t="s">
        <v>350</v>
      </c>
      <c r="K892" t="s">
        <v>351</v>
      </c>
      <c r="L892" t="s">
        <v>41</v>
      </c>
      <c r="M892" t="s">
        <v>57</v>
      </c>
      <c r="N892" t="s">
        <v>2655</v>
      </c>
      <c r="O892" t="s">
        <v>44</v>
      </c>
      <c r="P892">
        <v>4</v>
      </c>
      <c r="Q892">
        <v>3405.68</v>
      </c>
      <c r="R892">
        <v>0.2</v>
      </c>
      <c r="S892">
        <f>IF(ISNUMBER(SEARCH("%",R892)), VALUE(SUBSTITUTE(R892,"%",""))/100,IF(ISNUMBER(R892), R892, 0))</f>
        <v>0.2</v>
      </c>
      <c r="T892" t="str">
        <f>IF(S892&lt;0,"Negative discount (invalid)",IF(S892&gt;0.5,"Discount above allowed range (invalid)",IF(AND(R892="",S892=0),"Missing discount set to 0","OK")))</f>
        <v>OK</v>
      </c>
      <c r="U892">
        <v>10898.18</v>
      </c>
      <c r="V892">
        <v>6231.41</v>
      </c>
      <c r="W892">
        <v>4666.7700000000004</v>
      </c>
      <c r="X892" t="s">
        <v>32</v>
      </c>
      <c r="Y892" t="s">
        <v>33</v>
      </c>
      <c r="Z892">
        <f>IF(T892="OK",P892*Q892*(1-S892),"invalid")</f>
        <v>10898.175999999999</v>
      </c>
      <c r="AA892">
        <f>IF(Z892="N/A","N/A",Z892-V892)</f>
        <v>4666.7659999999996</v>
      </c>
      <c r="AB892" s="8">
        <f>IF(Z892&lt;&gt;"N/A", AA892/Z892, "N/A")</f>
        <v>0.42821532704188298</v>
      </c>
      <c r="AC892">
        <f>MONTH(B892)</f>
        <v>3</v>
      </c>
      <c r="AD892">
        <f>YEAR(B892)</f>
        <v>2025</v>
      </c>
      <c r="AE892" s="10">
        <f t="shared" si="13"/>
        <v>4.0000000008149073E-3</v>
      </c>
      <c r="AF892" t="s">
        <v>2804</v>
      </c>
      <c r="AG892" t="s">
        <v>2811</v>
      </c>
    </row>
    <row r="893" spans="1:33">
      <c r="A893" t="s">
        <v>2656</v>
      </c>
      <c r="B893" s="4">
        <v>45742</v>
      </c>
      <c r="C893" s="4">
        <v>45747</v>
      </c>
      <c r="D893">
        <f>_xlfn.DAYS(C893,B893)</f>
        <v>5</v>
      </c>
      <c r="E893" t="s">
        <v>2804</v>
      </c>
      <c r="F893" t="s">
        <v>2657</v>
      </c>
      <c r="G893" t="s">
        <v>114</v>
      </c>
      <c r="H893" t="s">
        <v>37</v>
      </c>
      <c r="I893" t="s">
        <v>38</v>
      </c>
      <c r="J893" t="s">
        <v>228</v>
      </c>
      <c r="K893" t="s">
        <v>229</v>
      </c>
      <c r="L893" t="s">
        <v>28</v>
      </c>
      <c r="M893" t="s">
        <v>153</v>
      </c>
      <c r="N893" t="s">
        <v>2658</v>
      </c>
      <c r="O893" t="s">
        <v>50</v>
      </c>
      <c r="P893">
        <v>5</v>
      </c>
      <c r="Q893">
        <v>1395.14</v>
      </c>
      <c r="R893">
        <v>0</v>
      </c>
      <c r="S893">
        <f>IF(ISNUMBER(SEARCH("%",R893)), VALUE(SUBSTITUTE(R893,"%",""))/100,IF(ISNUMBER(R893), R893, 0))</f>
        <v>0</v>
      </c>
      <c r="T893" t="str">
        <f>IF(S893&lt;0,"Negative discount (invalid)",IF(S893&gt;0.5,"Discount above allowed range (invalid)",IF(AND(R893="",S893=0),"Missing discount set to 0","OK")))</f>
        <v>OK</v>
      </c>
      <c r="U893">
        <v>6975.7</v>
      </c>
      <c r="V893">
        <v>4797.88</v>
      </c>
      <c r="W893">
        <v>2177.8200000000002</v>
      </c>
      <c r="X893" t="s">
        <v>32</v>
      </c>
      <c r="Y893" t="s">
        <v>68</v>
      </c>
      <c r="Z893">
        <f>IF(T893="OK",P893*Q893*(1-S893),"invalid")</f>
        <v>6975.7000000000007</v>
      </c>
      <c r="AA893">
        <f>IF(Z893="N/A","N/A",Z893-V893)</f>
        <v>2177.8200000000006</v>
      </c>
      <c r="AB893" s="8">
        <f>IF(Z893&lt;&gt;"N/A", AA893/Z893, "N/A")</f>
        <v>0.3122009260719355</v>
      </c>
      <c r="AC893">
        <f>MONTH(B893)</f>
        <v>3</v>
      </c>
      <c r="AD893">
        <f>YEAR(B893)</f>
        <v>2025</v>
      </c>
      <c r="AE893" s="10">
        <f t="shared" si="13"/>
        <v>9.0949470177292824E-13</v>
      </c>
      <c r="AF893" t="s">
        <v>2804</v>
      </c>
      <c r="AG893" t="s">
        <v>2811</v>
      </c>
    </row>
    <row r="894" spans="1:33">
      <c r="A894" t="s">
        <v>2659</v>
      </c>
      <c r="B894" s="4">
        <v>45906</v>
      </c>
      <c r="C894" s="4">
        <v>45908</v>
      </c>
      <c r="D894">
        <f>_xlfn.DAYS(C894,B894)</f>
        <v>2</v>
      </c>
      <c r="E894" t="s">
        <v>2804</v>
      </c>
      <c r="F894" t="s">
        <v>2660</v>
      </c>
      <c r="G894" t="s">
        <v>128</v>
      </c>
      <c r="H894" t="s">
        <v>95</v>
      </c>
      <c r="I894" t="s">
        <v>63</v>
      </c>
      <c r="J894" t="s">
        <v>72</v>
      </c>
      <c r="K894" t="s">
        <v>73</v>
      </c>
      <c r="L894" t="s">
        <v>41</v>
      </c>
      <c r="M894" t="s">
        <v>57</v>
      </c>
      <c r="N894" t="s">
        <v>2661</v>
      </c>
      <c r="O894" t="s">
        <v>44</v>
      </c>
      <c r="P894">
        <v>3</v>
      </c>
      <c r="Q894">
        <v>2937.23</v>
      </c>
      <c r="R894">
        <v>0</v>
      </c>
      <c r="S894">
        <f>IF(ISNUMBER(SEARCH("%",R894)), VALUE(SUBSTITUTE(R894,"%",""))/100,IF(ISNUMBER(R894), R894, 0))</f>
        <v>0</v>
      </c>
      <c r="T894" t="str">
        <f>IF(S894&lt;0,"Negative discount (invalid)",IF(S894&gt;0.5,"Discount above allowed range (invalid)",IF(AND(R894="",S894=0),"Missing discount set to 0","OK")))</f>
        <v>OK</v>
      </c>
      <c r="U894">
        <v>8811.69</v>
      </c>
      <c r="V894">
        <v>6765.91</v>
      </c>
      <c r="W894">
        <v>2045.78</v>
      </c>
      <c r="X894" t="s">
        <v>32</v>
      </c>
      <c r="Y894" t="s">
        <v>33</v>
      </c>
      <c r="Z894">
        <f>IF(T894="OK",P894*Q894*(1-S894),"invalid")</f>
        <v>8811.69</v>
      </c>
      <c r="AA894">
        <f>IF(Z894="N/A","N/A",Z894-V894)</f>
        <v>2045.7800000000007</v>
      </c>
      <c r="AB894" s="8">
        <f>IF(Z894&lt;&gt;"N/A", AA894/Z894, "N/A")</f>
        <v>0.23216658779416893</v>
      </c>
      <c r="AC894">
        <f>MONTH(B894)</f>
        <v>9</v>
      </c>
      <c r="AD894">
        <f>YEAR(B894)</f>
        <v>2025</v>
      </c>
      <c r="AE894" s="10">
        <f t="shared" si="13"/>
        <v>0</v>
      </c>
      <c r="AF894" t="s">
        <v>2804</v>
      </c>
      <c r="AG894" t="s">
        <v>2811</v>
      </c>
    </row>
    <row r="895" spans="1:33">
      <c r="A895" t="s">
        <v>2662</v>
      </c>
      <c r="B895" s="4">
        <v>45902</v>
      </c>
      <c r="C895" s="4">
        <v>45905</v>
      </c>
      <c r="D895">
        <f>_xlfn.DAYS(C895,B895)</f>
        <v>3</v>
      </c>
      <c r="E895" t="s">
        <v>2804</v>
      </c>
      <c r="F895" t="s">
        <v>2663</v>
      </c>
      <c r="G895" t="s">
        <v>71</v>
      </c>
      <c r="H895" t="s">
        <v>24</v>
      </c>
      <c r="I895" t="s">
        <v>54</v>
      </c>
      <c r="J895" t="s">
        <v>247</v>
      </c>
      <c r="K895" t="s">
        <v>248</v>
      </c>
      <c r="L895" t="s">
        <v>74</v>
      </c>
      <c r="M895" t="s">
        <v>171</v>
      </c>
      <c r="N895" t="s">
        <v>2664</v>
      </c>
      <c r="O895" t="s">
        <v>50</v>
      </c>
      <c r="P895">
        <v>5</v>
      </c>
      <c r="Q895">
        <v>3406.87</v>
      </c>
      <c r="R895">
        <v>0</v>
      </c>
      <c r="S895">
        <f>IF(ISNUMBER(SEARCH("%",R895)), VALUE(SUBSTITUTE(R895,"%",""))/100,IF(ISNUMBER(R895), R895, 0))</f>
        <v>0</v>
      </c>
      <c r="T895" t="str">
        <f>IF(S895&lt;0,"Negative discount (invalid)",IF(S895&gt;0.5,"Discount above allowed range (invalid)",IF(AND(R895="",S895=0),"Missing discount set to 0","OK")))</f>
        <v>OK</v>
      </c>
      <c r="U895">
        <v>17034.349999999999</v>
      </c>
      <c r="V895">
        <v>14631.36</v>
      </c>
      <c r="W895">
        <v>2402.9899999999998</v>
      </c>
      <c r="X895" t="s">
        <v>32</v>
      </c>
      <c r="Y895" t="s">
        <v>33</v>
      </c>
      <c r="Z895">
        <f>IF(T895="OK",P895*Q895*(1-S895),"invalid")</f>
        <v>17034.349999999999</v>
      </c>
      <c r="AA895">
        <f>IF(Z895="N/A","N/A",Z895-V895)</f>
        <v>2402.989999999998</v>
      </c>
      <c r="AB895" s="8">
        <f>IF(Z895&lt;&gt;"N/A", AA895/Z895, "N/A")</f>
        <v>0.14106731398615141</v>
      </c>
      <c r="AC895">
        <f>MONTH(B895)</f>
        <v>9</v>
      </c>
      <c r="AD895">
        <f>YEAR(B895)</f>
        <v>2025</v>
      </c>
      <c r="AE895" s="10">
        <f t="shared" si="13"/>
        <v>0</v>
      </c>
      <c r="AF895" t="s">
        <v>2804</v>
      </c>
      <c r="AG895" t="s">
        <v>2811</v>
      </c>
    </row>
    <row r="896" spans="1:33">
      <c r="A896" t="s">
        <v>2665</v>
      </c>
      <c r="B896" s="4">
        <v>45694</v>
      </c>
      <c r="C896" s="4">
        <v>45702</v>
      </c>
      <c r="D896">
        <f>_xlfn.DAYS(C896,B896)</f>
        <v>8</v>
      </c>
      <c r="E896" t="s">
        <v>2804</v>
      </c>
      <c r="F896" t="s">
        <v>2666</v>
      </c>
      <c r="G896" t="s">
        <v>264</v>
      </c>
      <c r="H896" t="s">
        <v>24</v>
      </c>
      <c r="I896" t="s">
        <v>63</v>
      </c>
      <c r="J896" t="s">
        <v>64</v>
      </c>
      <c r="K896" t="s">
        <v>65</v>
      </c>
      <c r="L896" t="s">
        <v>28</v>
      </c>
      <c r="M896" t="s">
        <v>91</v>
      </c>
      <c r="N896" t="s">
        <v>2667</v>
      </c>
      <c r="O896" t="s">
        <v>31</v>
      </c>
      <c r="P896">
        <v>2</v>
      </c>
      <c r="Q896">
        <v>3992.04</v>
      </c>
      <c r="R896">
        <v>0</v>
      </c>
      <c r="S896">
        <f>IF(ISNUMBER(SEARCH("%",R896)), VALUE(SUBSTITUTE(R896,"%",""))/100,IF(ISNUMBER(R896), R896, 0))</f>
        <v>0</v>
      </c>
      <c r="T896" t="str">
        <f>IF(S896&lt;0,"Negative discount (invalid)",IF(S896&gt;0.5,"Discount above allowed range (invalid)",IF(AND(R896="",S896=0),"Missing discount set to 0","OK")))</f>
        <v>OK</v>
      </c>
      <c r="U896">
        <v>7984.08</v>
      </c>
      <c r="V896">
        <v>5658.05</v>
      </c>
      <c r="W896">
        <v>2326.0300000000002</v>
      </c>
      <c r="X896" t="s">
        <v>32</v>
      </c>
      <c r="Y896" t="s">
        <v>33</v>
      </c>
      <c r="Z896">
        <f>IF(T896="OK",P896*Q896*(1-S896),"invalid")</f>
        <v>7984.08</v>
      </c>
      <c r="AA896">
        <f>IF(Z896="N/A","N/A",Z896-V896)</f>
        <v>2326.0299999999997</v>
      </c>
      <c r="AB896" s="8">
        <f>IF(Z896&lt;&gt;"N/A", AA896/Z896, "N/A")</f>
        <v>0.29133350367230787</v>
      </c>
      <c r="AC896">
        <f>MONTH(B896)</f>
        <v>2</v>
      </c>
      <c r="AD896">
        <f>YEAR(B896)</f>
        <v>2025</v>
      </c>
      <c r="AE896" s="10">
        <f t="shared" si="13"/>
        <v>0</v>
      </c>
      <c r="AF896" t="s">
        <v>2804</v>
      </c>
      <c r="AG896" t="s">
        <v>2811</v>
      </c>
    </row>
    <row r="897" spans="1:33">
      <c r="A897" t="s">
        <v>2668</v>
      </c>
      <c r="B897" s="4">
        <v>45714</v>
      </c>
      <c r="C897" s="4">
        <v>45722</v>
      </c>
      <c r="D897">
        <f>_xlfn.DAYS(C897,B897)</f>
        <v>8</v>
      </c>
      <c r="E897" t="s">
        <v>2804</v>
      </c>
      <c r="F897" t="s">
        <v>2669</v>
      </c>
      <c r="G897" t="s">
        <v>114</v>
      </c>
      <c r="H897" t="s">
        <v>24</v>
      </c>
      <c r="I897" t="s">
        <v>38</v>
      </c>
      <c r="J897" t="s">
        <v>145</v>
      </c>
      <c r="K897" t="s">
        <v>146</v>
      </c>
      <c r="L897" t="s">
        <v>41</v>
      </c>
      <c r="M897" t="s">
        <v>158</v>
      </c>
      <c r="N897" t="s">
        <v>2670</v>
      </c>
      <c r="O897" t="s">
        <v>50</v>
      </c>
      <c r="P897">
        <v>9</v>
      </c>
      <c r="Q897">
        <v>3043.37</v>
      </c>
      <c r="R897">
        <v>0.2</v>
      </c>
      <c r="S897">
        <f>IF(ISNUMBER(SEARCH("%",R897)), VALUE(SUBSTITUTE(R897,"%",""))/100,IF(ISNUMBER(R897), R897, 0))</f>
        <v>0.2</v>
      </c>
      <c r="T897" t="str">
        <f>IF(S897&lt;0,"Negative discount (invalid)",IF(S897&gt;0.5,"Discount above allowed range (invalid)",IF(AND(R897="",S897=0),"Missing discount set to 0","OK")))</f>
        <v>OK</v>
      </c>
      <c r="U897">
        <v>21912.26</v>
      </c>
      <c r="V897">
        <v>16367.78</v>
      </c>
      <c r="W897">
        <v>5544.48</v>
      </c>
      <c r="X897" t="s">
        <v>111</v>
      </c>
      <c r="Y897" t="s">
        <v>68</v>
      </c>
      <c r="Z897">
        <f>IF(T897="OK",P897*Q897*(1-S897),"invalid")</f>
        <v>21912.263999999999</v>
      </c>
      <c r="AA897">
        <f>IF(Z897="N/A","N/A",Z897-V897)</f>
        <v>5544.4839999999986</v>
      </c>
      <c r="AB897" s="8">
        <f>IF(Z897&lt;&gt;"N/A", AA897/Z897, "N/A")</f>
        <v>0.25303108797885965</v>
      </c>
      <c r="AC897">
        <f>MONTH(B897)</f>
        <v>2</v>
      </c>
      <c r="AD897">
        <f>YEAR(B897)</f>
        <v>2025</v>
      </c>
      <c r="AE897" s="10">
        <f t="shared" si="13"/>
        <v>4.0000000008149073E-3</v>
      </c>
      <c r="AF897" t="s">
        <v>2804</v>
      </c>
      <c r="AG897" t="s">
        <v>2811</v>
      </c>
    </row>
    <row r="898" spans="1:33">
      <c r="A898" t="s">
        <v>2674</v>
      </c>
      <c r="B898" s="4">
        <v>45758</v>
      </c>
      <c r="C898" s="4">
        <v>45762</v>
      </c>
      <c r="D898">
        <f>_xlfn.DAYS(C898,B898)</f>
        <v>4</v>
      </c>
      <c r="E898" t="s">
        <v>2804</v>
      </c>
      <c r="F898" t="s">
        <v>2675</v>
      </c>
      <c r="G898" t="s">
        <v>71</v>
      </c>
      <c r="H898" t="s">
        <v>95</v>
      </c>
      <c r="I898" t="s">
        <v>54</v>
      </c>
      <c r="J898" t="s">
        <v>175</v>
      </c>
      <c r="K898" t="s">
        <v>176</v>
      </c>
      <c r="L898" t="s">
        <v>28</v>
      </c>
      <c r="M898" t="s">
        <v>124</v>
      </c>
      <c r="N898" t="s">
        <v>2676</v>
      </c>
      <c r="O898" t="s">
        <v>44</v>
      </c>
      <c r="P898">
        <v>9</v>
      </c>
      <c r="Q898">
        <v>224.94</v>
      </c>
      <c r="R898">
        <v>0.05</v>
      </c>
      <c r="S898">
        <f>IF(ISNUMBER(SEARCH("%",R898)), VALUE(SUBSTITUTE(R898,"%",""))/100,IF(ISNUMBER(R898), R898, 0))</f>
        <v>0.05</v>
      </c>
      <c r="T898" t="str">
        <f>IF(S898&lt;0,"Negative discount (invalid)",IF(S898&gt;0.5,"Discount above allowed range (invalid)",IF(AND(R898="",S898=0),"Missing discount set to 0","OK")))</f>
        <v>OK</v>
      </c>
      <c r="U898">
        <v>1923.24</v>
      </c>
      <c r="V898">
        <v>1093.6600000000001</v>
      </c>
      <c r="W898">
        <v>829.58</v>
      </c>
      <c r="X898" t="s">
        <v>32</v>
      </c>
      <c r="Y898" t="s">
        <v>33</v>
      </c>
      <c r="Z898">
        <f>IF(T898="OK",P898*Q898*(1-S898),"invalid")</f>
        <v>1923.2369999999999</v>
      </c>
      <c r="AA898">
        <f>IF(Z898="N/A","N/A",Z898-V898)</f>
        <v>829.57699999999977</v>
      </c>
      <c r="AB898" s="8">
        <f>IF(Z898&lt;&gt;"N/A", AA898/Z898, "N/A")</f>
        <v>0.43134413491420964</v>
      </c>
      <c r="AC898">
        <f>MONTH(B898)</f>
        <v>4</v>
      </c>
      <c r="AD898">
        <f>YEAR(B898)</f>
        <v>2025</v>
      </c>
      <c r="AE898" s="10">
        <f t="shared" si="13"/>
        <v>3.0000000001564331E-3</v>
      </c>
      <c r="AF898" t="s">
        <v>2804</v>
      </c>
      <c r="AG898" t="s">
        <v>2811</v>
      </c>
    </row>
    <row r="899" spans="1:33">
      <c r="A899" t="s">
        <v>2677</v>
      </c>
      <c r="B899" s="4">
        <v>45722</v>
      </c>
      <c r="C899" s="4">
        <v>45723</v>
      </c>
      <c r="D899">
        <f>_xlfn.DAYS(C899,B899)</f>
        <v>1</v>
      </c>
      <c r="E899" t="s">
        <v>2804</v>
      </c>
      <c r="F899" t="s">
        <v>2678</v>
      </c>
      <c r="G899" t="s">
        <v>141</v>
      </c>
      <c r="H899" t="s">
        <v>95</v>
      </c>
      <c r="I899" t="s">
        <v>2785</v>
      </c>
      <c r="J899" t="s">
        <v>350</v>
      </c>
      <c r="K899" t="s">
        <v>351</v>
      </c>
      <c r="L899" t="s">
        <v>41</v>
      </c>
      <c r="M899" t="s">
        <v>66</v>
      </c>
      <c r="N899" t="s">
        <v>1148</v>
      </c>
      <c r="O899" t="s">
        <v>44</v>
      </c>
      <c r="P899">
        <v>6</v>
      </c>
      <c r="Q899">
        <v>796.65</v>
      </c>
      <c r="R899">
        <v>0.1</v>
      </c>
      <c r="S899">
        <f>IF(ISNUMBER(SEARCH("%",R899)), VALUE(SUBSTITUTE(R899,"%",""))/100,IF(ISNUMBER(R899), R899, 0))</f>
        <v>0.1</v>
      </c>
      <c r="T899" t="str">
        <f>IF(S899&lt;0,"Negative discount (invalid)",IF(S899&gt;0.5,"Discount above allowed range (invalid)",IF(AND(R899="",S899=0),"Missing discount set to 0","OK")))</f>
        <v>OK</v>
      </c>
      <c r="U899">
        <v>4301.91</v>
      </c>
      <c r="V899">
        <v>2374.4</v>
      </c>
      <c r="W899">
        <v>1927.51</v>
      </c>
      <c r="X899" t="s">
        <v>32</v>
      </c>
      <c r="Y899" t="s">
        <v>33</v>
      </c>
      <c r="Z899">
        <f>IF(T899="OK",P899*Q899*(1-S899),"invalid")</f>
        <v>4301.91</v>
      </c>
      <c r="AA899">
        <f>IF(Z899="N/A","N/A",Z899-V899)</f>
        <v>1927.5099999999998</v>
      </c>
      <c r="AB899" s="8">
        <f>IF(Z899&lt;&gt;"N/A", AA899/Z899, "N/A")</f>
        <v>0.44805911792668834</v>
      </c>
      <c r="AC899">
        <f>MONTH(B899)</f>
        <v>3</v>
      </c>
      <c r="AD899">
        <f>YEAR(B899)</f>
        <v>2025</v>
      </c>
      <c r="AE899" s="10">
        <f t="shared" ref="AE899:AE913" si="14">IF(Z899&lt;&gt;"N/A",ABS(Z899-U899),"N/A")</f>
        <v>0</v>
      </c>
      <c r="AF899" t="s">
        <v>2799</v>
      </c>
      <c r="AG899" t="s">
        <v>2798</v>
      </c>
    </row>
    <row r="900" spans="1:33">
      <c r="A900" t="s">
        <v>2679</v>
      </c>
      <c r="B900" s="4">
        <v>45814</v>
      </c>
      <c r="C900" s="4">
        <v>45815</v>
      </c>
      <c r="D900">
        <f>_xlfn.DAYS(C900,B900)</f>
        <v>1</v>
      </c>
      <c r="E900" t="s">
        <v>2804</v>
      </c>
      <c r="F900" t="s">
        <v>2680</v>
      </c>
      <c r="G900" t="s">
        <v>71</v>
      </c>
      <c r="H900" t="s">
        <v>90</v>
      </c>
      <c r="I900" t="s">
        <v>63</v>
      </c>
      <c r="J900" t="s">
        <v>190</v>
      </c>
      <c r="K900" t="s">
        <v>191</v>
      </c>
      <c r="L900" t="s">
        <v>41</v>
      </c>
      <c r="M900" t="s">
        <v>42</v>
      </c>
      <c r="N900" t="s">
        <v>2681</v>
      </c>
      <c r="O900" t="s">
        <v>59</v>
      </c>
      <c r="P900">
        <v>9</v>
      </c>
      <c r="Q900">
        <v>2932.92</v>
      </c>
      <c r="R900">
        <v>0.15</v>
      </c>
      <c r="S900">
        <f>IF(ISNUMBER(SEARCH("%",R900)), VALUE(SUBSTITUTE(R900,"%",""))/100,IF(ISNUMBER(R900), R900, 0))</f>
        <v>0.15</v>
      </c>
      <c r="T900" t="str">
        <f>IF(S900&lt;0,"Negative discount (invalid)",IF(S900&gt;0.5,"Discount above allowed range (invalid)",IF(AND(R900="",S900=0),"Missing discount set to 0","OK")))</f>
        <v>OK</v>
      </c>
      <c r="U900">
        <v>22436.84</v>
      </c>
      <c r="V900">
        <v>17454.669999999998</v>
      </c>
      <c r="W900">
        <v>4982.17</v>
      </c>
      <c r="X900" t="s">
        <v>32</v>
      </c>
      <c r="Y900" t="s">
        <v>68</v>
      </c>
      <c r="Z900">
        <f>IF(T900="OK",P900*Q900*(1-S900),"invalid")</f>
        <v>22436.838</v>
      </c>
      <c r="AA900">
        <f>IF(Z900="N/A","N/A",Z900-V900)</f>
        <v>4982.1680000000015</v>
      </c>
      <c r="AB900" s="8">
        <f>IF(Z900&lt;&gt;"N/A", AA900/Z900, "N/A")</f>
        <v>0.22205303617203109</v>
      </c>
      <c r="AC900">
        <f>MONTH(B900)</f>
        <v>6</v>
      </c>
      <c r="AD900">
        <f>YEAR(B900)</f>
        <v>2025</v>
      </c>
      <c r="AE900" s="10">
        <f t="shared" si="14"/>
        <v>2.0000000004074536E-3</v>
      </c>
      <c r="AF900" t="s">
        <v>2804</v>
      </c>
      <c r="AG900" t="s">
        <v>2811</v>
      </c>
    </row>
    <row r="901" spans="1:33">
      <c r="A901" t="s">
        <v>2686</v>
      </c>
      <c r="B901" s="4">
        <v>45689</v>
      </c>
      <c r="C901" s="4">
        <v>45696</v>
      </c>
      <c r="D901">
        <f>_xlfn.DAYS(C901,B901)</f>
        <v>7</v>
      </c>
      <c r="E901" t="s">
        <v>2804</v>
      </c>
      <c r="F901" t="s">
        <v>2687</v>
      </c>
      <c r="G901" t="s">
        <v>89</v>
      </c>
      <c r="H901" t="s">
        <v>95</v>
      </c>
      <c r="I901" t="s">
        <v>63</v>
      </c>
      <c r="J901" t="s">
        <v>180</v>
      </c>
      <c r="K901" t="s">
        <v>181</v>
      </c>
      <c r="L901" t="s">
        <v>28</v>
      </c>
      <c r="M901" t="s">
        <v>124</v>
      </c>
      <c r="N901" t="s">
        <v>2688</v>
      </c>
      <c r="O901" t="s">
        <v>31</v>
      </c>
      <c r="P901">
        <v>8</v>
      </c>
      <c r="Q901">
        <v>623.30999999999995</v>
      </c>
      <c r="R901">
        <v>0.1</v>
      </c>
      <c r="S901">
        <f>IF(ISNUMBER(SEARCH("%",R901)), VALUE(SUBSTITUTE(R901,"%",""))/100,IF(ISNUMBER(R901), R901, 0))</f>
        <v>0.1</v>
      </c>
      <c r="T901" t="str">
        <f>IF(S901&lt;0,"Negative discount (invalid)",IF(S901&gt;0.5,"Discount above allowed range (invalid)",IF(AND(R901="",S901=0),"Missing discount set to 0","OK")))</f>
        <v>OK</v>
      </c>
      <c r="U901">
        <v>4487.83</v>
      </c>
      <c r="V901">
        <v>2633.78</v>
      </c>
      <c r="W901">
        <v>1854.05</v>
      </c>
      <c r="X901" t="s">
        <v>32</v>
      </c>
      <c r="Y901" t="s">
        <v>33</v>
      </c>
      <c r="Z901">
        <f>IF(T901="OK",P901*Q901*(1-S901),"invalid")</f>
        <v>4487.8319999999994</v>
      </c>
      <c r="AA901">
        <f>IF(Z901="N/A","N/A",Z901-V901)</f>
        <v>1854.0519999999992</v>
      </c>
      <c r="AB901" s="8">
        <f>IF(Z901&lt;&gt;"N/A", AA901/Z901, "N/A")</f>
        <v>0.41312865543986482</v>
      </c>
      <c r="AC901">
        <f>MONTH(B901)</f>
        <v>2</v>
      </c>
      <c r="AD901">
        <f>YEAR(B901)</f>
        <v>2025</v>
      </c>
      <c r="AE901" s="10">
        <f t="shared" si="14"/>
        <v>1.9999999994979589E-3</v>
      </c>
      <c r="AF901" t="s">
        <v>2804</v>
      </c>
      <c r="AG901" t="s">
        <v>2811</v>
      </c>
    </row>
    <row r="902" spans="1:33">
      <c r="A902" t="s">
        <v>2689</v>
      </c>
      <c r="B902" s="4">
        <v>45853</v>
      </c>
      <c r="C902" s="4">
        <v>45854</v>
      </c>
      <c r="D902">
        <f>_xlfn.DAYS(C902,B902)</f>
        <v>1</v>
      </c>
      <c r="E902" t="s">
        <v>2804</v>
      </c>
      <c r="F902" t="s">
        <v>2690</v>
      </c>
      <c r="G902" t="s">
        <v>71</v>
      </c>
      <c r="H902" t="s">
        <v>37</v>
      </c>
      <c r="I902" t="s">
        <v>63</v>
      </c>
      <c r="J902" t="s">
        <v>64</v>
      </c>
      <c r="K902" t="s">
        <v>65</v>
      </c>
      <c r="L902" t="s">
        <v>28</v>
      </c>
      <c r="M902" t="s">
        <v>29</v>
      </c>
      <c r="N902" t="s">
        <v>2691</v>
      </c>
      <c r="O902" t="s">
        <v>59</v>
      </c>
      <c r="P902">
        <v>8</v>
      </c>
      <c r="Q902">
        <v>3924.88</v>
      </c>
      <c r="R902">
        <v>0.05</v>
      </c>
      <c r="S902">
        <f>IF(ISNUMBER(SEARCH("%",R902)), VALUE(SUBSTITUTE(R902,"%",""))/100,IF(ISNUMBER(R902), R902, 0))</f>
        <v>0.05</v>
      </c>
      <c r="T902" t="str">
        <f>IF(S902&lt;0,"Negative discount (invalid)",IF(S902&gt;0.5,"Discount above allowed range (invalid)",IF(AND(R902="",S902=0),"Missing discount set to 0","OK")))</f>
        <v>OK</v>
      </c>
      <c r="U902">
        <v>29829.09</v>
      </c>
      <c r="V902">
        <v>20710.18</v>
      </c>
      <c r="W902">
        <v>9118.91</v>
      </c>
      <c r="X902" t="s">
        <v>32</v>
      </c>
      <c r="Y902" t="s">
        <v>33</v>
      </c>
      <c r="Z902">
        <f>IF(T902="OK",P902*Q902*(1-S902),"invalid")</f>
        <v>29829.088</v>
      </c>
      <c r="AA902">
        <f>IF(Z902="N/A","N/A",Z902-V902)</f>
        <v>9118.9079999999994</v>
      </c>
      <c r="AB902" s="8">
        <f>IF(Z902&lt;&gt;"N/A", AA902/Z902, "N/A")</f>
        <v>0.30570522303598419</v>
      </c>
      <c r="AC902">
        <f>MONTH(B902)</f>
        <v>7</v>
      </c>
      <c r="AD902">
        <f>YEAR(B902)</f>
        <v>2025</v>
      </c>
      <c r="AE902" s="10">
        <f t="shared" si="14"/>
        <v>2.0000000004074536E-3</v>
      </c>
      <c r="AF902" t="s">
        <v>2804</v>
      </c>
      <c r="AG902" t="s">
        <v>2811</v>
      </c>
    </row>
    <row r="903" spans="1:33">
      <c r="A903" t="s">
        <v>2697</v>
      </c>
      <c r="B903" s="4">
        <v>45895</v>
      </c>
      <c r="C903" s="4">
        <v>45903</v>
      </c>
      <c r="D903">
        <f>_xlfn.DAYS(C903,B903)</f>
        <v>8</v>
      </c>
      <c r="E903" t="s">
        <v>2804</v>
      </c>
      <c r="F903" t="s">
        <v>2698</v>
      </c>
      <c r="G903" t="s">
        <v>128</v>
      </c>
      <c r="H903" t="s">
        <v>24</v>
      </c>
      <c r="I903" t="s">
        <v>63</v>
      </c>
      <c r="J903" t="s">
        <v>26</v>
      </c>
      <c r="K903" t="s">
        <v>109</v>
      </c>
      <c r="L903" t="s">
        <v>28</v>
      </c>
      <c r="M903" t="s">
        <v>124</v>
      </c>
      <c r="N903" t="s">
        <v>2699</v>
      </c>
      <c r="O903" t="s">
        <v>31</v>
      </c>
      <c r="P903">
        <v>6</v>
      </c>
      <c r="Q903">
        <v>674.36</v>
      </c>
      <c r="R903">
        <v>0.1</v>
      </c>
      <c r="S903">
        <f>IF(ISNUMBER(SEARCH("%",R903)), VALUE(SUBSTITUTE(R903,"%",""))/100,IF(ISNUMBER(R903), R903, 0))</f>
        <v>0.1</v>
      </c>
      <c r="T903" t="str">
        <f>IF(S903&lt;0,"Negative discount (invalid)",IF(S903&gt;0.5,"Discount above allowed range (invalid)",IF(AND(R903="",S903=0),"Missing discount set to 0","OK")))</f>
        <v>OK</v>
      </c>
      <c r="U903">
        <v>3641.54</v>
      </c>
      <c r="V903">
        <v>2690.37</v>
      </c>
      <c r="W903">
        <v>951.17</v>
      </c>
      <c r="X903" t="s">
        <v>32</v>
      </c>
      <c r="Y903" t="s">
        <v>33</v>
      </c>
      <c r="Z903">
        <f>IF(T903="OK",P903*Q903*(1-S903),"invalid")</f>
        <v>3641.5439999999999</v>
      </c>
      <c r="AA903">
        <f>IF(Z903="N/A","N/A",Z903-V903)</f>
        <v>951.17399999999998</v>
      </c>
      <c r="AB903" s="8">
        <f>IF(Z903&lt;&gt;"N/A", AA903/Z903, "N/A")</f>
        <v>0.26120074342092253</v>
      </c>
      <c r="AC903">
        <f>MONTH(B903)</f>
        <v>8</v>
      </c>
      <c r="AD903">
        <f>YEAR(B903)</f>
        <v>2025</v>
      </c>
      <c r="AE903" s="10">
        <f t="shared" si="14"/>
        <v>3.9999999999054126E-3</v>
      </c>
      <c r="AF903" t="s">
        <v>2804</v>
      </c>
      <c r="AG903" t="s">
        <v>2811</v>
      </c>
    </row>
    <row r="904" spans="1:33">
      <c r="A904" t="s">
        <v>2703</v>
      </c>
      <c r="B904" s="4">
        <v>45896</v>
      </c>
      <c r="C904" s="4">
        <v>45897</v>
      </c>
      <c r="D904">
        <f>_xlfn.DAYS(C904,B904)</f>
        <v>1</v>
      </c>
      <c r="E904" t="s">
        <v>2804</v>
      </c>
      <c r="F904" t="s">
        <v>2704</v>
      </c>
      <c r="G904" t="s">
        <v>62</v>
      </c>
      <c r="H904" t="s">
        <v>95</v>
      </c>
      <c r="I904" t="s">
        <v>25</v>
      </c>
      <c r="J904" t="s">
        <v>136</v>
      </c>
      <c r="K904" t="s">
        <v>137</v>
      </c>
      <c r="L904" t="s">
        <v>28</v>
      </c>
      <c r="M904" t="s">
        <v>48</v>
      </c>
      <c r="N904" t="s">
        <v>2705</v>
      </c>
      <c r="O904" t="s">
        <v>59</v>
      </c>
      <c r="P904">
        <v>6</v>
      </c>
      <c r="Q904">
        <v>1182.03</v>
      </c>
      <c r="R904">
        <v>0.15</v>
      </c>
      <c r="S904">
        <f>IF(ISNUMBER(SEARCH("%",R904)), VALUE(SUBSTITUTE(R904,"%",""))/100,IF(ISNUMBER(R904), R904, 0))</f>
        <v>0.15</v>
      </c>
      <c r="T904" t="str">
        <f>IF(S904&lt;0,"Negative discount (invalid)",IF(S904&gt;0.5,"Discount above allowed range (invalid)",IF(AND(R904="",S904=0),"Missing discount set to 0","OK")))</f>
        <v>OK</v>
      </c>
      <c r="U904">
        <v>6028.35</v>
      </c>
      <c r="V904">
        <v>4433.63</v>
      </c>
      <c r="W904">
        <v>1594.72</v>
      </c>
      <c r="X904" t="s">
        <v>32</v>
      </c>
      <c r="Y904" t="s">
        <v>33</v>
      </c>
      <c r="Z904">
        <f>IF(T904="OK",P904*Q904*(1-S904),"invalid")</f>
        <v>6028.3530000000001</v>
      </c>
      <c r="AA904">
        <f>IF(Z904="N/A","N/A",Z904-V904)</f>
        <v>1594.723</v>
      </c>
      <c r="AB904" s="8">
        <f>IF(Z904&lt;&gt;"N/A", AA904/Z904, "N/A")</f>
        <v>0.26453709661660491</v>
      </c>
      <c r="AC904">
        <f>MONTH(B904)</f>
        <v>8</v>
      </c>
      <c r="AD904">
        <f>YEAR(B904)</f>
        <v>2025</v>
      </c>
      <c r="AE904" s="10">
        <f t="shared" si="14"/>
        <v>2.9999999997016857E-3</v>
      </c>
      <c r="AF904" t="s">
        <v>2804</v>
      </c>
      <c r="AG904" t="s">
        <v>2811</v>
      </c>
    </row>
    <row r="905" spans="1:33">
      <c r="A905" t="s">
        <v>2712</v>
      </c>
      <c r="B905" s="4">
        <v>45690</v>
      </c>
      <c r="C905" s="4">
        <v>45698</v>
      </c>
      <c r="D905">
        <f>_xlfn.DAYS(C905,B905)</f>
        <v>8</v>
      </c>
      <c r="E905" t="s">
        <v>2804</v>
      </c>
      <c r="F905" t="s">
        <v>2713</v>
      </c>
      <c r="G905" t="s">
        <v>132</v>
      </c>
      <c r="H905" t="s">
        <v>90</v>
      </c>
      <c r="I905" t="s">
        <v>38</v>
      </c>
      <c r="J905" t="s">
        <v>145</v>
      </c>
      <c r="K905" t="s">
        <v>146</v>
      </c>
      <c r="L905" t="s">
        <v>74</v>
      </c>
      <c r="M905" t="s">
        <v>75</v>
      </c>
      <c r="N905" t="s">
        <v>2714</v>
      </c>
      <c r="O905" t="s">
        <v>59</v>
      </c>
      <c r="P905">
        <v>4</v>
      </c>
      <c r="Q905">
        <v>1912.45</v>
      </c>
      <c r="R905">
        <v>0</v>
      </c>
      <c r="S905">
        <f>IF(ISNUMBER(SEARCH("%",R905)), VALUE(SUBSTITUTE(R905,"%",""))/100,IF(ISNUMBER(R905), R905, 0))</f>
        <v>0</v>
      </c>
      <c r="T905" t="str">
        <f>IF(S905&lt;0,"Negative discount (invalid)",IF(S905&gt;0.5,"Discount above allowed range (invalid)",IF(AND(R905="",S905=0),"Missing discount set to 0","OK")))</f>
        <v>OK</v>
      </c>
      <c r="U905">
        <v>7649.8</v>
      </c>
      <c r="V905">
        <v>4894.53</v>
      </c>
      <c r="W905">
        <v>2755.27</v>
      </c>
      <c r="X905" t="s">
        <v>111</v>
      </c>
      <c r="Y905" t="s">
        <v>103</v>
      </c>
      <c r="Z905">
        <f>IF(T905="OK",P905*Q905*(1-S905),"invalid")</f>
        <v>7649.8</v>
      </c>
      <c r="AA905">
        <f>IF(Z905="N/A","N/A",Z905-V905)</f>
        <v>2755.2700000000004</v>
      </c>
      <c r="AB905" s="8">
        <f>IF(Z905&lt;&gt;"N/A", AA905/Z905, "N/A")</f>
        <v>0.36017542942299152</v>
      </c>
      <c r="AC905">
        <f>MONTH(B905)</f>
        <v>2</v>
      </c>
      <c r="AD905">
        <f>YEAR(B905)</f>
        <v>2025</v>
      </c>
      <c r="AE905" s="10">
        <f t="shared" si="14"/>
        <v>0</v>
      </c>
      <c r="AF905" t="s">
        <v>2804</v>
      </c>
      <c r="AG905" t="s">
        <v>2811</v>
      </c>
    </row>
    <row r="906" spans="1:33">
      <c r="A906" t="s">
        <v>2715</v>
      </c>
      <c r="B906" s="4">
        <v>45775</v>
      </c>
      <c r="C906" s="4">
        <v>45778</v>
      </c>
      <c r="D906">
        <f>_xlfn.DAYS(C906,B906)</f>
        <v>3</v>
      </c>
      <c r="E906" t="s">
        <v>2804</v>
      </c>
      <c r="F906" t="s">
        <v>2716</v>
      </c>
      <c r="G906" t="s">
        <v>128</v>
      </c>
      <c r="H906" t="s">
        <v>37</v>
      </c>
      <c r="I906" t="s">
        <v>63</v>
      </c>
      <c r="J906" t="s">
        <v>190</v>
      </c>
      <c r="K906" t="s">
        <v>191</v>
      </c>
      <c r="L906" t="s">
        <v>28</v>
      </c>
      <c r="M906" t="s">
        <v>124</v>
      </c>
      <c r="N906" t="s">
        <v>2717</v>
      </c>
      <c r="O906" t="s">
        <v>44</v>
      </c>
      <c r="P906">
        <v>1</v>
      </c>
      <c r="Q906">
        <v>1620.87</v>
      </c>
      <c r="R906">
        <v>0</v>
      </c>
      <c r="S906">
        <f>IF(ISNUMBER(SEARCH("%",R906)), VALUE(SUBSTITUTE(R906,"%",""))/100,IF(ISNUMBER(R906), R906, 0))</f>
        <v>0</v>
      </c>
      <c r="T906" t="str">
        <f>IF(S906&lt;0,"Negative discount (invalid)",IF(S906&gt;0.5,"Discount above allowed range (invalid)",IF(AND(R906="",S906=0),"Missing discount set to 0","OK")))</f>
        <v>OK</v>
      </c>
      <c r="U906">
        <v>1620.87</v>
      </c>
      <c r="V906">
        <v>1103.6099999999999</v>
      </c>
      <c r="W906">
        <v>517.26</v>
      </c>
      <c r="X906" t="s">
        <v>32</v>
      </c>
      <c r="Y906" t="s">
        <v>33</v>
      </c>
      <c r="Z906">
        <f>IF(T906="OK",P906*Q906*(1-S906),"invalid")</f>
        <v>1620.87</v>
      </c>
      <c r="AA906">
        <f>IF(Z906="N/A","N/A",Z906-V906)</f>
        <v>517.26</v>
      </c>
      <c r="AB906" s="8">
        <f>IF(Z906&lt;&gt;"N/A", AA906/Z906, "N/A")</f>
        <v>0.31912491439782342</v>
      </c>
      <c r="AC906">
        <f>MONTH(B906)</f>
        <v>4</v>
      </c>
      <c r="AD906">
        <f>YEAR(B906)</f>
        <v>2025</v>
      </c>
      <c r="AE906" s="10">
        <f t="shared" si="14"/>
        <v>0</v>
      </c>
      <c r="AF906" t="s">
        <v>2804</v>
      </c>
      <c r="AG906" t="s">
        <v>2811</v>
      </c>
    </row>
    <row r="907" spans="1:33">
      <c r="A907" t="s">
        <v>2718</v>
      </c>
      <c r="B907" s="4">
        <v>45675</v>
      </c>
      <c r="C907" s="4">
        <v>45682</v>
      </c>
      <c r="D907">
        <f>_xlfn.DAYS(C907,B907)</f>
        <v>7</v>
      </c>
      <c r="E907" t="s">
        <v>2804</v>
      </c>
      <c r="F907" t="s">
        <v>2719</v>
      </c>
      <c r="G907" t="s">
        <v>79</v>
      </c>
      <c r="H907" t="s">
        <v>95</v>
      </c>
      <c r="I907" t="s">
        <v>54</v>
      </c>
      <c r="J907" t="s">
        <v>175</v>
      </c>
      <c r="K907" t="s">
        <v>176</v>
      </c>
      <c r="L907" t="s">
        <v>28</v>
      </c>
      <c r="M907" t="s">
        <v>124</v>
      </c>
      <c r="N907" t="s">
        <v>2720</v>
      </c>
      <c r="O907" t="s">
        <v>44</v>
      </c>
      <c r="P907">
        <v>2</v>
      </c>
      <c r="Q907">
        <v>2098.54</v>
      </c>
      <c r="R907">
        <v>0.15</v>
      </c>
      <c r="S907">
        <f>IF(ISNUMBER(SEARCH("%",R907)), VALUE(SUBSTITUTE(R907,"%",""))/100,IF(ISNUMBER(R907), R907, 0))</f>
        <v>0.15</v>
      </c>
      <c r="T907" t="str">
        <f>IF(S907&lt;0,"Negative discount (invalid)",IF(S907&gt;0.5,"Discount above allowed range (invalid)",IF(AND(R907="",S907=0),"Missing discount set to 0","OK")))</f>
        <v>OK</v>
      </c>
      <c r="U907">
        <v>3567.52</v>
      </c>
      <c r="V907">
        <v>2411.8000000000002</v>
      </c>
      <c r="W907">
        <v>1155.72</v>
      </c>
      <c r="X907" t="s">
        <v>32</v>
      </c>
      <c r="Y907" t="s">
        <v>33</v>
      </c>
      <c r="Z907">
        <f>IF(T907="OK",P907*Q907*(1-S907),"invalid")</f>
        <v>3567.518</v>
      </c>
      <c r="AA907">
        <f>IF(Z907="N/A","N/A",Z907-V907)</f>
        <v>1155.7179999999998</v>
      </c>
      <c r="AB907" s="8">
        <f>IF(Z907&lt;&gt;"N/A", AA907/Z907, "N/A")</f>
        <v>0.32395575859743381</v>
      </c>
      <c r="AC907">
        <f>MONTH(B907)</f>
        <v>1</v>
      </c>
      <c r="AD907">
        <f>YEAR(B907)</f>
        <v>2025</v>
      </c>
      <c r="AE907" s="10">
        <f t="shared" si="14"/>
        <v>1.9999999999527063E-3</v>
      </c>
      <c r="AF907" t="s">
        <v>2804</v>
      </c>
      <c r="AG907" t="s">
        <v>2811</v>
      </c>
    </row>
    <row r="908" spans="1:33">
      <c r="A908" t="s">
        <v>2724</v>
      </c>
      <c r="B908" s="4">
        <v>45773</v>
      </c>
      <c r="C908" s="4">
        <v>45780</v>
      </c>
      <c r="D908">
        <f>_xlfn.DAYS(C908,B908)</f>
        <v>7</v>
      </c>
      <c r="E908" t="s">
        <v>2804</v>
      </c>
      <c r="F908" t="s">
        <v>2725</v>
      </c>
      <c r="G908" t="s">
        <v>53</v>
      </c>
      <c r="H908" t="s">
        <v>95</v>
      </c>
      <c r="I908" t="s">
        <v>54</v>
      </c>
      <c r="J908" t="s">
        <v>247</v>
      </c>
      <c r="K908" t="s">
        <v>248</v>
      </c>
      <c r="L908" t="s">
        <v>74</v>
      </c>
      <c r="M908" t="s">
        <v>75</v>
      </c>
      <c r="N908" t="s">
        <v>2726</v>
      </c>
      <c r="O908" t="s">
        <v>50</v>
      </c>
      <c r="P908">
        <v>7</v>
      </c>
      <c r="Q908">
        <v>3989.9</v>
      </c>
      <c r="R908">
        <v>0.15</v>
      </c>
      <c r="S908">
        <f>IF(ISNUMBER(SEARCH("%",R908)), VALUE(SUBSTITUTE(R908,"%",""))/100,IF(ISNUMBER(R908), R908, 0))</f>
        <v>0.15</v>
      </c>
      <c r="T908" t="str">
        <f>IF(S908&lt;0,"Negative discount (invalid)",IF(S908&gt;0.5,"Discount above allowed range (invalid)",IF(AND(R908="",S908=0),"Missing discount set to 0","OK")))</f>
        <v>OK</v>
      </c>
      <c r="U908">
        <v>23739.9</v>
      </c>
      <c r="V908">
        <v>17716.52</v>
      </c>
      <c r="W908">
        <v>6023.38</v>
      </c>
      <c r="X908" t="s">
        <v>32</v>
      </c>
      <c r="Y908" t="s">
        <v>68</v>
      </c>
      <c r="Z908">
        <f>IF(T908="OK",P908*Q908*(1-S908),"invalid")</f>
        <v>23739.904999999999</v>
      </c>
      <c r="AA908">
        <f>IF(Z908="N/A","N/A",Z908-V908)</f>
        <v>6023.3849999999984</v>
      </c>
      <c r="AB908" s="8">
        <f>IF(Z908&lt;&gt;"N/A", AA908/Z908, "N/A")</f>
        <v>0.25372405660427028</v>
      </c>
      <c r="AC908">
        <f>MONTH(B908)</f>
        <v>4</v>
      </c>
      <c r="AD908">
        <f>YEAR(B908)</f>
        <v>2025</v>
      </c>
      <c r="AE908" s="10">
        <f t="shared" si="14"/>
        <v>4.9999999973806553E-3</v>
      </c>
      <c r="AF908" t="s">
        <v>2804</v>
      </c>
      <c r="AG908" t="s">
        <v>2811</v>
      </c>
    </row>
    <row r="909" spans="1:33">
      <c r="A909" t="s">
        <v>2730</v>
      </c>
      <c r="B909" s="4">
        <v>45875</v>
      </c>
      <c r="C909" s="4">
        <v>45876</v>
      </c>
      <c r="D909">
        <f>_xlfn.DAYS(C909,B909)</f>
        <v>1</v>
      </c>
      <c r="E909" t="s">
        <v>2804</v>
      </c>
      <c r="F909" t="s">
        <v>2731</v>
      </c>
      <c r="G909" t="s">
        <v>118</v>
      </c>
      <c r="H909" t="s">
        <v>37</v>
      </c>
      <c r="I909" t="s">
        <v>63</v>
      </c>
      <c r="J909" t="s">
        <v>64</v>
      </c>
      <c r="K909" t="s">
        <v>65</v>
      </c>
      <c r="L909" t="s">
        <v>28</v>
      </c>
      <c r="M909" t="s">
        <v>48</v>
      </c>
      <c r="N909" t="s">
        <v>2732</v>
      </c>
      <c r="O909" t="s">
        <v>59</v>
      </c>
      <c r="P909">
        <v>4</v>
      </c>
      <c r="Q909">
        <v>3523.64</v>
      </c>
      <c r="R909">
        <v>0.1</v>
      </c>
      <c r="S909">
        <f>IF(ISNUMBER(SEARCH("%",R909)), VALUE(SUBSTITUTE(R909,"%",""))/100,IF(ISNUMBER(R909), R909, 0))</f>
        <v>0.1</v>
      </c>
      <c r="T909" t="str">
        <f>IF(S909&lt;0,"Negative discount (invalid)",IF(S909&gt;0.5,"Discount above allowed range (invalid)",IF(AND(R909="",S909=0),"Missing discount set to 0","OK")))</f>
        <v>OK</v>
      </c>
      <c r="U909">
        <v>12685.1</v>
      </c>
      <c r="V909">
        <v>10779.56</v>
      </c>
      <c r="W909">
        <v>1905.54</v>
      </c>
      <c r="X909" t="s">
        <v>102</v>
      </c>
      <c r="Y909" t="s">
        <v>68</v>
      </c>
      <c r="Z909">
        <f>IF(T909="OK",P909*Q909*(1-S909),"invalid")</f>
        <v>12685.103999999999</v>
      </c>
      <c r="AA909">
        <f>IF(Z909="N/A","N/A",Z909-V909)</f>
        <v>1905.5439999999999</v>
      </c>
      <c r="AB909" s="8">
        <f>IF(Z909&lt;&gt;"N/A", AA909/Z909, "N/A")</f>
        <v>0.15021902855506741</v>
      </c>
      <c r="AC909">
        <f>MONTH(B909)</f>
        <v>8</v>
      </c>
      <c r="AD909">
        <f>YEAR(B909)</f>
        <v>2025</v>
      </c>
      <c r="AE909" s="10">
        <f t="shared" si="14"/>
        <v>3.9999999989959178E-3</v>
      </c>
      <c r="AF909" t="s">
        <v>2804</v>
      </c>
      <c r="AG909" t="s">
        <v>2811</v>
      </c>
    </row>
    <row r="910" spans="1:33">
      <c r="A910" t="s">
        <v>2733</v>
      </c>
      <c r="B910" s="4">
        <v>45726</v>
      </c>
      <c r="C910" s="4">
        <v>45727</v>
      </c>
      <c r="D910">
        <f>_xlfn.DAYS(C910,B910)</f>
        <v>1</v>
      </c>
      <c r="E910" t="s">
        <v>2804</v>
      </c>
      <c r="F910" t="s">
        <v>884</v>
      </c>
      <c r="G910" t="s">
        <v>89</v>
      </c>
      <c r="H910" t="s">
        <v>95</v>
      </c>
      <c r="I910" t="s">
        <v>63</v>
      </c>
      <c r="J910" t="s">
        <v>72</v>
      </c>
      <c r="K910" t="s">
        <v>73</v>
      </c>
      <c r="L910" t="s">
        <v>28</v>
      </c>
      <c r="M910" t="s">
        <v>124</v>
      </c>
      <c r="N910" t="s">
        <v>2734</v>
      </c>
      <c r="O910" t="s">
        <v>50</v>
      </c>
      <c r="P910">
        <v>2</v>
      </c>
      <c r="Q910">
        <v>3922.08</v>
      </c>
      <c r="R910">
        <v>0.25</v>
      </c>
      <c r="S910">
        <f>IF(ISNUMBER(SEARCH("%",R910)), VALUE(SUBSTITUTE(R910,"%",""))/100,IF(ISNUMBER(R910), R910, 0))</f>
        <v>0.25</v>
      </c>
      <c r="T910" t="str">
        <f>IF(S910&lt;0,"Negative discount (invalid)",IF(S910&gt;0.5,"Discount above allowed range (invalid)",IF(AND(R910="",S910=0),"Missing discount set to 0","OK")))</f>
        <v>OK</v>
      </c>
      <c r="U910">
        <v>5883.12</v>
      </c>
      <c r="V910">
        <v>4647.91</v>
      </c>
      <c r="W910">
        <v>1235.21</v>
      </c>
      <c r="X910" t="s">
        <v>32</v>
      </c>
      <c r="Y910" t="s">
        <v>103</v>
      </c>
      <c r="Z910">
        <f>IF(T910="OK",P910*Q910*(1-S910),"invalid")</f>
        <v>5883.12</v>
      </c>
      <c r="AA910">
        <f>IF(Z910="N/A","N/A",Z910-V910)</f>
        <v>1235.21</v>
      </c>
      <c r="AB910" s="8">
        <f>IF(Z910&lt;&gt;"N/A", AA910/Z910, "N/A")</f>
        <v>0.20995832143488491</v>
      </c>
      <c r="AC910">
        <f>MONTH(B910)</f>
        <v>3</v>
      </c>
      <c r="AD910">
        <f>YEAR(B910)</f>
        <v>2025</v>
      </c>
      <c r="AE910" s="10">
        <f t="shared" si="14"/>
        <v>0</v>
      </c>
      <c r="AF910" t="s">
        <v>2804</v>
      </c>
      <c r="AG910" t="s">
        <v>2811</v>
      </c>
    </row>
    <row r="911" spans="1:33">
      <c r="A911" t="s">
        <v>2741</v>
      </c>
      <c r="B911" s="4">
        <v>45759</v>
      </c>
      <c r="C911" s="4">
        <v>45765</v>
      </c>
      <c r="D911">
        <f>_xlfn.DAYS(C911,B911)</f>
        <v>6</v>
      </c>
      <c r="E911" t="s">
        <v>2804</v>
      </c>
      <c r="F911" t="s">
        <v>2742</v>
      </c>
      <c r="G911" t="s">
        <v>47</v>
      </c>
      <c r="H911" t="s">
        <v>37</v>
      </c>
      <c r="I911" t="s">
        <v>38</v>
      </c>
      <c r="J911" t="s">
        <v>228</v>
      </c>
      <c r="K911" t="s">
        <v>229</v>
      </c>
      <c r="L911" t="s">
        <v>74</v>
      </c>
      <c r="M911" t="s">
        <v>80</v>
      </c>
      <c r="N911" t="s">
        <v>2743</v>
      </c>
      <c r="O911" t="s">
        <v>44</v>
      </c>
      <c r="P911">
        <v>1</v>
      </c>
      <c r="Q911">
        <v>726.89</v>
      </c>
      <c r="R911">
        <v>0.2</v>
      </c>
      <c r="S911">
        <f>IF(ISNUMBER(SEARCH("%",R911)), VALUE(SUBSTITUTE(R911,"%",""))/100,IF(ISNUMBER(R911), R911, 0))</f>
        <v>0.2</v>
      </c>
      <c r="T911" t="str">
        <f>IF(S911&lt;0,"Negative discount (invalid)",IF(S911&gt;0.5,"Discount above allowed range (invalid)",IF(AND(R911="",S911=0),"Missing discount set to 0","OK")))</f>
        <v>OK</v>
      </c>
      <c r="U911">
        <v>581.51</v>
      </c>
      <c r="V911">
        <v>423.86</v>
      </c>
      <c r="W911">
        <v>157.65</v>
      </c>
      <c r="X911" t="s">
        <v>32</v>
      </c>
      <c r="Y911" t="s">
        <v>33</v>
      </c>
      <c r="Z911">
        <f>IF(T911="OK",P911*Q911*(1-S911),"invalid")</f>
        <v>581.51200000000006</v>
      </c>
      <c r="AA911">
        <f>IF(Z911="N/A","N/A",Z911-V911)</f>
        <v>157.65200000000004</v>
      </c>
      <c r="AB911" s="8">
        <f>IF(Z911&lt;&gt;"N/A", AA911/Z911, "N/A")</f>
        <v>0.27110704508247468</v>
      </c>
      <c r="AC911">
        <f>MONTH(B911)</f>
        <v>4</v>
      </c>
      <c r="AD911">
        <f>YEAR(B911)</f>
        <v>2025</v>
      </c>
      <c r="AE911" s="10">
        <f t="shared" si="14"/>
        <v>2.0000000000663931E-3</v>
      </c>
      <c r="AF911" t="s">
        <v>2804</v>
      </c>
      <c r="AG911" t="s">
        <v>2811</v>
      </c>
    </row>
    <row r="912" spans="1:33">
      <c r="A912" t="s">
        <v>2756</v>
      </c>
      <c r="B912" s="4">
        <v>45776</v>
      </c>
      <c r="C912" s="4">
        <v>45780</v>
      </c>
      <c r="D912">
        <f>_xlfn.DAYS(C912,B912)</f>
        <v>4</v>
      </c>
      <c r="E912" t="s">
        <v>2804</v>
      </c>
      <c r="F912" t="s">
        <v>2123</v>
      </c>
      <c r="G912" t="s">
        <v>141</v>
      </c>
      <c r="H912" t="s">
        <v>90</v>
      </c>
      <c r="I912" t="s">
        <v>25</v>
      </c>
      <c r="J912" t="s">
        <v>236</v>
      </c>
      <c r="K912" t="s">
        <v>237</v>
      </c>
      <c r="L912" t="s">
        <v>28</v>
      </c>
      <c r="M912" t="s">
        <v>29</v>
      </c>
      <c r="N912" t="s">
        <v>2757</v>
      </c>
      <c r="O912" t="s">
        <v>50</v>
      </c>
      <c r="P912">
        <v>4</v>
      </c>
      <c r="Q912">
        <v>1786.65</v>
      </c>
      <c r="R912">
        <v>0.05</v>
      </c>
      <c r="S912">
        <f>IF(ISNUMBER(SEARCH("%",R912)), VALUE(SUBSTITUTE(R912,"%",""))/100,IF(ISNUMBER(R912), R912, 0))</f>
        <v>0.05</v>
      </c>
      <c r="T912" t="str">
        <f>IF(S912&lt;0,"Negative discount (invalid)",IF(S912&gt;0.5,"Discount above allowed range (invalid)",IF(AND(R912="",S912=0),"Missing discount set to 0","OK")))</f>
        <v>OK</v>
      </c>
      <c r="U912">
        <v>6789.27</v>
      </c>
      <c r="V912">
        <v>5626.43</v>
      </c>
      <c r="W912">
        <v>1162.8399999999999</v>
      </c>
      <c r="X912" t="s">
        <v>32</v>
      </c>
      <c r="Y912" t="s">
        <v>33</v>
      </c>
      <c r="Z912">
        <f>IF(T912="OK",P912*Q912*(1-S912),"invalid")</f>
        <v>6789.27</v>
      </c>
      <c r="AA912">
        <f>IF(Z912="N/A","N/A",Z912-V912)</f>
        <v>1162.8400000000001</v>
      </c>
      <c r="AB912" s="8">
        <f>IF(Z912&lt;&gt;"N/A", AA912/Z912, "N/A")</f>
        <v>0.17127614603631908</v>
      </c>
      <c r="AC912">
        <f>MONTH(B912)</f>
        <v>4</v>
      </c>
      <c r="AD912">
        <f>YEAR(B912)</f>
        <v>2025</v>
      </c>
      <c r="AE912" s="10">
        <f t="shared" si="14"/>
        <v>0</v>
      </c>
      <c r="AF912" t="s">
        <v>2804</v>
      </c>
      <c r="AG912" t="s">
        <v>2811</v>
      </c>
    </row>
    <row r="913" spans="1:33">
      <c r="A913" t="s">
        <v>2761</v>
      </c>
      <c r="B913" s="4">
        <v>45804</v>
      </c>
      <c r="C913" s="4">
        <v>45811</v>
      </c>
      <c r="D913">
        <f>_xlfn.DAYS(C913,B913)</f>
        <v>7</v>
      </c>
      <c r="E913" t="s">
        <v>2804</v>
      </c>
      <c r="F913" t="s">
        <v>2762</v>
      </c>
      <c r="G913" t="s">
        <v>23</v>
      </c>
      <c r="H913" t="s">
        <v>24</v>
      </c>
      <c r="I913" t="s">
        <v>25</v>
      </c>
      <c r="J913" t="s">
        <v>122</v>
      </c>
      <c r="K913" t="s">
        <v>123</v>
      </c>
      <c r="L913" t="s">
        <v>41</v>
      </c>
      <c r="M913" t="s">
        <v>66</v>
      </c>
      <c r="N913" t="s">
        <v>2763</v>
      </c>
      <c r="O913" t="s">
        <v>50</v>
      </c>
      <c r="P913">
        <v>5</v>
      </c>
      <c r="Q913">
        <v>881.08</v>
      </c>
      <c r="R913">
        <v>0.25</v>
      </c>
      <c r="S913">
        <f>IF(ISNUMBER(SEARCH("%",R913)), VALUE(SUBSTITUTE(R913,"%",""))/100,IF(ISNUMBER(R913), R913, 0))</f>
        <v>0.25</v>
      </c>
      <c r="T913" t="str">
        <f>IF(S913&lt;0,"Negative discount (invalid)",IF(S913&gt;0.5,"Discount above allowed range (invalid)",IF(AND(R913="",S913=0),"Missing discount set to 0","OK")))</f>
        <v>OK</v>
      </c>
      <c r="U913">
        <v>3304.05</v>
      </c>
      <c r="V913">
        <v>2279.41</v>
      </c>
      <c r="W913">
        <v>1024.6400000000001</v>
      </c>
      <c r="X913" t="s">
        <v>155</v>
      </c>
      <c r="Y913" t="s">
        <v>68</v>
      </c>
      <c r="Z913">
        <f>IF(T913="OK",P913*Q913*(1-S913),"invalid")</f>
        <v>3304.05</v>
      </c>
      <c r="AA913">
        <f>IF(Z913="N/A","N/A",Z913-V913)</f>
        <v>1024.6400000000003</v>
      </c>
      <c r="AB913" s="8">
        <f>IF(Z913&lt;&gt;"N/A", AA913/Z913, "N/A")</f>
        <v>0.31011637233092726</v>
      </c>
      <c r="AC913">
        <f>MONTH(B913)</f>
        <v>5</v>
      </c>
      <c r="AD913">
        <f>YEAR(B913)</f>
        <v>2025</v>
      </c>
      <c r="AE913" s="10">
        <f t="shared" si="14"/>
        <v>0</v>
      </c>
      <c r="AF913" t="s">
        <v>2804</v>
      </c>
      <c r="AG913" t="s">
        <v>2811</v>
      </c>
    </row>
  </sheetData>
  <autoFilter ref="A1:AG913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baseColWidth="10" defaultColWidth="8.83203125" defaultRowHeight="14"/>
  <cols>
    <col min="1" max="2" width="28" customWidth="1"/>
  </cols>
  <sheetData>
    <row r="1" spans="1:2" ht="37.25" customHeight="1">
      <c r="A1" s="1" t="s">
        <v>2764</v>
      </c>
      <c r="B1" s="1" t="s">
        <v>2765</v>
      </c>
    </row>
    <row r="2" spans="1:2" ht="45">
      <c r="A2" s="2" t="s">
        <v>2766</v>
      </c>
      <c r="B2" s="2" t="s">
        <v>2767</v>
      </c>
    </row>
    <row r="3" spans="1:2" ht="30">
      <c r="A3" s="2" t="s">
        <v>2768</v>
      </c>
      <c r="B3" s="2" t="s">
        <v>2769</v>
      </c>
    </row>
    <row r="4" spans="1:2" ht="30">
      <c r="A4" s="2" t="s">
        <v>2770</v>
      </c>
      <c r="B4" s="2" t="s">
        <v>2769</v>
      </c>
    </row>
    <row r="5" spans="1:2" ht="30">
      <c r="A5" s="2" t="s">
        <v>2771</v>
      </c>
      <c r="B5" s="2" t="s">
        <v>2772</v>
      </c>
    </row>
    <row r="6" spans="1:2" ht="45">
      <c r="A6" s="2" t="s">
        <v>2773</v>
      </c>
      <c r="B6" s="2" t="s">
        <v>2774</v>
      </c>
    </row>
    <row r="7" spans="1:2" ht="60">
      <c r="A7" s="2" t="s">
        <v>2775</v>
      </c>
      <c r="B7" s="2" t="s">
        <v>2776</v>
      </c>
    </row>
    <row r="8" spans="1:2" ht="30">
      <c r="A8" s="2" t="s">
        <v>2777</v>
      </c>
      <c r="B8" s="2" t="s">
        <v>2778</v>
      </c>
    </row>
    <row r="9" spans="1:2" ht="45">
      <c r="A9" s="2" t="s">
        <v>2779</v>
      </c>
      <c r="B9" s="2" t="s">
        <v>2780</v>
      </c>
    </row>
    <row r="10" spans="1:2" ht="75">
      <c r="A10" s="2" t="s">
        <v>2781</v>
      </c>
      <c r="B10" s="2" t="s">
        <v>2782</v>
      </c>
    </row>
    <row r="11" spans="1:2" ht="30">
      <c r="A11" s="2" t="s">
        <v>2783</v>
      </c>
      <c r="B11" s="2" t="s">
        <v>2784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279EE-903D-0441-9358-E827875216B2}">
  <dimension ref="A1:W25"/>
  <sheetViews>
    <sheetView workbookViewId="0">
      <selection activeCell="E30" sqref="E30"/>
    </sheetView>
  </sheetViews>
  <sheetFormatPr baseColWidth="10" defaultRowHeight="14"/>
  <sheetData>
    <row r="1" spans="1:23" ht="32">
      <c r="A1" s="1" t="s">
        <v>0</v>
      </c>
      <c r="B1" s="1"/>
      <c r="C1" s="3" t="s">
        <v>1</v>
      </c>
      <c r="D1" s="5"/>
      <c r="E1" s="3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</row>
    <row r="2" spans="1:23">
      <c r="A2" t="s">
        <v>781</v>
      </c>
      <c r="B2">
        <v>2</v>
      </c>
      <c r="C2" s="4">
        <v>45932</v>
      </c>
      <c r="D2">
        <v>6</v>
      </c>
      <c r="E2" s="4">
        <v>45938</v>
      </c>
      <c r="F2" t="s">
        <v>782</v>
      </c>
      <c r="G2" t="s">
        <v>47</v>
      </c>
      <c r="H2" t="s">
        <v>37</v>
      </c>
      <c r="I2" t="s">
        <v>25</v>
      </c>
      <c r="J2" t="s">
        <v>122</v>
      </c>
      <c r="K2" t="s">
        <v>123</v>
      </c>
      <c r="L2" t="s">
        <v>41</v>
      </c>
      <c r="M2" t="s">
        <v>57</v>
      </c>
      <c r="N2" t="s">
        <v>783</v>
      </c>
      <c r="O2" t="s">
        <v>59</v>
      </c>
      <c r="P2">
        <v>4</v>
      </c>
      <c r="Q2">
        <v>3944.64</v>
      </c>
      <c r="R2">
        <v>0.25</v>
      </c>
      <c r="S2">
        <v>11833.92</v>
      </c>
      <c r="T2">
        <v>6682.92</v>
      </c>
      <c r="U2">
        <v>5151</v>
      </c>
      <c r="V2" t="s">
        <v>32</v>
      </c>
      <c r="W2" t="s">
        <v>68</v>
      </c>
    </row>
    <row r="3" spans="1:23">
      <c r="A3" t="s">
        <v>781</v>
      </c>
      <c r="B3">
        <v>2</v>
      </c>
      <c r="C3" s="4">
        <v>45698</v>
      </c>
      <c r="D3">
        <v>240</v>
      </c>
      <c r="E3" s="4">
        <v>45938</v>
      </c>
      <c r="F3" t="s">
        <v>782</v>
      </c>
      <c r="G3" t="s">
        <v>47</v>
      </c>
      <c r="H3" t="s">
        <v>37</v>
      </c>
      <c r="I3" t="s">
        <v>25</v>
      </c>
      <c r="J3" t="s">
        <v>122</v>
      </c>
      <c r="K3" t="s">
        <v>123</v>
      </c>
      <c r="L3" t="s">
        <v>41</v>
      </c>
      <c r="M3" t="s">
        <v>57</v>
      </c>
      <c r="N3" t="s">
        <v>783</v>
      </c>
      <c r="O3" t="s">
        <v>59</v>
      </c>
      <c r="P3">
        <v>4</v>
      </c>
      <c r="Q3">
        <v>3944.64</v>
      </c>
      <c r="R3">
        <v>0.25</v>
      </c>
      <c r="S3">
        <v>12116.89</v>
      </c>
      <c r="T3">
        <v>6682.92</v>
      </c>
      <c r="U3">
        <v>5151</v>
      </c>
      <c r="V3" t="s">
        <v>32</v>
      </c>
      <c r="W3" t="s">
        <v>103</v>
      </c>
    </row>
    <row r="4" spans="1:23">
      <c r="A4" t="s">
        <v>620</v>
      </c>
      <c r="B4">
        <v>2</v>
      </c>
      <c r="C4" s="4">
        <v>45907</v>
      </c>
      <c r="D4">
        <v>8</v>
      </c>
      <c r="E4" s="4">
        <v>45915</v>
      </c>
      <c r="F4" t="s">
        <v>621</v>
      </c>
      <c r="G4" t="s">
        <v>141</v>
      </c>
      <c r="H4" t="s">
        <v>90</v>
      </c>
      <c r="I4" t="s">
        <v>38</v>
      </c>
      <c r="J4" t="s">
        <v>145</v>
      </c>
      <c r="K4" t="s">
        <v>146</v>
      </c>
      <c r="L4" t="s">
        <v>74</v>
      </c>
      <c r="M4" t="s">
        <v>80</v>
      </c>
      <c r="N4" t="s">
        <v>622</v>
      </c>
      <c r="O4" t="s">
        <v>59</v>
      </c>
      <c r="P4">
        <v>3</v>
      </c>
      <c r="Q4">
        <v>1711.32</v>
      </c>
      <c r="R4">
        <v>0</v>
      </c>
      <c r="S4">
        <v>5133.96</v>
      </c>
      <c r="T4">
        <v>3930</v>
      </c>
      <c r="U4">
        <v>1203.96</v>
      </c>
      <c r="V4" t="s">
        <v>32</v>
      </c>
      <c r="W4" t="s">
        <v>33</v>
      </c>
    </row>
    <row r="5" spans="1:23">
      <c r="A5" t="s">
        <v>620</v>
      </c>
      <c r="B5">
        <v>2</v>
      </c>
      <c r="C5" s="4">
        <v>45907</v>
      </c>
      <c r="D5">
        <v>8</v>
      </c>
      <c r="E5" s="4">
        <v>45915</v>
      </c>
      <c r="F5" t="s">
        <v>621</v>
      </c>
      <c r="G5" t="s">
        <v>141</v>
      </c>
      <c r="H5" t="s">
        <v>90</v>
      </c>
      <c r="I5" t="s">
        <v>38</v>
      </c>
      <c r="J5" t="s">
        <v>145</v>
      </c>
      <c r="K5" t="s">
        <v>146</v>
      </c>
      <c r="L5" t="s">
        <v>74</v>
      </c>
      <c r="M5" t="s">
        <v>80</v>
      </c>
      <c r="N5" t="s">
        <v>622</v>
      </c>
      <c r="O5" t="s">
        <v>59</v>
      </c>
      <c r="P5">
        <v>3</v>
      </c>
      <c r="Q5">
        <v>1711.32</v>
      </c>
      <c r="R5">
        <v>0</v>
      </c>
      <c r="S5">
        <v>5206.53</v>
      </c>
      <c r="T5">
        <v>3930</v>
      </c>
      <c r="U5">
        <v>1203.96</v>
      </c>
      <c r="V5" t="s">
        <v>32</v>
      </c>
      <c r="W5" t="s">
        <v>103</v>
      </c>
    </row>
    <row r="6" spans="1:23">
      <c r="A6" t="s">
        <v>1372</v>
      </c>
      <c r="B6">
        <v>2</v>
      </c>
      <c r="C6" s="4">
        <v>45342</v>
      </c>
      <c r="D6">
        <v>7</v>
      </c>
      <c r="E6" s="4">
        <v>45349</v>
      </c>
      <c r="F6" t="s">
        <v>1373</v>
      </c>
      <c r="G6" t="s">
        <v>162</v>
      </c>
      <c r="H6" t="s">
        <v>24</v>
      </c>
      <c r="I6" t="s">
        <v>54</v>
      </c>
      <c r="J6" t="s">
        <v>185</v>
      </c>
      <c r="K6" t="s">
        <v>186</v>
      </c>
      <c r="L6" t="s">
        <v>74</v>
      </c>
      <c r="M6" t="s">
        <v>75</v>
      </c>
      <c r="N6" t="s">
        <v>1374</v>
      </c>
      <c r="O6" t="s">
        <v>1375</v>
      </c>
      <c r="P6">
        <v>9</v>
      </c>
      <c r="Q6">
        <v>3779.31</v>
      </c>
      <c r="R6">
        <v>0.2</v>
      </c>
      <c r="S6">
        <v>27211.03</v>
      </c>
      <c r="T6">
        <v>17940.43</v>
      </c>
      <c r="U6">
        <v>9270.6</v>
      </c>
      <c r="V6" t="s">
        <v>32</v>
      </c>
      <c r="W6" t="s">
        <v>33</v>
      </c>
    </row>
    <row r="7" spans="1:23">
      <c r="A7" t="s">
        <v>1372</v>
      </c>
      <c r="B7">
        <v>2</v>
      </c>
      <c r="C7" s="4">
        <v>45342</v>
      </c>
      <c r="D7">
        <v>7</v>
      </c>
      <c r="E7" s="4">
        <v>45349</v>
      </c>
      <c r="F7" t="s">
        <v>1373</v>
      </c>
      <c r="G7" t="s">
        <v>162</v>
      </c>
      <c r="H7" t="s">
        <v>24</v>
      </c>
      <c r="I7" t="s">
        <v>54</v>
      </c>
      <c r="J7" t="s">
        <v>185</v>
      </c>
      <c r="K7" t="s">
        <v>186</v>
      </c>
      <c r="L7" t="s">
        <v>74</v>
      </c>
      <c r="M7" t="s">
        <v>75</v>
      </c>
      <c r="N7" t="s">
        <v>1374</v>
      </c>
      <c r="O7" t="s">
        <v>1375</v>
      </c>
      <c r="P7">
        <v>9</v>
      </c>
      <c r="Q7">
        <v>3779.31</v>
      </c>
      <c r="R7">
        <v>0.2</v>
      </c>
      <c r="S7">
        <v>27322.9</v>
      </c>
      <c r="T7">
        <v>17940.43</v>
      </c>
      <c r="U7">
        <v>9270.6</v>
      </c>
      <c r="V7" t="s">
        <v>32</v>
      </c>
      <c r="W7" t="s">
        <v>103</v>
      </c>
    </row>
    <row r="8" spans="1:23">
      <c r="A8" t="s">
        <v>924</v>
      </c>
      <c r="B8">
        <v>2</v>
      </c>
      <c r="C8" s="4">
        <v>45522</v>
      </c>
      <c r="D8">
        <v>6</v>
      </c>
      <c r="E8" s="4">
        <v>45528</v>
      </c>
      <c r="F8" t="s">
        <v>925</v>
      </c>
      <c r="G8" t="s">
        <v>53</v>
      </c>
      <c r="H8" t="s">
        <v>24</v>
      </c>
      <c r="I8" t="s">
        <v>54</v>
      </c>
      <c r="J8" t="s">
        <v>84</v>
      </c>
      <c r="K8" t="s">
        <v>85</v>
      </c>
      <c r="L8" t="s">
        <v>41</v>
      </c>
      <c r="M8" t="s">
        <v>66</v>
      </c>
      <c r="N8" t="s">
        <v>926</v>
      </c>
      <c r="O8" t="s">
        <v>50</v>
      </c>
      <c r="P8">
        <v>7</v>
      </c>
      <c r="Q8">
        <v>557.21</v>
      </c>
      <c r="R8">
        <v>0.1</v>
      </c>
      <c r="S8">
        <v>3510.42</v>
      </c>
      <c r="T8">
        <v>2191.5</v>
      </c>
      <c r="U8">
        <v>1213.48</v>
      </c>
      <c r="V8" t="s">
        <v>32</v>
      </c>
      <c r="W8" t="s">
        <v>33</v>
      </c>
    </row>
    <row r="9" spans="1:23">
      <c r="A9" t="s">
        <v>924</v>
      </c>
      <c r="B9">
        <v>2</v>
      </c>
      <c r="C9" s="4">
        <v>45522</v>
      </c>
      <c r="D9">
        <v>6</v>
      </c>
      <c r="E9" s="4">
        <v>45528</v>
      </c>
      <c r="F9" t="s">
        <v>925</v>
      </c>
      <c r="G9" t="s">
        <v>53</v>
      </c>
      <c r="H9" t="s">
        <v>24</v>
      </c>
      <c r="I9" t="s">
        <v>54</v>
      </c>
      <c r="J9" t="s">
        <v>84</v>
      </c>
      <c r="K9" t="s">
        <v>85</v>
      </c>
      <c r="L9" t="s">
        <v>41</v>
      </c>
      <c r="M9" t="s">
        <v>66</v>
      </c>
      <c r="N9" t="s">
        <v>926</v>
      </c>
      <c r="O9" t="s">
        <v>50</v>
      </c>
      <c r="P9">
        <v>7</v>
      </c>
      <c r="Q9">
        <v>557.21</v>
      </c>
      <c r="R9">
        <v>0.1</v>
      </c>
      <c r="S9">
        <v>3797.79</v>
      </c>
      <c r="T9">
        <v>2191.5</v>
      </c>
      <c r="U9">
        <v>1213.48</v>
      </c>
      <c r="V9" t="s">
        <v>32</v>
      </c>
      <c r="W9" t="s">
        <v>103</v>
      </c>
    </row>
    <row r="10" spans="1:23">
      <c r="A10" t="s">
        <v>380</v>
      </c>
      <c r="B10">
        <v>2</v>
      </c>
      <c r="C10" s="4">
        <v>45893</v>
      </c>
      <c r="D10">
        <v>5</v>
      </c>
      <c r="E10" s="4">
        <v>45898</v>
      </c>
      <c r="F10" t="s">
        <v>381</v>
      </c>
      <c r="G10" t="s">
        <v>128</v>
      </c>
      <c r="H10" t="s">
        <v>37</v>
      </c>
      <c r="I10" t="s">
        <v>38</v>
      </c>
      <c r="J10" t="s">
        <v>145</v>
      </c>
      <c r="K10" t="s">
        <v>146</v>
      </c>
      <c r="L10" t="s">
        <v>74</v>
      </c>
      <c r="M10" t="s">
        <v>80</v>
      </c>
      <c r="N10" t="s">
        <v>382</v>
      </c>
      <c r="O10" t="s">
        <v>50</v>
      </c>
      <c r="P10">
        <v>3</v>
      </c>
      <c r="Q10">
        <v>3703.96</v>
      </c>
      <c r="R10">
        <v>0.15</v>
      </c>
      <c r="S10">
        <v>9445.1</v>
      </c>
      <c r="T10">
        <v>5586.28</v>
      </c>
      <c r="U10">
        <v>3858.82</v>
      </c>
      <c r="V10" t="s">
        <v>32</v>
      </c>
      <c r="W10" t="s">
        <v>33</v>
      </c>
    </row>
    <row r="11" spans="1:23">
      <c r="A11" t="s">
        <v>380</v>
      </c>
      <c r="B11">
        <v>2</v>
      </c>
      <c r="C11" s="4">
        <v>45893</v>
      </c>
      <c r="D11">
        <v>5</v>
      </c>
      <c r="E11" s="4">
        <v>45898</v>
      </c>
      <c r="F11" t="s">
        <v>381</v>
      </c>
      <c r="G11" t="s">
        <v>128</v>
      </c>
      <c r="H11" t="s">
        <v>37</v>
      </c>
      <c r="I11" t="s">
        <v>38</v>
      </c>
      <c r="J11" t="s">
        <v>145</v>
      </c>
      <c r="K11" t="s">
        <v>146</v>
      </c>
      <c r="L11" t="s">
        <v>74</v>
      </c>
      <c r="M11" t="s">
        <v>80</v>
      </c>
      <c r="N11" t="s">
        <v>382</v>
      </c>
      <c r="O11" t="s">
        <v>50</v>
      </c>
      <c r="P11">
        <v>3</v>
      </c>
      <c r="Q11">
        <v>3703.96</v>
      </c>
      <c r="R11">
        <v>0.15</v>
      </c>
      <c r="S11">
        <v>9549.44</v>
      </c>
      <c r="T11">
        <v>5586.28</v>
      </c>
      <c r="U11">
        <v>3858.82</v>
      </c>
      <c r="V11" t="s">
        <v>32</v>
      </c>
      <c r="W11" t="s">
        <v>103</v>
      </c>
    </row>
    <row r="12" spans="1:23">
      <c r="A12" t="s">
        <v>1811</v>
      </c>
      <c r="B12">
        <v>2</v>
      </c>
      <c r="C12" s="4">
        <v>45698</v>
      </c>
      <c r="D12">
        <v>4</v>
      </c>
      <c r="E12" s="4">
        <v>45702</v>
      </c>
      <c r="F12" t="s">
        <v>1812</v>
      </c>
      <c r="G12" t="s">
        <v>114</v>
      </c>
      <c r="H12" t="s">
        <v>37</v>
      </c>
      <c r="I12" t="s">
        <v>25</v>
      </c>
      <c r="J12" t="s">
        <v>136</v>
      </c>
      <c r="K12" t="s">
        <v>137</v>
      </c>
      <c r="L12" t="s">
        <v>74</v>
      </c>
      <c r="M12" t="s">
        <v>171</v>
      </c>
      <c r="N12" t="s">
        <v>1813</v>
      </c>
      <c r="P12">
        <v>5</v>
      </c>
      <c r="Q12">
        <v>4276.29</v>
      </c>
      <c r="R12">
        <v>0</v>
      </c>
      <c r="S12">
        <v>21443.63</v>
      </c>
      <c r="T12">
        <v>13240.21</v>
      </c>
      <c r="U12">
        <v>8141.24</v>
      </c>
      <c r="V12" t="s">
        <v>155</v>
      </c>
      <c r="W12" t="s">
        <v>33</v>
      </c>
    </row>
    <row r="13" spans="1:23">
      <c r="A13" t="s">
        <v>1049</v>
      </c>
      <c r="B13">
        <v>2</v>
      </c>
      <c r="C13" s="4">
        <v>45795</v>
      </c>
      <c r="D13">
        <v>2</v>
      </c>
      <c r="E13" s="4">
        <v>45797</v>
      </c>
      <c r="F13" t="s">
        <v>1050</v>
      </c>
      <c r="G13" t="s">
        <v>47</v>
      </c>
      <c r="H13" t="s">
        <v>90</v>
      </c>
      <c r="I13" t="s">
        <v>63</v>
      </c>
      <c r="J13" t="s">
        <v>72</v>
      </c>
      <c r="K13" t="s">
        <v>73</v>
      </c>
      <c r="L13" t="s">
        <v>28</v>
      </c>
      <c r="M13" t="s">
        <v>91</v>
      </c>
      <c r="N13" t="s">
        <v>1051</v>
      </c>
      <c r="O13" t="s">
        <v>59</v>
      </c>
      <c r="P13">
        <v>9</v>
      </c>
      <c r="Q13">
        <v>847.76</v>
      </c>
      <c r="R13">
        <v>0.15</v>
      </c>
      <c r="S13">
        <v>6485.36</v>
      </c>
      <c r="T13">
        <v>5376.17</v>
      </c>
      <c r="U13">
        <v>1109.19</v>
      </c>
      <c r="V13" t="s">
        <v>155</v>
      </c>
      <c r="W13" t="s">
        <v>103</v>
      </c>
    </row>
    <row r="14" spans="1:23">
      <c r="A14" t="s">
        <v>1099</v>
      </c>
      <c r="B14">
        <v>2</v>
      </c>
      <c r="C14" s="4">
        <v>45630</v>
      </c>
      <c r="D14">
        <v>2</v>
      </c>
      <c r="E14" s="4">
        <v>45632</v>
      </c>
      <c r="F14" t="s">
        <v>1100</v>
      </c>
      <c r="G14" t="s">
        <v>132</v>
      </c>
      <c r="H14" t="s">
        <v>95</v>
      </c>
      <c r="I14" t="s">
        <v>38</v>
      </c>
      <c r="J14" t="s">
        <v>39</v>
      </c>
      <c r="K14" t="s">
        <v>40</v>
      </c>
      <c r="L14" t="s">
        <v>28</v>
      </c>
      <c r="M14" t="s">
        <v>153</v>
      </c>
      <c r="N14" t="s">
        <v>1101</v>
      </c>
      <c r="O14" t="s">
        <v>31</v>
      </c>
      <c r="P14">
        <v>4</v>
      </c>
      <c r="Q14">
        <v>2685.66</v>
      </c>
      <c r="R14">
        <v>0</v>
      </c>
      <c r="S14">
        <v>10742.64</v>
      </c>
      <c r="T14">
        <v>6477.37</v>
      </c>
      <c r="U14">
        <v>4265.2700000000004</v>
      </c>
      <c r="V14" t="s">
        <v>32</v>
      </c>
      <c r="W14" t="s">
        <v>103</v>
      </c>
    </row>
    <row r="15" spans="1:23">
      <c r="A15" t="s">
        <v>1111</v>
      </c>
      <c r="B15">
        <v>2</v>
      </c>
      <c r="C15" s="4">
        <v>45824</v>
      </c>
      <c r="D15">
        <v>2</v>
      </c>
      <c r="E15" s="4">
        <v>45826</v>
      </c>
      <c r="F15" t="s">
        <v>1112</v>
      </c>
      <c r="G15" t="s">
        <v>118</v>
      </c>
      <c r="H15" t="s">
        <v>95</v>
      </c>
      <c r="I15" t="s">
        <v>63</v>
      </c>
      <c r="J15" t="s">
        <v>72</v>
      </c>
      <c r="K15" t="s">
        <v>73</v>
      </c>
      <c r="L15" t="s">
        <v>28</v>
      </c>
      <c r="M15" t="s">
        <v>29</v>
      </c>
      <c r="N15" t="s">
        <v>1113</v>
      </c>
      <c r="O15" t="s">
        <v>50</v>
      </c>
      <c r="P15">
        <v>3</v>
      </c>
      <c r="Q15">
        <v>4289.37</v>
      </c>
      <c r="R15">
        <v>0.1</v>
      </c>
      <c r="S15">
        <v>11581.3</v>
      </c>
      <c r="T15">
        <v>6829.43</v>
      </c>
      <c r="U15">
        <v>4751.87</v>
      </c>
      <c r="V15" t="s">
        <v>32</v>
      </c>
      <c r="W15" t="s">
        <v>33</v>
      </c>
    </row>
    <row r="16" spans="1:23">
      <c r="A16" t="s">
        <v>1099</v>
      </c>
      <c r="B16">
        <v>2</v>
      </c>
      <c r="C16" s="4">
        <v>45630</v>
      </c>
      <c r="D16">
        <v>2</v>
      </c>
      <c r="E16" s="4">
        <v>45632</v>
      </c>
      <c r="F16" t="s">
        <v>1100</v>
      </c>
      <c r="G16" t="s">
        <v>132</v>
      </c>
      <c r="H16" t="s">
        <v>95</v>
      </c>
      <c r="I16" t="s">
        <v>38</v>
      </c>
      <c r="J16" t="s">
        <v>39</v>
      </c>
      <c r="K16" t="s">
        <v>40</v>
      </c>
      <c r="L16" t="s">
        <v>28</v>
      </c>
      <c r="M16" t="s">
        <v>153</v>
      </c>
      <c r="N16" t="s">
        <v>1101</v>
      </c>
      <c r="O16" t="s">
        <v>31</v>
      </c>
      <c r="P16">
        <v>4</v>
      </c>
      <c r="Q16">
        <v>2685.66</v>
      </c>
      <c r="R16">
        <v>0</v>
      </c>
      <c r="S16">
        <v>10989.89</v>
      </c>
      <c r="T16">
        <v>6477.37</v>
      </c>
      <c r="U16">
        <v>4265.2700000000004</v>
      </c>
      <c r="V16" t="s">
        <v>32</v>
      </c>
      <c r="W16" t="s">
        <v>33</v>
      </c>
    </row>
    <row r="17" spans="1:23">
      <c r="A17" t="s">
        <v>1049</v>
      </c>
      <c r="B17">
        <v>2</v>
      </c>
      <c r="C17" s="4">
        <v>45795</v>
      </c>
      <c r="D17">
        <v>2</v>
      </c>
      <c r="E17" s="4">
        <v>45797</v>
      </c>
      <c r="F17" t="s">
        <v>1050</v>
      </c>
      <c r="G17" t="s">
        <v>47</v>
      </c>
      <c r="H17" t="s">
        <v>90</v>
      </c>
      <c r="I17" t="s">
        <v>63</v>
      </c>
      <c r="J17" t="s">
        <v>72</v>
      </c>
      <c r="K17" t="s">
        <v>73</v>
      </c>
      <c r="L17" t="s">
        <v>28</v>
      </c>
      <c r="M17" t="s">
        <v>91</v>
      </c>
      <c r="N17" t="s">
        <v>1051</v>
      </c>
      <c r="O17" t="s">
        <v>59</v>
      </c>
      <c r="P17">
        <v>9</v>
      </c>
      <c r="Q17">
        <v>847.76</v>
      </c>
      <c r="R17">
        <v>0.15</v>
      </c>
      <c r="S17">
        <v>6589.37</v>
      </c>
      <c r="T17">
        <v>5376.17</v>
      </c>
      <c r="U17">
        <v>1109.19</v>
      </c>
      <c r="V17" t="s">
        <v>155</v>
      </c>
      <c r="W17" t="s">
        <v>33</v>
      </c>
    </row>
    <row r="18" spans="1:23">
      <c r="A18" t="s">
        <v>1111</v>
      </c>
      <c r="B18">
        <v>2</v>
      </c>
      <c r="C18" s="4">
        <v>45824</v>
      </c>
      <c r="D18">
        <v>2</v>
      </c>
      <c r="E18" s="4">
        <v>45826</v>
      </c>
      <c r="F18" t="s">
        <v>1112</v>
      </c>
      <c r="G18" t="s">
        <v>118</v>
      </c>
      <c r="H18" t="s">
        <v>95</v>
      </c>
      <c r="I18" t="s">
        <v>63</v>
      </c>
      <c r="J18" t="s">
        <v>72</v>
      </c>
      <c r="K18" t="s">
        <v>73</v>
      </c>
      <c r="L18" t="s">
        <v>28</v>
      </c>
      <c r="M18" t="s">
        <v>29</v>
      </c>
      <c r="N18" t="s">
        <v>1113</v>
      </c>
      <c r="O18" t="s">
        <v>50</v>
      </c>
      <c r="P18">
        <v>3</v>
      </c>
      <c r="Q18">
        <v>4289.37</v>
      </c>
      <c r="R18">
        <v>0.1</v>
      </c>
      <c r="S18">
        <v>11778.71</v>
      </c>
      <c r="T18">
        <v>6829.43</v>
      </c>
      <c r="U18">
        <v>4751.87</v>
      </c>
      <c r="V18" t="s">
        <v>32</v>
      </c>
      <c r="W18" t="s">
        <v>103</v>
      </c>
    </row>
    <row r="19" spans="1:23">
      <c r="A19" t="s">
        <v>479</v>
      </c>
      <c r="B19">
        <v>2</v>
      </c>
      <c r="C19" s="4">
        <v>45436</v>
      </c>
      <c r="D19">
        <v>1</v>
      </c>
      <c r="E19" s="4">
        <v>45437</v>
      </c>
      <c r="F19" t="s">
        <v>480</v>
      </c>
      <c r="G19" t="s">
        <v>132</v>
      </c>
      <c r="H19" t="s">
        <v>37</v>
      </c>
      <c r="I19" t="s">
        <v>481</v>
      </c>
      <c r="J19" t="s">
        <v>122</v>
      </c>
      <c r="K19" t="s">
        <v>123</v>
      </c>
      <c r="L19" t="s">
        <v>74</v>
      </c>
      <c r="M19" t="s">
        <v>80</v>
      </c>
      <c r="N19" t="s">
        <v>482</v>
      </c>
      <c r="O19" t="s">
        <v>44</v>
      </c>
      <c r="P19">
        <v>1</v>
      </c>
      <c r="Q19">
        <v>634.13</v>
      </c>
      <c r="R19">
        <v>0</v>
      </c>
      <c r="S19">
        <v>634.13</v>
      </c>
      <c r="T19">
        <v>453.35</v>
      </c>
      <c r="U19">
        <v>180.78</v>
      </c>
      <c r="V19" t="s">
        <v>102</v>
      </c>
      <c r="W19" t="s">
        <v>68</v>
      </c>
    </row>
    <row r="20" spans="1:23">
      <c r="A20" t="s">
        <v>479</v>
      </c>
      <c r="B20">
        <v>2</v>
      </c>
      <c r="C20" s="4">
        <v>45436</v>
      </c>
      <c r="D20">
        <v>1</v>
      </c>
      <c r="E20" s="4">
        <v>45437</v>
      </c>
      <c r="F20" t="s">
        <v>480</v>
      </c>
      <c r="G20" t="s">
        <v>132</v>
      </c>
      <c r="H20" t="s">
        <v>37</v>
      </c>
      <c r="I20" t="s">
        <v>481</v>
      </c>
      <c r="J20" t="s">
        <v>122</v>
      </c>
      <c r="K20" t="s">
        <v>123</v>
      </c>
      <c r="L20" t="s">
        <v>74</v>
      </c>
      <c r="M20" t="s">
        <v>80</v>
      </c>
      <c r="N20" t="s">
        <v>482</v>
      </c>
      <c r="O20" t="s">
        <v>44</v>
      </c>
      <c r="P20">
        <v>1</v>
      </c>
      <c r="Q20">
        <v>634.13</v>
      </c>
      <c r="R20">
        <v>0</v>
      </c>
      <c r="S20">
        <v>808.67</v>
      </c>
      <c r="T20">
        <v>453.35</v>
      </c>
      <c r="U20">
        <v>180.78</v>
      </c>
      <c r="V20" t="s">
        <v>102</v>
      </c>
      <c r="W20" t="s">
        <v>103</v>
      </c>
    </row>
    <row r="21" spans="1:23">
      <c r="A21" t="s">
        <v>1223</v>
      </c>
      <c r="B21">
        <v>2</v>
      </c>
      <c r="C21" s="4">
        <v>45760</v>
      </c>
      <c r="D21">
        <v>0</v>
      </c>
      <c r="E21" s="4">
        <v>45760</v>
      </c>
      <c r="F21" t="s">
        <v>1224</v>
      </c>
      <c r="G21" t="s">
        <v>132</v>
      </c>
      <c r="H21" t="s">
        <v>37</v>
      </c>
      <c r="I21" t="s">
        <v>25</v>
      </c>
      <c r="J21" t="s">
        <v>136</v>
      </c>
      <c r="K21" t="s">
        <v>137</v>
      </c>
      <c r="L21" t="s">
        <v>28</v>
      </c>
      <c r="M21" t="s">
        <v>124</v>
      </c>
      <c r="N21" t="s">
        <v>1225</v>
      </c>
      <c r="O21" t="s">
        <v>31</v>
      </c>
      <c r="P21">
        <v>9</v>
      </c>
      <c r="Q21">
        <v>1118.68</v>
      </c>
      <c r="R21">
        <v>0</v>
      </c>
      <c r="S21">
        <v>10068.120000000001</v>
      </c>
      <c r="T21">
        <v>8595.3700000000008</v>
      </c>
      <c r="U21">
        <v>1472.75</v>
      </c>
      <c r="V21" t="s">
        <v>32</v>
      </c>
      <c r="W21" t="s">
        <v>33</v>
      </c>
    </row>
    <row r="22" spans="1:23">
      <c r="A22" t="s">
        <v>1223</v>
      </c>
      <c r="B22">
        <v>2</v>
      </c>
      <c r="C22" s="4">
        <v>45760</v>
      </c>
      <c r="D22">
        <v>0</v>
      </c>
      <c r="E22" s="4">
        <v>45760</v>
      </c>
      <c r="F22" t="s">
        <v>1224</v>
      </c>
      <c r="G22" t="s">
        <v>132</v>
      </c>
      <c r="H22" t="s">
        <v>37</v>
      </c>
      <c r="I22" t="s">
        <v>25</v>
      </c>
      <c r="J22" t="s">
        <v>136</v>
      </c>
      <c r="K22" t="s">
        <v>137</v>
      </c>
      <c r="L22" t="s">
        <v>28</v>
      </c>
      <c r="M22" t="s">
        <v>124</v>
      </c>
      <c r="N22" t="s">
        <v>1225</v>
      </c>
      <c r="O22" t="s">
        <v>31</v>
      </c>
      <c r="P22">
        <v>9</v>
      </c>
      <c r="Q22">
        <v>1118.68</v>
      </c>
      <c r="R22">
        <v>0</v>
      </c>
      <c r="S22">
        <v>10348.43</v>
      </c>
      <c r="T22">
        <v>8595.3700000000008</v>
      </c>
      <c r="U22">
        <v>1472.75</v>
      </c>
      <c r="V22" t="s">
        <v>32</v>
      </c>
      <c r="W22" t="s">
        <v>103</v>
      </c>
    </row>
    <row r="23" spans="1:23">
      <c r="A23" t="s">
        <v>537</v>
      </c>
      <c r="B23">
        <v>2</v>
      </c>
      <c r="C23" s="4">
        <v>45381</v>
      </c>
      <c r="D23">
        <v>-4</v>
      </c>
      <c r="E23" s="4">
        <v>45377</v>
      </c>
      <c r="F23" t="s">
        <v>538</v>
      </c>
      <c r="G23" t="s">
        <v>89</v>
      </c>
      <c r="H23" t="s">
        <v>95</v>
      </c>
      <c r="I23" t="s">
        <v>25</v>
      </c>
      <c r="J23" t="s">
        <v>26</v>
      </c>
      <c r="K23" t="s">
        <v>27</v>
      </c>
      <c r="L23" t="s">
        <v>74</v>
      </c>
      <c r="M23" t="s">
        <v>171</v>
      </c>
      <c r="N23" t="s">
        <v>539</v>
      </c>
      <c r="O23" t="s">
        <v>31</v>
      </c>
      <c r="P23">
        <v>5</v>
      </c>
      <c r="Q23">
        <v>907.54</v>
      </c>
      <c r="R23">
        <v>0.15</v>
      </c>
      <c r="S23">
        <v>3857.04</v>
      </c>
      <c r="T23">
        <v>2769.26</v>
      </c>
      <c r="U23">
        <v>1087.78</v>
      </c>
      <c r="V23" t="s">
        <v>32</v>
      </c>
      <c r="W23" t="s">
        <v>33</v>
      </c>
    </row>
    <row r="24" spans="1:23">
      <c r="A24" t="s">
        <v>537</v>
      </c>
      <c r="B24">
        <v>2</v>
      </c>
      <c r="C24" s="4">
        <v>45381</v>
      </c>
      <c r="D24">
        <v>-4</v>
      </c>
      <c r="E24" s="4">
        <v>45377</v>
      </c>
      <c r="F24" t="s">
        <v>538</v>
      </c>
      <c r="G24" t="s">
        <v>89</v>
      </c>
      <c r="H24" t="s">
        <v>95</v>
      </c>
      <c r="I24" t="s">
        <v>25</v>
      </c>
      <c r="J24" t="s">
        <v>26</v>
      </c>
      <c r="K24" t="s">
        <v>27</v>
      </c>
      <c r="L24" t="s">
        <v>74</v>
      </c>
      <c r="M24" t="s">
        <v>171</v>
      </c>
      <c r="N24" t="s">
        <v>539</v>
      </c>
      <c r="O24" t="s">
        <v>31</v>
      </c>
      <c r="P24">
        <v>5</v>
      </c>
      <c r="Q24">
        <v>907.54</v>
      </c>
      <c r="R24">
        <v>0.15</v>
      </c>
      <c r="S24">
        <v>4099.6899999999996</v>
      </c>
      <c r="T24">
        <v>2769.26</v>
      </c>
      <c r="U24">
        <v>1087.78</v>
      </c>
      <c r="V24" t="s">
        <v>32</v>
      </c>
      <c r="W24" t="s">
        <v>103</v>
      </c>
    </row>
    <row r="25" spans="1:23">
      <c r="A25" t="s">
        <v>1811</v>
      </c>
      <c r="B25">
        <v>2</v>
      </c>
      <c r="C25" s="4">
        <v>45932</v>
      </c>
      <c r="D25">
        <v>-230</v>
      </c>
      <c r="E25" s="4">
        <v>45702</v>
      </c>
      <c r="F25" t="s">
        <v>1812</v>
      </c>
      <c r="G25" t="s">
        <v>114</v>
      </c>
      <c r="H25" t="s">
        <v>37</v>
      </c>
      <c r="I25" t="s">
        <v>25</v>
      </c>
      <c r="J25" t="s">
        <v>136</v>
      </c>
      <c r="K25" t="s">
        <v>137</v>
      </c>
      <c r="L25" t="s">
        <v>74</v>
      </c>
      <c r="M25" t="s">
        <v>171</v>
      </c>
      <c r="N25" t="s">
        <v>1813</v>
      </c>
      <c r="P25">
        <v>5</v>
      </c>
      <c r="Q25">
        <v>4276.29</v>
      </c>
      <c r="R25">
        <v>0</v>
      </c>
      <c r="S25">
        <v>21381.45</v>
      </c>
      <c r="T25">
        <v>13240.21</v>
      </c>
      <c r="U25">
        <v>8141.24</v>
      </c>
      <c r="V25" t="s">
        <v>155</v>
      </c>
      <c r="W25" t="s">
        <v>103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raw_orders</vt:lpstr>
      <vt:lpstr>business_rules</vt:lpstr>
      <vt:lpstr>Repeat Order Id with diff dets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Ved Shukla 803092</cp:lastModifiedBy>
  <dcterms:modified xsi:type="dcterms:W3CDTF">2026-06-26T19:50:10Z</dcterms:modified>
</cp:coreProperties>
</file>